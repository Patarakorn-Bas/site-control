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คู่มือ Guide" sheetId="1" state="visible" r:id="rId3"/>
    <sheet name="ตั้งค่า Setup" sheetId="2" state="visible" r:id="rId4"/>
    <sheet name="Dashboard" sheetId="3" state="visible" r:id="rId5"/>
    <sheet name="รายงาน Report" sheetId="4" state="visible" r:id="rId6"/>
    <sheet name="งวดงาน Installments" sheetId="5" state="visible" r:id="rId7"/>
    <sheet name="บันทึกสัปดาห์ Weekly Log" sheetId="6" state="visible" r:id="rId8"/>
    <sheet name="รายงานกรรมการ Weekly" sheetId="7" state="visible" r:id="rId9"/>
    <sheet name="งานเพิ่มลด VO" sheetId="8" state="visible" r:id="rId10"/>
    <sheet name="เงินงวด Payment" sheetId="9" state="visible" r:id="rId11"/>
    <sheet name="ขออนุมัติวัสดุ Submittal" sheetId="10" state="visible" r:id="rId12"/>
    <sheet name="แผนงาน Schedule" sheetId="11" state="visible" r:id="rId13"/>
    <sheet name="S-Curve" sheetId="12" state="visible" r:id="rId14"/>
    <sheet name="ขยายเวลา EOT" sheetId="13" state="visible" r:id="rId15"/>
  </sheets>
  <definedNames>
    <definedName function="false" hidden="false" localSheetId="3" name="_xlnm.Print_Area" vbProcedure="false">'รายงาน Report'!$A$1:$K$105</definedName>
    <definedName function="false" hidden="false" localSheetId="6" name="_xlnm.Print_Area" vbProcedure="false">'รายงานกรรมการ Weekly'!$A$1:$K$129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FreeSans"/>
            <family val="2"/>
          </rPr>
          <t xml:space="preserve">ค่าอ่านจากเอกสาร </t>
        </r>
        <r>
          <rPr>
            <sz val="10"/>
            <rFont val="Arial"/>
            <family val="2"/>
            <charset val="1"/>
          </rPr>
          <t xml:space="preserve">PDF – </t>
        </r>
        <r>
          <rPr>
            <sz val="10"/>
            <rFont val="FreeSans"/>
            <family val="2"/>
            <charset val="1"/>
          </rPr>
          <t xml:space="preserve">กรุณาตรวจสอบ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FreeSans"/>
            <family val="2"/>
            <charset val="1"/>
          </rPr>
          <t xml:space="preserve">ข้อมูลจากผู้ใช้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C17" authorId="0">
      <text>
        <r>
          <rPr>
            <sz val="10"/>
            <rFont val="FreeSans"/>
            <family val="2"/>
          </rPr>
          <t xml:space="preserve">ค่าตัวอย่าง ไม่ใช่ค่าจากสัญญา กรุณาแก้ให้ตรงสัญญา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FreeSans"/>
            <family val="2"/>
          </rPr>
          <t xml:space="preserve">ค่าตัวอย่าง – ใส่ตามสัญญาจริง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FreeSans"/>
            <family val="2"/>
            <charset val="1"/>
          </rPr>
          <t xml:space="preserve">ถ้าไม่มีเงินล่วงหน้า ใส่ </t>
        </r>
        <r>
          <rPr>
            <sz val="10"/>
            <rFont val="Arial"/>
            <family val="2"/>
            <charset val="1"/>
          </rPr>
          <t xml:space="preserve">0%)</t>
        </r>
      </text>
    </comment>
    <comment ref="D7" authorId="0">
      <text>
        <r>
          <rPr>
            <sz val="10"/>
            <rFont val="FreeSans"/>
            <family val="2"/>
          </rPr>
          <t xml:space="preserve">ค่าตัวอย่าง – ใส่ตามสัญญาจริง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FreeSans"/>
            <family val="2"/>
            <charset val="1"/>
          </rPr>
          <t xml:space="preserve">ถ้าใช้หนังสือค้ำประกันแทน ใส่ </t>
        </r>
        <r>
          <rPr>
            <sz val="10"/>
            <rFont val="Arial"/>
            <family val="2"/>
            <charset val="1"/>
          </rPr>
          <t xml:space="preserve">0%)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FreeSans"/>
            <family val="2"/>
          </rPr>
          <t xml:space="preserve">ชื่องานย่อจากเอกสารแผนงาน กรุณาตรวจสอบ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FreeSans"/>
            <family val="2"/>
            <charset val="1"/>
          </rPr>
          <t xml:space="preserve">แก้ไขให้ตรงกับ </t>
        </r>
        <r>
          <rPr>
            <sz val="10"/>
            <rFont val="Arial"/>
            <family val="2"/>
            <charset val="1"/>
          </rPr>
          <t xml:space="preserve">BOQ</t>
        </r>
      </text>
    </comment>
    <comment ref="D7" authorId="0">
      <text>
        <r>
          <rPr>
            <sz val="10"/>
            <rFont val="FreeSans"/>
            <family val="2"/>
          </rPr>
          <t xml:space="preserve">มูลค่า </t>
        </r>
        <r>
          <rPr>
            <sz val="10"/>
            <rFont val="Arial"/>
            <family val="2"/>
            <charset val="1"/>
          </rPr>
          <t xml:space="preserve">BOQ </t>
        </r>
        <r>
          <rPr>
            <sz val="10"/>
            <rFont val="FreeSans"/>
            <family val="2"/>
            <charset val="1"/>
          </rPr>
          <t xml:space="preserve">อ่านจากเอกสาร </t>
        </r>
        <r>
          <rPr>
            <sz val="10"/>
            <rFont val="Arial"/>
            <family val="2"/>
            <charset val="1"/>
          </rPr>
          <t xml:space="preserve">PDF (</t>
        </r>
        <r>
          <rPr>
            <sz val="10"/>
            <rFont val="FreeSans"/>
            <family val="2"/>
            <charset val="1"/>
          </rPr>
          <t xml:space="preserve">ไม่ชัด</t>
        </r>
        <r>
          <rPr>
            <sz val="10"/>
            <rFont val="Arial"/>
            <family val="2"/>
            <charset val="1"/>
          </rPr>
          <t xml:space="preserve">) – </t>
        </r>
        <r>
          <rPr>
            <sz val="10"/>
            <rFont val="FreeSans"/>
            <family val="2"/>
            <charset val="1"/>
          </rPr>
          <t xml:space="preserve">ไม่ได้ใช้คำนวณ เพราะมีน้ำหนักกำหนดเองแล้ว
ถ้าเว้นช่องน้ำหนักกำหนดเอง ระบบจะคำนวณน้ำหนักจากสัดส่วน </t>
        </r>
        <r>
          <rPr>
            <sz val="10"/>
            <rFont val="Arial"/>
            <family val="2"/>
            <charset val="1"/>
          </rPr>
          <t xml:space="preserve">BOQ </t>
        </r>
        <r>
          <rPr>
            <sz val="10"/>
            <rFont val="FreeSans"/>
            <family val="2"/>
            <charset val="1"/>
          </rPr>
          <t xml:space="preserve">ให้</t>
        </r>
      </text>
    </comment>
    <comment ref="E7" authorId="0">
      <text>
        <r>
          <rPr>
            <sz val="10"/>
            <rFont val="Arial"/>
            <family val="2"/>
          </rPr>
          <t xml:space="preserve">% </t>
        </r>
        <r>
          <rPr>
            <sz val="10"/>
            <rFont val="FreeSans"/>
            <family val="2"/>
            <charset val="1"/>
          </rPr>
          <t xml:space="preserve">น้ำหนักจากเอกสารแผนงาน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FreeSans"/>
            <family val="2"/>
            <charset val="1"/>
          </rPr>
          <t xml:space="preserve">ข้อมูลจากผู้ใช้</t>
        </r>
        <r>
          <rPr>
            <sz val="10"/>
            <rFont val="Arial"/>
            <family val="2"/>
            <charset val="1"/>
          </rPr>
          <t xml:space="preserve">) </t>
        </r>
        <r>
          <rPr>
            <sz val="10"/>
            <rFont val="FreeSans"/>
            <family val="2"/>
            <charset val="1"/>
          </rPr>
          <t xml:space="preserve">รวม </t>
        </r>
        <r>
          <rPr>
            <sz val="10"/>
            <rFont val="Arial"/>
            <family val="2"/>
            <charset val="1"/>
          </rPr>
          <t xml:space="preserve">100%</t>
        </r>
      </text>
    </comment>
    <comment ref="O7" authorId="0">
      <text>
        <r>
          <rPr>
            <sz val="10"/>
            <rFont val="Arial"/>
            <family val="2"/>
          </rPr>
          <t xml:space="preserve">% </t>
        </r>
        <r>
          <rPr>
            <sz val="10"/>
            <rFont val="FreeSans"/>
            <family val="2"/>
            <charset val="1"/>
          </rPr>
          <t xml:space="preserve">ความคืบหน้าของรายการนี้เอง เช่น </t>
        </r>
        <r>
          <rPr>
            <sz val="10"/>
            <rFont val="Arial"/>
            <family val="2"/>
            <charset val="1"/>
          </rPr>
          <t xml:space="preserve">60%</t>
        </r>
      </text>
    </comment>
    <comment ref="O67" authorId="0">
      <text>
        <r>
          <rPr>
            <sz val="10"/>
            <rFont val="FreeSans"/>
            <family val="2"/>
          </rPr>
          <t xml:space="preserve">ผลงานจริงรวมของโครงการ </t>
        </r>
        <r>
          <rPr>
            <sz val="10"/>
            <rFont val="Arial"/>
            <family val="2"/>
            <charset val="1"/>
          </rPr>
          <t xml:space="preserve">(% </t>
        </r>
        <r>
          <rPr>
            <sz val="10"/>
            <rFont val="FreeSans"/>
            <family val="2"/>
            <charset val="1"/>
          </rPr>
          <t xml:space="preserve">โครงการ</t>
        </r>
        <r>
          <rPr>
            <sz val="10"/>
            <rFont val="Arial"/>
            <family val="2"/>
            <charset val="1"/>
          </rPr>
          <t xml:space="preserve">) – </t>
        </r>
        <r>
          <rPr>
            <sz val="10"/>
            <rFont val="FreeSans"/>
            <family val="2"/>
            <charset val="1"/>
          </rPr>
          <t xml:space="preserve">นำค่านี้ไปกรอกใน </t>
        </r>
        <r>
          <rPr>
            <sz val="10"/>
            <rFont val="Arial"/>
            <family val="2"/>
            <charset val="1"/>
          </rPr>
          <t xml:space="preserve">S-Curve </t>
        </r>
        <r>
          <rPr>
            <sz val="10"/>
            <rFont val="FreeSans"/>
            <family val="2"/>
            <charset val="1"/>
          </rPr>
          <t xml:space="preserve">คอลัมน์ </t>
        </r>
        <r>
          <rPr>
            <sz val="10"/>
            <rFont val="Arial"/>
            <family val="2"/>
            <charset val="1"/>
          </rPr>
          <t xml:space="preserve">Actual </t>
        </r>
        <r>
          <rPr>
            <sz val="10"/>
            <rFont val="FreeSans"/>
            <family val="2"/>
            <charset val="1"/>
          </rPr>
          <t xml:space="preserve">ของงวดปัจจุบัน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% </t>
        </r>
        <r>
          <rPr>
            <sz val="10"/>
            <rFont val="FreeSans"/>
            <family val="2"/>
            <charset val="1"/>
          </rPr>
          <t xml:space="preserve">จริงสะสม </t>
        </r>
        <r>
          <rPr>
            <sz val="10"/>
            <rFont val="Arial"/>
            <family val="2"/>
            <charset val="1"/>
          </rPr>
          <t xml:space="preserve">28-Feb </t>
        </r>
        <r>
          <rPr>
            <sz val="10"/>
            <rFont val="FreeSans"/>
            <family val="2"/>
            <charset val="1"/>
          </rPr>
          <t xml:space="preserve">ถึง </t>
        </r>
        <r>
          <rPr>
            <sz val="10"/>
            <rFont val="Arial"/>
            <family val="2"/>
            <charset val="1"/>
          </rPr>
          <t xml:space="preserve">30-Apr-26 </t>
        </r>
        <r>
          <rPr>
            <sz val="10"/>
            <rFont val="FreeSans"/>
            <family val="2"/>
            <charset val="1"/>
          </rPr>
          <t xml:space="preserve">และเงินเบิกจ่าย อ่านจากเอกสารแผนงาน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FreeSans"/>
            <family val="2"/>
            <charset val="1"/>
          </rPr>
          <t xml:space="preserve">ข้อมูลจากผู้ใช้</t>
        </r>
        <r>
          <rPr>
            <sz val="10"/>
            <rFont val="Arial"/>
            <family val="2"/>
            <charset val="1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<sst xmlns="http://schemas.openxmlformats.org/spreadsheetml/2006/main" count="819" uniqueCount="744">
  <si>
    <r>
      <rPr>
        <b val="true"/>
        <sz val="16"/>
        <color rgb="FF1F3864"/>
        <rFont val="FreeSans"/>
        <family val="2"/>
      </rPr>
      <t xml:space="preserve">คู่มือการใช้งาน </t>
    </r>
    <r>
      <rPr>
        <b val="true"/>
        <sz val="16"/>
        <color rgb="FF1F3864"/>
        <rFont val="Tahoma"/>
        <family val="0"/>
        <charset val="1"/>
      </rPr>
      <t xml:space="preserve">/ User Guide — Project Control: Plan vs Actual (v2)</t>
    </r>
  </si>
  <si>
    <r>
      <rPr>
        <b val="true"/>
        <sz val="11"/>
        <color rgb="FFFFFFFF"/>
        <rFont val="Tahoma"/>
        <family val="0"/>
        <charset val="1"/>
      </rPr>
      <t xml:space="preserve">1. </t>
    </r>
    <r>
      <rPr>
        <b val="true"/>
        <sz val="11"/>
        <color rgb="FFFFFFFF"/>
        <rFont val="FreeSans"/>
        <family val="2"/>
      </rPr>
      <t xml:space="preserve">ภาพรวมไฟล์ </t>
    </r>
    <r>
      <rPr>
        <b val="true"/>
        <sz val="11"/>
        <color rgb="FFFFFFFF"/>
        <rFont val="Tahoma"/>
        <family val="0"/>
        <charset val="1"/>
      </rPr>
      <t xml:space="preserve">/ Workbook Overview</t>
    </r>
  </si>
  <si>
    <r>
      <rPr>
        <sz val="9"/>
        <rFont val="FreeSans"/>
        <family val="2"/>
      </rPr>
      <t xml:space="preserve">ไฟล์นี้ใช้ควบคุมและรายงานความก้าวหน้าโครงการก่อสร้างตามแนวทางสากล ได้แก่ การวัดผลงานถ่วงน้ำหนัก </t>
    </r>
    <r>
      <rPr>
        <sz val="9"/>
        <rFont val="Tahoma"/>
        <family val="0"/>
        <charset val="1"/>
      </rPr>
      <t xml:space="preserve">(Weighted Progress), S-Curve, Earned Value Management (EVM)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Earned Schedule (ES) </t>
    </r>
    <r>
      <rPr>
        <sz val="9"/>
        <rFont val="FreeSans"/>
        <family val="2"/>
      </rPr>
      <t xml:space="preserve">พร้อมทะเบียนขยายเวลาและการคำนวณค่าปรับ ใช้ซ้ำกับโครงการอื่นได้</t>
    </r>
  </si>
  <si>
    <r>
      <rPr>
        <b val="true"/>
        <sz val="9"/>
        <color rgb="FF1F3864"/>
        <rFont val="FreeSans"/>
        <family val="2"/>
      </rPr>
      <t xml:space="preserve">ชีต </t>
    </r>
    <r>
      <rPr>
        <b val="true"/>
        <sz val="9"/>
        <color rgb="FF1F3864"/>
        <rFont val="Tahoma"/>
        <family val="0"/>
        <charset val="1"/>
      </rPr>
      <t xml:space="preserve">/ Sheet</t>
    </r>
  </si>
  <si>
    <r>
      <rPr>
        <b val="true"/>
        <sz val="9"/>
        <color rgb="FF1F3864"/>
        <rFont val="FreeSans"/>
        <family val="2"/>
      </rPr>
      <t xml:space="preserve">ใช้ทำอะไร </t>
    </r>
    <r>
      <rPr>
        <b val="true"/>
        <sz val="9"/>
        <color rgb="FF1F3864"/>
        <rFont val="Tahoma"/>
        <family val="0"/>
        <charset val="1"/>
      </rPr>
      <t xml:space="preserve">/ Purpose</t>
    </r>
  </si>
  <si>
    <r>
      <rPr>
        <b val="true"/>
        <sz val="9"/>
        <color rgb="FF1F3864"/>
        <rFont val="FreeSans"/>
        <family val="2"/>
      </rPr>
      <t xml:space="preserve">ต้องกรอกอะไร </t>
    </r>
    <r>
      <rPr>
        <b val="true"/>
        <sz val="9"/>
        <color rgb="FF1F3864"/>
        <rFont val="Tahoma"/>
        <family val="0"/>
        <charset val="1"/>
      </rPr>
      <t xml:space="preserve">/ What to fill</t>
    </r>
  </si>
  <si>
    <r>
      <rPr>
        <b val="true"/>
        <sz val="9"/>
        <rFont val="FreeSans"/>
        <family val="2"/>
      </rPr>
      <t xml:space="preserve">ตั้งค่า </t>
    </r>
    <r>
      <rPr>
        <b val="true"/>
        <sz val="9"/>
        <rFont val="Tahoma"/>
        <family val="0"/>
        <charset val="1"/>
      </rPr>
      <t xml:space="preserve">Setup</t>
    </r>
  </si>
  <si>
    <r>
      <rPr>
        <sz val="9"/>
        <rFont val="FreeSans"/>
        <family val="2"/>
      </rPr>
      <t xml:space="preserve">ข้อมูลหลักของสัญญา วันที่ตรวจวัด รอบตัดงวด อัตราค่าปรับ และรายชื่อหมวดงาน </t>
    </r>
    <r>
      <rPr>
        <sz val="9"/>
        <rFont val="Tahoma"/>
        <family val="0"/>
        <charset val="1"/>
      </rPr>
      <t xml:space="preserve">(WBS </t>
    </r>
    <r>
      <rPr>
        <sz val="9"/>
        <rFont val="FreeSans"/>
        <family val="2"/>
      </rPr>
      <t xml:space="preserve">ระดับ </t>
    </r>
    <r>
      <rPr>
        <sz val="9"/>
        <rFont val="Tahoma"/>
        <family val="0"/>
        <charset val="1"/>
      </rPr>
      <t xml:space="preserve">1)</t>
    </r>
  </si>
  <si>
    <r>
      <rPr>
        <sz val="9"/>
        <rFont val="FreeSans"/>
        <family val="2"/>
      </rPr>
      <t xml:space="preserve">ทุกช่องสีเหลือง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ตั้งค่าครั้งแรก</t>
    </r>
    <r>
      <rPr>
        <sz val="9"/>
        <rFont val="Tahoma"/>
        <family val="0"/>
        <charset val="1"/>
      </rPr>
      <t xml:space="preserve">) + </t>
    </r>
    <r>
      <rPr>
        <sz val="9"/>
        <rFont val="FreeSans"/>
        <family val="2"/>
      </rPr>
      <t xml:space="preserve">เปลี่ยน </t>
    </r>
    <r>
      <rPr>
        <sz val="9"/>
        <rFont val="Tahoma"/>
        <family val="0"/>
        <charset val="1"/>
      </rPr>
      <t xml:space="preserve">Status Date </t>
    </r>
    <r>
      <rPr>
        <sz val="9"/>
        <rFont val="FreeSans"/>
        <family val="2"/>
      </rPr>
      <t xml:space="preserve">ทุกงวด</t>
    </r>
  </si>
  <si>
    <t xml:space="preserve">Dashboard</t>
  </si>
  <si>
    <r>
      <rPr>
        <sz val="9"/>
        <rFont val="FreeSans"/>
        <family val="2"/>
      </rPr>
      <t xml:space="preserve">สรุปตัวชี้วัดทั้งหมด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เวลา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ต้นทุน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ขยายเวลา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ค่าปรับ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พร้อมกราฟ </t>
    </r>
    <r>
      <rPr>
        <sz val="9"/>
        <rFont val="Tahoma"/>
        <family val="0"/>
        <charset val="1"/>
      </rPr>
      <t xml:space="preserve">S-Curve </t>
    </r>
    <r>
      <rPr>
        <sz val="9"/>
        <rFont val="FreeSans"/>
        <family val="2"/>
      </rPr>
      <t xml:space="preserve">และกราฟ </t>
    </r>
    <r>
      <rPr>
        <sz val="9"/>
        <rFont val="Tahoma"/>
        <family val="0"/>
        <charset val="1"/>
      </rPr>
      <t xml:space="preserve">EVM</t>
    </r>
  </si>
  <si>
    <t xml:space="preserve">ไม่ต้องกรอก – คำนวณอัตโนมัติ</t>
  </si>
  <si>
    <r>
      <rPr>
        <b val="true"/>
        <sz val="9"/>
        <rFont val="FreeSans"/>
        <family val="2"/>
      </rPr>
      <t xml:space="preserve">รายงาน </t>
    </r>
    <r>
      <rPr>
        <b val="true"/>
        <sz val="9"/>
        <rFont val="Tahoma"/>
        <family val="0"/>
        <charset val="1"/>
      </rPr>
      <t xml:space="preserve">Report</t>
    </r>
  </si>
  <si>
    <r>
      <rPr>
        <sz val="9"/>
        <rFont val="FreeSans"/>
        <family val="2"/>
      </rPr>
      <t xml:space="preserve">รายงานประจำงวดพร้อมพิมพ์ </t>
    </r>
    <r>
      <rPr>
        <sz val="9"/>
        <rFont val="Tahoma"/>
        <family val="0"/>
        <charset val="1"/>
      </rPr>
      <t xml:space="preserve">(A4) </t>
    </r>
    <r>
      <rPr>
        <sz val="9"/>
        <rFont val="FreeSans"/>
        <family val="2"/>
      </rPr>
      <t xml:space="preserve">ใช้ส่งผู้ว่าจ้าง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ผู้ควบคุมงาน มีช่องลงนาม</t>
    </r>
  </si>
  <si>
    <r>
      <rPr>
        <sz val="9"/>
        <rFont val="FreeSans"/>
        <family val="2"/>
      </rPr>
      <t xml:space="preserve">กรอกเฉพาะหัวข้อ </t>
    </r>
    <r>
      <rPr>
        <sz val="9"/>
        <rFont val="Tahoma"/>
        <family val="0"/>
        <charset val="1"/>
      </rPr>
      <t xml:space="preserve">6 </t>
    </r>
    <r>
      <rPr>
        <sz val="9"/>
        <rFont val="FreeSans"/>
        <family val="2"/>
      </rPr>
      <t xml:space="preserve">ปัญหาและแนวทางแก้ไข</t>
    </r>
  </si>
  <si>
    <r>
      <rPr>
        <b val="true"/>
        <sz val="9"/>
        <rFont val="FreeSans"/>
        <family val="2"/>
      </rPr>
      <t xml:space="preserve">แผนงาน </t>
    </r>
    <r>
      <rPr>
        <b val="true"/>
        <sz val="9"/>
        <rFont val="Tahoma"/>
        <family val="0"/>
        <charset val="1"/>
      </rPr>
      <t xml:space="preserve">Schedule</t>
    </r>
  </si>
  <si>
    <r>
      <rPr>
        <sz val="9"/>
        <rFont val="FreeSans"/>
        <family val="2"/>
      </rPr>
      <t xml:space="preserve">รายการงานแบบ </t>
    </r>
    <r>
      <rPr>
        <sz val="9"/>
        <rFont val="Tahoma"/>
        <family val="0"/>
        <charset val="1"/>
      </rPr>
      <t xml:space="preserve">WBS: </t>
    </r>
    <r>
      <rPr>
        <sz val="9"/>
        <rFont val="FreeSans"/>
        <family val="2"/>
      </rPr>
      <t xml:space="preserve">น้ำหนักงาน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แผนเดิม </t>
    </r>
    <r>
      <rPr>
        <sz val="9"/>
        <rFont val="Tahoma"/>
        <family val="0"/>
        <charset val="1"/>
      </rPr>
      <t xml:space="preserve">(Baseline), </t>
    </r>
    <r>
      <rPr>
        <sz val="9"/>
        <rFont val="FreeSans"/>
        <family val="2"/>
      </rPr>
      <t xml:space="preserve">แผนเร่งรัด </t>
    </r>
    <r>
      <rPr>
        <sz val="9"/>
        <rFont val="Tahoma"/>
        <family val="0"/>
        <charset val="1"/>
      </rPr>
      <t xml:space="preserve">(Revised), </t>
    </r>
    <r>
      <rPr>
        <sz val="9"/>
        <rFont val="FreeSans"/>
        <family val="2"/>
      </rPr>
      <t xml:space="preserve">ผลงานจริง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การวิเคราะห์รายรายการ และ </t>
    </r>
    <r>
      <rPr>
        <sz val="9"/>
        <rFont val="Tahoma"/>
        <family val="0"/>
        <charset val="1"/>
      </rPr>
      <t xml:space="preserve">Gantt Chart</t>
    </r>
  </si>
  <si>
    <r>
      <rPr>
        <sz val="9"/>
        <rFont val="FreeSans"/>
        <family val="2"/>
      </rPr>
      <t xml:space="preserve">ครั้งแรก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หมวด รายการ น้ำหนัก วันตามแผน • ทุกงวด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วันเริ่ม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เสร็จจริง และ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จริง</t>
    </r>
  </si>
  <si>
    <t xml:space="preserve">S-Curve</t>
  </si>
  <si>
    <r>
      <rPr>
        <sz val="9"/>
        <rFont val="FreeSans"/>
        <family val="2"/>
      </rPr>
      <t xml:space="preserve">ตารางรายงวดสำหรับ </t>
    </r>
    <r>
      <rPr>
        <sz val="9"/>
        <rFont val="Tahoma"/>
        <family val="0"/>
        <charset val="1"/>
      </rPr>
      <t xml:space="preserve">S-Curve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EVM (PV / EV / AC) </t>
    </r>
    <r>
      <rPr>
        <sz val="9"/>
        <rFont val="FreeSans"/>
        <family val="2"/>
      </rPr>
      <t xml:space="preserve">รวมถึงเงินเบิกจ่าย</t>
    </r>
  </si>
  <si>
    <r>
      <rPr>
        <sz val="9"/>
        <rFont val="FreeSans"/>
        <family val="2"/>
      </rPr>
      <t xml:space="preserve">ทุกงวด</t>
    </r>
    <r>
      <rPr>
        <sz val="9"/>
        <rFont val="Tahoma"/>
        <family val="0"/>
        <charset val="1"/>
      </rPr>
      <t xml:space="preserve">: % </t>
    </r>
    <r>
      <rPr>
        <sz val="9"/>
        <rFont val="FreeSans"/>
        <family val="2"/>
      </rPr>
      <t xml:space="preserve">จริงสะสม</t>
    </r>
    <r>
      <rPr>
        <sz val="9"/>
        <rFont val="Tahoma"/>
        <family val="0"/>
        <charset val="1"/>
      </rPr>
      <t xml:space="preserve">, AC </t>
    </r>
    <r>
      <rPr>
        <sz val="9"/>
        <rFont val="FreeSans"/>
        <family val="2"/>
      </rPr>
      <t xml:space="preserve">ต้นทุนจริงในงวด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เงินเบิกจ่ายในงวด</t>
    </r>
  </si>
  <si>
    <r>
      <rPr>
        <b val="true"/>
        <sz val="9"/>
        <rFont val="FreeSans"/>
        <family val="2"/>
      </rPr>
      <t xml:space="preserve">ขยายเวลา </t>
    </r>
    <r>
      <rPr>
        <b val="true"/>
        <sz val="9"/>
        <rFont val="Tahoma"/>
        <family val="0"/>
        <charset val="1"/>
      </rPr>
      <t xml:space="preserve">EOT</t>
    </r>
  </si>
  <si>
    <r>
      <rPr>
        <sz val="9"/>
        <rFont val="FreeSans"/>
        <family val="2"/>
      </rPr>
      <t xml:space="preserve">ทะเบียนเหตุการณ์ล่าช้าและการขอขยายเวลา </t>
    </r>
    <r>
      <rPr>
        <sz val="9"/>
        <rFont val="Tahoma"/>
        <family val="0"/>
        <charset val="1"/>
      </rPr>
      <t xml:space="preserve">(EOT) – </t>
    </r>
    <r>
      <rPr>
        <sz val="9"/>
        <rFont val="FreeSans"/>
        <family val="2"/>
      </rPr>
      <t xml:space="preserve">วันที่อนุมัติจะไปขยายวันสิ้นสุดสัญญาอัตโนมัติ</t>
    </r>
  </si>
  <si>
    <r>
      <rPr>
        <sz val="9"/>
        <rFont val="FreeSans"/>
        <family val="2"/>
      </rPr>
      <t xml:space="preserve">ทุกครั้งที่มีเหตุการณ์ล่าช้า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ยื่นหนังสือ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ได้รับผลพิจารณา</t>
    </r>
  </si>
  <si>
    <r>
      <rPr>
        <b val="true"/>
        <sz val="11"/>
        <color rgb="FFFFFFFF"/>
        <rFont val="Tahoma"/>
        <family val="0"/>
        <charset val="1"/>
      </rPr>
      <t xml:space="preserve">2. </t>
    </r>
    <r>
      <rPr>
        <b val="true"/>
        <sz val="11"/>
        <color rgb="FFFFFFFF"/>
        <rFont val="FreeSans"/>
        <family val="2"/>
      </rPr>
      <t xml:space="preserve">สัญลักษณ์สี </t>
    </r>
    <r>
      <rPr>
        <b val="true"/>
        <sz val="11"/>
        <color rgb="FFFFFFFF"/>
        <rFont val="Tahoma"/>
        <family val="0"/>
        <charset val="1"/>
      </rPr>
      <t xml:space="preserve">/ Color Legend</t>
    </r>
  </si>
  <si>
    <t xml:space="preserve">ช่องพื้นเหลือง ตัวน้ำเงิน</t>
  </si>
  <si>
    <r>
      <rPr>
        <sz val="9"/>
        <rFont val="FreeSans"/>
        <family val="2"/>
      </rPr>
      <t xml:space="preserve">ช่องที่ให้กรอก </t>
    </r>
    <r>
      <rPr>
        <sz val="9"/>
        <rFont val="Tahoma"/>
        <family val="0"/>
        <charset val="1"/>
      </rPr>
      <t xml:space="preserve">(Input) – </t>
    </r>
    <r>
      <rPr>
        <sz val="9"/>
        <rFont val="FreeSans"/>
        <family val="2"/>
      </rPr>
      <t xml:space="preserve">แก้ไขได้</t>
    </r>
  </si>
  <si>
    <t xml:space="preserve">ช่องพื้นขาว ตัวดำ</t>
  </si>
  <si>
    <t xml:space="preserve">สูตรคำนวณ – ถูกล็อกไว้กันแก้โดยไม่ตั้งใจ</t>
  </si>
  <si>
    <r>
      <rPr>
        <sz val="9"/>
        <rFont val="FreeSans"/>
        <family val="2"/>
      </rPr>
      <t xml:space="preserve">ปลดล็อก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รีวิว </t>
    </r>
    <r>
      <rPr>
        <sz val="9"/>
        <rFont val="Tahoma"/>
        <family val="0"/>
        <charset val="1"/>
      </rPr>
      <t xml:space="preserve">(Review) → </t>
    </r>
    <r>
      <rPr>
        <sz val="9"/>
        <rFont val="FreeSans"/>
        <family val="2"/>
      </rPr>
      <t xml:space="preserve">ยกเลิกการป้องกันแผ่นงาน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ไม่มีรหัสผ่าน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</si>
  <si>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Gantt </t>
    </r>
    <r>
      <rPr>
        <sz val="9"/>
        <rFont val="FreeSans"/>
        <family val="2"/>
      </rPr>
      <t xml:space="preserve">สีฟ้า</t>
    </r>
  </si>
  <si>
    <r>
      <rPr>
        <sz val="9"/>
        <rFont val="FreeSans"/>
        <family val="2"/>
      </rPr>
      <t xml:space="preserve">ช่วงเวลาตามแผนเดิม </t>
    </r>
    <r>
      <rPr>
        <sz val="9"/>
        <rFont val="Tahoma"/>
        <family val="0"/>
        <charset val="1"/>
      </rPr>
      <t xml:space="preserve">(Baseline)</t>
    </r>
  </si>
  <si>
    <r>
      <rPr>
        <sz val="9"/>
        <rFont val="Tahoma"/>
        <family val="0"/>
        <charset val="1"/>
      </rPr>
      <t xml:space="preserve">Gantt </t>
    </r>
    <r>
      <rPr>
        <sz val="9"/>
        <rFont val="FreeSans"/>
        <family val="2"/>
      </rPr>
      <t xml:space="preserve">สีส้ม</t>
    </r>
  </si>
  <si>
    <r>
      <rPr>
        <sz val="9"/>
        <rFont val="FreeSans"/>
        <family val="2"/>
      </rPr>
      <t xml:space="preserve">ช่วงที่ทำงานจริง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นอกช่วงแผน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</si>
  <si>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Gantt </t>
    </r>
    <r>
      <rPr>
        <sz val="9"/>
        <rFont val="FreeSans"/>
        <family val="2"/>
      </rPr>
      <t xml:space="preserve">สีเขียว</t>
    </r>
  </si>
  <si>
    <t xml:space="preserve">ทำงานจริงตรงกับช่วงแผน</t>
  </si>
  <si>
    <r>
      <rPr>
        <sz val="9"/>
        <rFont val="FreeSans"/>
        <family val="2"/>
      </rPr>
      <t xml:space="preserve">หัวคอลัมน์ </t>
    </r>
    <r>
      <rPr>
        <sz val="9"/>
        <rFont val="Tahoma"/>
        <family val="0"/>
        <charset val="1"/>
      </rPr>
      <t xml:space="preserve">Gantt </t>
    </r>
    <r>
      <rPr>
        <sz val="9"/>
        <rFont val="FreeSans"/>
        <family val="2"/>
      </rPr>
      <t xml:space="preserve">สีแดง</t>
    </r>
  </si>
  <si>
    <r>
      <rPr>
        <sz val="9"/>
        <rFont val="FreeSans"/>
        <family val="2"/>
      </rPr>
      <t xml:space="preserve">งวดที่มีวันตรวจวัด </t>
    </r>
    <r>
      <rPr>
        <sz val="9"/>
        <rFont val="Tahoma"/>
        <family val="0"/>
        <charset val="1"/>
      </rPr>
      <t xml:space="preserve">(Status Date)</t>
    </r>
  </si>
  <si>
    <r>
      <rPr>
        <sz val="9"/>
        <rFont val="FreeSans"/>
        <family val="2"/>
      </rPr>
      <t xml:space="preserve">แถวสีส้มอ่อนในชีต </t>
    </r>
    <r>
      <rPr>
        <sz val="9"/>
        <rFont val="Tahoma"/>
        <family val="0"/>
        <charset val="1"/>
      </rPr>
      <t xml:space="preserve">S-Curve</t>
    </r>
  </si>
  <si>
    <t xml:space="preserve">งวดปัจจุบัน – กรอกผลงานจริงของงวดนี้</t>
  </si>
  <si>
    <r>
      <rPr>
        <sz val="9"/>
        <rFont val="FreeSans"/>
        <family val="2"/>
      </rPr>
      <t xml:space="preserve">สถานะสีแดง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เหลือง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เขียว</t>
    </r>
  </si>
  <si>
    <r>
      <rPr>
        <sz val="9"/>
        <rFont val="FreeSans"/>
        <family val="2"/>
      </rPr>
      <t xml:space="preserve">ล่าช้ามาก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เฝ้าระวัง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ตามแผน</t>
    </r>
  </si>
  <si>
    <r>
      <rPr>
        <b val="true"/>
        <sz val="11"/>
        <color rgb="FFFFFFFF"/>
        <rFont val="Tahoma"/>
        <family val="0"/>
        <charset val="1"/>
      </rPr>
      <t xml:space="preserve">3. </t>
    </r>
    <r>
      <rPr>
        <b val="true"/>
        <sz val="11"/>
        <color rgb="FFFFFFFF"/>
        <rFont val="FreeSans"/>
        <family val="2"/>
      </rPr>
      <t xml:space="preserve">ขั้นตอนตั้งค่าโครงการใหม่ </t>
    </r>
    <r>
      <rPr>
        <b val="true"/>
        <sz val="11"/>
        <color rgb="FFFFFFFF"/>
        <rFont val="Tahoma"/>
        <family val="0"/>
        <charset val="1"/>
      </rPr>
      <t xml:space="preserve">/ New Project Setup</t>
    </r>
  </si>
  <si>
    <r>
      <rPr>
        <sz val="9"/>
        <rFont val="Tahoma"/>
        <family val="0"/>
        <charset val="1"/>
      </rPr>
      <t xml:space="preserve">1) </t>
    </r>
    <r>
      <rPr>
        <sz val="9"/>
        <rFont val="FreeSans"/>
        <family val="2"/>
      </rPr>
      <t xml:space="preserve">ชีต ตั้งค่า </t>
    </r>
    <r>
      <rPr>
        <sz val="9"/>
        <rFont val="Tahoma"/>
        <family val="0"/>
        <charset val="1"/>
      </rPr>
      <t xml:space="preserve">Setup: </t>
    </r>
    <r>
      <rPr>
        <sz val="9"/>
        <rFont val="FreeSans"/>
        <family val="2"/>
      </rPr>
      <t xml:space="preserve">กรอกชื่อโครงการ คู่สัญญา มูลค่าสัญญา วันเริ่ม ระยะเวลา อัตราค่าปรับ และรายชื่อหมวดงาน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สูงสุด </t>
    </r>
    <r>
      <rPr>
        <sz val="9"/>
        <rFont val="Tahoma"/>
        <family val="0"/>
        <charset val="1"/>
      </rPr>
      <t xml:space="preserve">10 </t>
    </r>
    <r>
      <rPr>
        <sz val="9"/>
        <rFont val="FreeSans"/>
        <family val="2"/>
      </rPr>
      <t xml:space="preserve">หมวด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</si>
  <si>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2) </t>
    </r>
    <r>
      <rPr>
        <sz val="9"/>
        <rFont val="FreeSans"/>
        <family val="2"/>
      </rPr>
      <t xml:space="preserve">ชีต แผนงาน </t>
    </r>
    <r>
      <rPr>
        <sz val="9"/>
        <rFont val="Tahoma"/>
        <family val="0"/>
        <charset val="1"/>
      </rPr>
      <t xml:space="preserve">Schedule: </t>
    </r>
    <r>
      <rPr>
        <sz val="9"/>
        <rFont val="FreeSans"/>
        <family val="2"/>
      </rPr>
      <t xml:space="preserve">ลบข้อมูลเดิมในช่องสีเหลือง แล้วกรอกรายการงาน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สูงสุด </t>
    </r>
    <r>
      <rPr>
        <sz val="9"/>
        <rFont val="Tahoma"/>
        <family val="0"/>
        <charset val="1"/>
      </rPr>
      <t xml:space="preserve">60 </t>
    </r>
    <r>
      <rPr>
        <sz val="9"/>
        <rFont val="FreeSans"/>
        <family val="2"/>
      </rPr>
      <t xml:space="preserve">รายการ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เลือกหมวดจาก </t>
    </r>
    <r>
      <rPr>
        <sz val="9"/>
        <rFont val="Tahoma"/>
        <family val="0"/>
        <charset val="1"/>
      </rPr>
      <t xml:space="preserve">Drop-down </t>
    </r>
    <r>
      <rPr>
        <sz val="9"/>
        <rFont val="FreeSans"/>
        <family val="2"/>
      </rPr>
      <t xml:space="preserve">รหัส </t>
    </r>
    <r>
      <rPr>
        <sz val="9"/>
        <rFont val="Tahoma"/>
        <family val="0"/>
        <charset val="1"/>
      </rPr>
      <t xml:space="preserve">WBS </t>
    </r>
    <r>
      <rPr>
        <sz val="9"/>
        <rFont val="FreeSans"/>
        <family val="2"/>
      </rPr>
      <t xml:space="preserve">จะสร้างให้เอง</t>
    </r>
  </si>
  <si>
    <r>
      <rPr>
        <sz val="9"/>
        <rFont val="Tahoma"/>
        <family val="0"/>
        <charset val="1"/>
      </rPr>
      <t xml:space="preserve">3) </t>
    </r>
    <r>
      <rPr>
        <sz val="9"/>
        <rFont val="FreeSans"/>
        <family val="2"/>
      </rPr>
      <t xml:space="preserve">น้ำหนักงาน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กรอก </t>
    </r>
    <r>
      <rPr>
        <sz val="9"/>
        <rFont val="Tahoma"/>
        <family val="0"/>
        <charset val="1"/>
      </rPr>
      <t xml:space="preserve">'</t>
    </r>
    <r>
      <rPr>
        <sz val="9"/>
        <rFont val="FreeSans"/>
        <family val="2"/>
      </rPr>
      <t xml:space="preserve">น้ำหนักกำหนดเอง</t>
    </r>
    <r>
      <rPr>
        <sz val="9"/>
        <rFont val="Tahoma"/>
        <family val="0"/>
        <charset val="1"/>
      </rPr>
      <t xml:space="preserve">' </t>
    </r>
    <r>
      <rPr>
        <sz val="9"/>
        <rFont val="FreeSans"/>
        <family val="2"/>
      </rPr>
      <t xml:space="preserve">หรือกรอก </t>
    </r>
    <r>
      <rPr>
        <sz val="9"/>
        <rFont val="Tahoma"/>
        <family val="0"/>
        <charset val="1"/>
      </rPr>
      <t xml:space="preserve">'</t>
    </r>
    <r>
      <rPr>
        <sz val="9"/>
        <rFont val="FreeSans"/>
        <family val="2"/>
      </rPr>
      <t xml:space="preserve">มูลค่า </t>
    </r>
    <r>
      <rPr>
        <sz val="9"/>
        <rFont val="Tahoma"/>
        <family val="0"/>
        <charset val="1"/>
      </rPr>
      <t xml:space="preserve">BOQ' </t>
    </r>
    <r>
      <rPr>
        <sz val="9"/>
        <rFont val="FreeSans"/>
        <family val="2"/>
      </rPr>
      <t xml:space="preserve">อย่างเดียวแล้วระบบคำนวณน้ำหนักจากสัดส่วนมูลค่าให้ • รวมต้องได้ </t>
    </r>
    <r>
      <rPr>
        <sz val="9"/>
        <rFont val="Tahoma"/>
        <family val="0"/>
        <charset val="1"/>
      </rPr>
      <t xml:space="preserve">100% (</t>
    </r>
    <r>
      <rPr>
        <sz val="9"/>
        <rFont val="FreeSans"/>
        <family val="2"/>
      </rPr>
      <t xml:space="preserve">ดูช่องตรวจสอบใน </t>
    </r>
    <r>
      <rPr>
        <sz val="9"/>
        <rFont val="Tahoma"/>
        <family val="0"/>
        <charset val="1"/>
      </rPr>
      <t xml:space="preserve">Dashboard)</t>
    </r>
  </si>
  <si>
    <r>
      <rPr>
        <sz val="9"/>
        <rFont val="Tahoma"/>
        <family val="0"/>
        <charset val="1"/>
      </rPr>
      <t xml:space="preserve">4) </t>
    </r>
    <r>
      <rPr>
        <sz val="9"/>
        <rFont val="FreeSans"/>
        <family val="2"/>
      </rPr>
      <t xml:space="preserve">กรอกวันเริ่ม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เสร็จตามแผนเดิม </t>
    </r>
    <r>
      <rPr>
        <sz val="9"/>
        <rFont val="Tahoma"/>
        <family val="0"/>
        <charset val="1"/>
      </rPr>
      <t xml:space="preserve">(Baseline) – </t>
    </r>
    <r>
      <rPr>
        <sz val="9"/>
        <rFont val="FreeSans"/>
        <family val="2"/>
      </rPr>
      <t xml:space="preserve">เมื่อได้รับอนุมัติแผนแล้ว ไม่ควรแก้ </t>
    </r>
    <r>
      <rPr>
        <sz val="9"/>
        <rFont val="Tahoma"/>
        <family val="0"/>
        <charset val="1"/>
      </rPr>
      <t xml:space="preserve">Baseline </t>
    </r>
    <r>
      <rPr>
        <sz val="9"/>
        <rFont val="FreeSans"/>
        <family val="2"/>
      </rPr>
      <t xml:space="preserve">อีก ถ้าแผนเปลี่ยนให้ใช้คอลัมน์ </t>
    </r>
    <r>
      <rPr>
        <sz val="9"/>
        <rFont val="Tahoma"/>
        <family val="0"/>
        <charset val="1"/>
      </rPr>
      <t xml:space="preserve">Revised</t>
    </r>
  </si>
  <si>
    <r>
      <rPr>
        <sz val="9"/>
        <rFont val="Tahoma"/>
        <family val="0"/>
        <charset val="1"/>
      </rPr>
      <t xml:space="preserve">5) </t>
    </r>
    <r>
      <rPr>
        <sz val="9"/>
        <rFont val="FreeSans"/>
        <family val="2"/>
      </rPr>
      <t xml:space="preserve">ชีต </t>
    </r>
    <r>
      <rPr>
        <sz val="9"/>
        <rFont val="Tahoma"/>
        <family val="0"/>
        <charset val="1"/>
      </rPr>
      <t xml:space="preserve">S-Curve </t>
    </r>
    <r>
      <rPr>
        <sz val="9"/>
        <rFont val="FreeSans"/>
        <family val="2"/>
      </rPr>
      <t xml:space="preserve">และ ขยายเวลา </t>
    </r>
    <r>
      <rPr>
        <sz val="9"/>
        <rFont val="Tahoma"/>
        <family val="0"/>
        <charset val="1"/>
      </rPr>
      <t xml:space="preserve">EOT: </t>
    </r>
    <r>
      <rPr>
        <sz val="9"/>
        <rFont val="FreeSans"/>
        <family val="2"/>
      </rPr>
      <t xml:space="preserve">ลบข้อมูลเดิมในช่องสีเหลือง</t>
    </r>
  </si>
  <si>
    <r>
      <rPr>
        <b val="true"/>
        <sz val="11"/>
        <color rgb="FFFFFFFF"/>
        <rFont val="Tahoma"/>
        <family val="0"/>
        <charset val="1"/>
      </rPr>
      <t xml:space="preserve">4. </t>
    </r>
    <r>
      <rPr>
        <b val="true"/>
        <sz val="11"/>
        <color rgb="FFFFFFFF"/>
        <rFont val="FreeSans"/>
        <family val="2"/>
      </rPr>
      <t xml:space="preserve">ขั้นตอนอัปเดตทุกงวด </t>
    </r>
    <r>
      <rPr>
        <b val="true"/>
        <sz val="11"/>
        <color rgb="FFFFFFFF"/>
        <rFont val="Tahoma"/>
        <family val="0"/>
        <charset val="1"/>
      </rPr>
      <t xml:space="preserve">/ Periodic Update Routine</t>
    </r>
  </si>
  <si>
    <r>
      <rPr>
        <sz val="9"/>
        <rFont val="Tahoma"/>
        <family val="0"/>
        <charset val="1"/>
      </rPr>
      <t xml:space="preserve">1) </t>
    </r>
    <r>
      <rPr>
        <sz val="9"/>
        <rFont val="FreeSans"/>
        <family val="2"/>
      </rPr>
      <t xml:space="preserve">ตั้งค่า </t>
    </r>
    <r>
      <rPr>
        <sz val="9"/>
        <rFont val="Tahoma"/>
        <family val="0"/>
        <charset val="1"/>
      </rPr>
      <t xml:space="preserve">Setup → </t>
    </r>
    <r>
      <rPr>
        <sz val="9"/>
        <rFont val="FreeSans"/>
        <family val="2"/>
      </rPr>
      <t xml:space="preserve">เปลี่ยน </t>
    </r>
    <r>
      <rPr>
        <sz val="9"/>
        <rFont val="Tahoma"/>
        <family val="0"/>
        <charset val="1"/>
      </rPr>
      <t xml:space="preserve">'</t>
    </r>
    <r>
      <rPr>
        <sz val="9"/>
        <rFont val="FreeSans"/>
        <family val="2"/>
      </rPr>
      <t xml:space="preserve">วันที่ตรวจวัดผลงาน </t>
    </r>
    <r>
      <rPr>
        <sz val="9"/>
        <rFont val="Tahoma"/>
        <family val="0"/>
        <charset val="1"/>
      </rPr>
      <t xml:space="preserve">(Status Date)'</t>
    </r>
  </si>
  <si>
    <r>
      <rPr>
        <sz val="9"/>
        <rFont val="Tahoma"/>
        <family val="0"/>
        <charset val="1"/>
      </rPr>
      <t xml:space="preserve">2) </t>
    </r>
    <r>
      <rPr>
        <sz val="9"/>
        <rFont val="FreeSans"/>
        <family val="2"/>
      </rPr>
      <t xml:space="preserve">แผนงาน </t>
    </r>
    <r>
      <rPr>
        <sz val="9"/>
        <rFont val="Tahoma"/>
        <family val="0"/>
        <charset val="1"/>
      </rPr>
      <t xml:space="preserve">Schedule → </t>
    </r>
    <r>
      <rPr>
        <sz val="9"/>
        <rFont val="FreeSans"/>
        <family val="2"/>
      </rPr>
      <t xml:space="preserve">กรอกวันเริ่มจริง วันเสร็จจริง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เว้นว่างถ้ายังไม่เสร็จ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ความคืบหน้าของแต่ละรายการ</t>
    </r>
  </si>
  <si>
    <r>
      <rPr>
        <sz val="9"/>
        <rFont val="Tahoma"/>
        <family val="0"/>
        <charset val="1"/>
      </rPr>
      <t xml:space="preserve">3) S-Curve → </t>
    </r>
    <r>
      <rPr>
        <sz val="9"/>
        <rFont val="FreeSans"/>
        <family val="2"/>
      </rPr>
      <t xml:space="preserve">ที่แถวสีส้ม กรอก </t>
    </r>
    <r>
      <rPr>
        <sz val="9"/>
        <rFont val="Tahoma"/>
        <family val="0"/>
        <charset val="1"/>
      </rPr>
      <t xml:space="preserve">Actual % </t>
    </r>
    <r>
      <rPr>
        <sz val="9"/>
        <rFont val="FreeSans"/>
        <family val="2"/>
      </rPr>
      <t xml:space="preserve">สะสม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คัดลอกค่าจากแถวรวม คอลัมน์ </t>
    </r>
    <r>
      <rPr>
        <sz val="9"/>
        <rFont val="Tahoma"/>
        <family val="0"/>
        <charset val="1"/>
      </rPr>
      <t xml:space="preserve">'% </t>
    </r>
    <r>
      <rPr>
        <sz val="9"/>
        <rFont val="FreeSans"/>
        <family val="2"/>
      </rPr>
      <t xml:space="preserve">งานนี้</t>
    </r>
    <r>
      <rPr>
        <sz val="9"/>
        <rFont val="Tahoma"/>
        <family val="0"/>
        <charset val="1"/>
      </rPr>
      <t xml:space="preserve">' </t>
    </r>
    <r>
      <rPr>
        <sz val="9"/>
        <rFont val="FreeSans"/>
        <family val="2"/>
      </rPr>
      <t xml:space="preserve">ในชีตแผนงาน</t>
    </r>
    <r>
      <rPr>
        <sz val="9"/>
        <rFont val="Tahoma"/>
        <family val="0"/>
        <charset val="1"/>
      </rPr>
      <t xml:space="preserve">), AC </t>
    </r>
    <r>
      <rPr>
        <sz val="9"/>
        <rFont val="FreeSans"/>
        <family val="2"/>
      </rPr>
      <t xml:space="preserve">ต้นทุนจริงในงวด และเงินเบิกจ่ายในงวด</t>
    </r>
  </si>
  <si>
    <r>
      <rPr>
        <sz val="9"/>
        <rFont val="Tahoma"/>
        <family val="0"/>
        <charset val="1"/>
      </rPr>
      <t xml:space="preserve">4) </t>
    </r>
    <r>
      <rPr>
        <sz val="9"/>
        <rFont val="FreeSans"/>
        <family val="2"/>
      </rPr>
      <t xml:space="preserve">ขยายเวลา </t>
    </r>
    <r>
      <rPr>
        <sz val="9"/>
        <rFont val="Tahoma"/>
        <family val="0"/>
        <charset val="1"/>
      </rPr>
      <t xml:space="preserve">EOT → </t>
    </r>
    <r>
      <rPr>
        <sz val="9"/>
        <rFont val="FreeSans"/>
        <family val="2"/>
      </rPr>
      <t xml:space="preserve">บันทึกเหตุการณ์ล่าช้าใหม่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อัปเดตผลพิจารณา</t>
    </r>
  </si>
  <si>
    <r>
      <rPr>
        <sz val="9"/>
        <rFont val="Tahoma"/>
        <family val="0"/>
        <charset val="1"/>
      </rPr>
      <t xml:space="preserve">5) </t>
    </r>
    <r>
      <rPr>
        <sz val="9"/>
        <rFont val="FreeSans"/>
        <family val="2"/>
      </rPr>
      <t xml:space="preserve">รายงาน </t>
    </r>
    <r>
      <rPr>
        <sz val="9"/>
        <rFont val="Tahoma"/>
        <family val="0"/>
        <charset val="1"/>
      </rPr>
      <t xml:space="preserve">Report → </t>
    </r>
    <r>
      <rPr>
        <sz val="9"/>
        <rFont val="FreeSans"/>
        <family val="2"/>
      </rPr>
      <t xml:space="preserve">กรอกปัญหาและแนวทางแก้ไข แล้วสั่งพิมพ์ </t>
    </r>
    <r>
      <rPr>
        <sz val="9"/>
        <rFont val="Tahoma"/>
        <family val="0"/>
        <charset val="1"/>
      </rPr>
      <t xml:space="preserve">(A4 </t>
    </r>
    <r>
      <rPr>
        <sz val="9"/>
        <rFont val="FreeSans"/>
        <family val="2"/>
      </rPr>
      <t xml:space="preserve">แนวตั้ง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หน้า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</si>
  <si>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6) </t>
    </r>
    <r>
      <rPr>
        <sz val="9"/>
        <rFont val="FreeSans"/>
        <family val="2"/>
      </rPr>
      <t xml:space="preserve">ถ้าโครงการล่าช้า → ทำแผนเร่งรัดโดยกรอกวันในคอลัมน์ </t>
    </r>
    <r>
      <rPr>
        <sz val="9"/>
        <rFont val="Tahoma"/>
        <family val="0"/>
        <charset val="1"/>
      </rPr>
      <t xml:space="preserve">REVISED </t>
    </r>
    <r>
      <rPr>
        <sz val="9"/>
        <rFont val="FreeSans"/>
        <family val="2"/>
      </rPr>
      <t xml:space="preserve">ของงานที่ยังไม่เสร็จ เส้นแผนเร่งรัดจะขึ้นในกราฟอัตโนมัติ</t>
    </r>
  </si>
  <si>
    <r>
      <rPr>
        <b val="true"/>
        <sz val="11"/>
        <color rgb="FFFFFFFF"/>
        <rFont val="Tahoma"/>
        <family val="0"/>
        <charset val="1"/>
      </rPr>
      <t xml:space="preserve">5. </t>
    </r>
    <r>
      <rPr>
        <b val="true"/>
        <sz val="11"/>
        <color rgb="FFFFFFFF"/>
        <rFont val="FreeSans"/>
        <family val="2"/>
      </rPr>
      <t xml:space="preserve">ความหมายของคอลัมน์ในชีตแผนงาน </t>
    </r>
    <r>
      <rPr>
        <b val="true"/>
        <sz val="11"/>
        <color rgb="FFFFFFFF"/>
        <rFont val="Tahoma"/>
        <family val="0"/>
        <charset val="1"/>
      </rPr>
      <t xml:space="preserve">/ Schedule Columns</t>
    </r>
  </si>
  <si>
    <r>
      <rPr>
        <b val="true"/>
        <sz val="9"/>
        <color rgb="FF1F3864"/>
        <rFont val="FreeSans"/>
        <family val="2"/>
      </rPr>
      <t xml:space="preserve">คอลัมน์ </t>
    </r>
    <r>
      <rPr>
        <b val="true"/>
        <sz val="9"/>
        <color rgb="FF1F3864"/>
        <rFont val="Tahoma"/>
        <family val="0"/>
        <charset val="1"/>
      </rPr>
      <t xml:space="preserve">/ Column</t>
    </r>
  </si>
  <si>
    <r>
      <rPr>
        <b val="true"/>
        <sz val="9"/>
        <color rgb="FF1F3864"/>
        <rFont val="FreeSans"/>
        <family val="2"/>
      </rPr>
      <t xml:space="preserve">ความหมาย </t>
    </r>
    <r>
      <rPr>
        <b val="true"/>
        <sz val="9"/>
        <color rgb="FF1F3864"/>
        <rFont val="Tahoma"/>
        <family val="0"/>
        <charset val="1"/>
      </rPr>
      <t xml:space="preserve">/ Meaning</t>
    </r>
  </si>
  <si>
    <r>
      <rPr>
        <b val="true"/>
        <sz val="9"/>
        <color rgb="FF1F3864"/>
        <rFont val="FreeSans"/>
        <family val="2"/>
      </rPr>
      <t xml:space="preserve">วิธีคำนวณ </t>
    </r>
    <r>
      <rPr>
        <b val="true"/>
        <sz val="9"/>
        <color rgb="FF1F3864"/>
        <rFont val="Tahoma"/>
        <family val="0"/>
        <charset val="1"/>
      </rPr>
      <t xml:space="preserve">/ How calculated</t>
    </r>
  </si>
  <si>
    <t xml:space="preserve">WBS</t>
  </si>
  <si>
    <r>
      <rPr>
        <sz val="9"/>
        <rFont val="FreeSans"/>
        <family val="2"/>
      </rPr>
      <t xml:space="preserve">รหัสโครงสร้างงาน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เลขหมวด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ลำดับในหมวด เช่น </t>
    </r>
    <r>
      <rPr>
        <sz val="9"/>
        <rFont val="Tahoma"/>
        <family val="0"/>
        <charset val="1"/>
      </rPr>
      <t xml:space="preserve">2.3 = </t>
    </r>
    <r>
      <rPr>
        <sz val="9"/>
        <rFont val="FreeSans"/>
        <family val="2"/>
      </rPr>
      <t xml:space="preserve">หมวดที่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รายการที่ </t>
    </r>
    <r>
      <rPr>
        <sz val="9"/>
        <rFont val="Tahoma"/>
        <family val="0"/>
        <charset val="1"/>
      </rPr>
      <t xml:space="preserve">3</t>
    </r>
  </si>
  <si>
    <t xml:space="preserve">อัตโนมัติจากหมวดที่เลือก</t>
  </si>
  <si>
    <r>
      <rPr>
        <b val="true"/>
        <sz val="9"/>
        <rFont val="FreeSans"/>
        <family val="2"/>
      </rPr>
      <t xml:space="preserve">น้ำหนักที่ใช้ </t>
    </r>
    <r>
      <rPr>
        <b val="true"/>
        <sz val="9"/>
        <rFont val="Tahoma"/>
        <family val="0"/>
        <charset val="1"/>
      </rPr>
      <t xml:space="preserve">/ Weight Used</t>
    </r>
  </si>
  <si>
    <t xml:space="preserve">สัดส่วนความสำคัญของงานเทียบทั้งโครงการ ใช้ถ่วงน้ำหนักผลงาน</t>
  </si>
  <si>
    <r>
      <rPr>
        <sz val="9"/>
        <rFont val="FreeSans"/>
        <family val="2"/>
      </rPr>
      <t xml:space="preserve">ใช้น้ำหนักกำหนดเอง ถ้าไม่มีใช้ </t>
    </r>
    <r>
      <rPr>
        <sz val="9"/>
        <rFont val="Tahoma"/>
        <family val="0"/>
        <charset val="1"/>
      </rPr>
      <t xml:space="preserve">BOQ ÷ BOQ </t>
    </r>
    <r>
      <rPr>
        <sz val="9"/>
        <rFont val="FreeSans"/>
        <family val="2"/>
      </rPr>
      <t xml:space="preserve">รวม</t>
    </r>
  </si>
  <si>
    <r>
      <rPr>
        <b val="true"/>
        <sz val="9"/>
        <rFont val="FreeSans"/>
        <family val="2"/>
      </rPr>
      <t xml:space="preserve">งบประมาณ </t>
    </r>
    <r>
      <rPr>
        <b val="true"/>
        <sz val="9"/>
        <rFont val="Tahoma"/>
        <family val="0"/>
        <charset val="1"/>
      </rPr>
      <t xml:space="preserve">/ Budget</t>
    </r>
  </si>
  <si>
    <t xml:space="preserve">มูลค่างานของรายการตามสัดส่วนสัญญา</t>
  </si>
  <si>
    <r>
      <rPr>
        <sz val="9"/>
        <rFont val="FreeSans"/>
        <family val="2"/>
      </rPr>
      <t xml:space="preserve">น้ำหนัก </t>
    </r>
    <r>
      <rPr>
        <sz val="9"/>
        <rFont val="Tahoma"/>
        <family val="0"/>
        <charset val="1"/>
      </rPr>
      <t xml:space="preserve">× </t>
    </r>
    <r>
      <rPr>
        <sz val="9"/>
        <rFont val="FreeSans"/>
        <family val="2"/>
      </rPr>
      <t xml:space="preserve">มูลค่าสัญญา</t>
    </r>
  </si>
  <si>
    <r>
      <rPr>
        <b val="true"/>
        <sz val="9"/>
        <rFont val="Tahoma"/>
        <family val="0"/>
        <charset val="1"/>
      </rPr>
      <t xml:space="preserve">BASELINE </t>
    </r>
    <r>
      <rPr>
        <b val="true"/>
        <sz val="9"/>
        <rFont val="FreeSans"/>
        <family val="2"/>
      </rPr>
      <t xml:space="preserve">แผนเดิม</t>
    </r>
  </si>
  <si>
    <t xml:space="preserve">แผนตามสัญญาที่ได้รับอนุมัติ ใช้เป็นเกณฑ์วัดผลตลอดโครงการ</t>
  </si>
  <si>
    <t xml:space="preserve">กรอกเอง</t>
  </si>
  <si>
    <r>
      <rPr>
        <b val="true"/>
        <sz val="9"/>
        <rFont val="Tahoma"/>
        <family val="0"/>
        <charset val="1"/>
      </rPr>
      <t xml:space="preserve">REVISED </t>
    </r>
    <r>
      <rPr>
        <b val="true"/>
        <sz val="9"/>
        <rFont val="FreeSans"/>
        <family val="2"/>
      </rPr>
      <t xml:space="preserve">แผนเร่งรัด</t>
    </r>
  </si>
  <si>
    <r>
      <rPr>
        <sz val="9"/>
        <rFont val="FreeSans"/>
        <family val="2"/>
      </rPr>
      <t xml:space="preserve">แผนปรับปรุง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แผนเร่งรัดเพื่อกู้สถานการณ์ </t>
    </r>
    <r>
      <rPr>
        <sz val="9"/>
        <rFont val="Tahoma"/>
        <family val="0"/>
        <charset val="1"/>
      </rPr>
      <t xml:space="preserve">(Recovery Plan) – </t>
    </r>
    <r>
      <rPr>
        <sz val="9"/>
        <rFont val="FreeSans"/>
        <family val="2"/>
      </rPr>
      <t xml:space="preserve">ไม่บังคับ</t>
    </r>
  </si>
  <si>
    <r>
      <rPr>
        <sz val="9"/>
        <rFont val="FreeSans"/>
        <family val="2"/>
      </rPr>
      <t xml:space="preserve">ถ้าเว้นว่าง ระบบใช้ค่า </t>
    </r>
    <r>
      <rPr>
        <sz val="9"/>
        <rFont val="Tahoma"/>
        <family val="0"/>
        <charset val="1"/>
      </rPr>
      <t xml:space="preserve">Baseline</t>
    </r>
  </si>
  <si>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งานนี้ </t>
    </r>
    <r>
      <rPr>
        <b val="true"/>
        <sz val="9"/>
        <rFont val="Tahoma"/>
        <family val="0"/>
        <charset val="1"/>
      </rPr>
      <t xml:space="preserve">/ % Complete</t>
    </r>
  </si>
  <si>
    <r>
      <rPr>
        <sz val="9"/>
        <rFont val="FreeSans"/>
        <family val="2"/>
      </rPr>
      <t xml:space="preserve">ความคืบหน้าของรายการนั้นเอง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ไม่ใช่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ของโครงการ</t>
    </r>
    <r>
      <rPr>
        <sz val="9"/>
        <rFont val="Tahoma"/>
        <family val="0"/>
        <charset val="1"/>
      </rPr>
      <t xml:space="preserve">)</t>
    </r>
  </si>
  <si>
    <t xml:space="preserve">กรอกเอง จากการวัดหน้างาน</t>
  </si>
  <si>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แผน ณ </t>
    </r>
    <r>
      <rPr>
        <b val="true"/>
        <sz val="9"/>
        <rFont val="Tahoma"/>
        <family val="0"/>
        <charset val="1"/>
      </rPr>
      <t xml:space="preserve">Status</t>
    </r>
  </si>
  <si>
    <r>
      <rPr>
        <sz val="9"/>
        <rFont val="FreeSans"/>
        <family val="2"/>
      </rPr>
      <t xml:space="preserve">รายการนี้ควรเสร็จกี่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ณ วันตรวจวัด</t>
    </r>
  </si>
  <si>
    <r>
      <rPr>
        <sz val="9"/>
        <rFont val="FreeSans"/>
        <family val="2"/>
      </rPr>
      <t xml:space="preserve">กระจายเชิงเส้นตามวันเริ่ม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เสร็จแผน</t>
    </r>
  </si>
  <si>
    <t xml:space="preserve">PV / EV / SV / SPI</t>
  </si>
  <si>
    <r>
      <rPr>
        <sz val="9"/>
        <rFont val="FreeSans"/>
        <family val="2"/>
      </rPr>
      <t xml:space="preserve">มูลค่างานตามแผน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มูลค่างานที่ทำได้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ผลต่าง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ดัชนีเวลา ระดับรายการ</t>
    </r>
  </si>
  <si>
    <r>
      <rPr>
        <sz val="9"/>
        <rFont val="FreeSans"/>
        <family val="2"/>
      </rPr>
      <t xml:space="preserve">ดูคำอธิบายในหัวข้อ </t>
    </r>
    <r>
      <rPr>
        <sz val="9"/>
        <rFont val="Tahoma"/>
        <family val="0"/>
        <charset val="1"/>
      </rPr>
      <t xml:space="preserve">6</t>
    </r>
  </si>
  <si>
    <r>
      <rPr>
        <b val="true"/>
        <sz val="9"/>
        <rFont val="FreeSans"/>
        <family val="2"/>
      </rPr>
      <t xml:space="preserve">คาดว่าเสร็จ </t>
    </r>
    <r>
      <rPr>
        <b val="true"/>
        <sz val="9"/>
        <rFont val="Tahoma"/>
        <family val="0"/>
        <charset val="1"/>
      </rPr>
      <t xml:space="preserve">/ Forecast Finish</t>
    </r>
  </si>
  <si>
    <t xml:space="preserve">วันที่คาดว่ารายการนี้จะเสร็จ</t>
  </si>
  <si>
    <r>
      <rPr>
        <sz val="9"/>
        <rFont val="FreeSans"/>
        <family val="2"/>
      </rPr>
      <t xml:space="preserve">เสร็จแล้ว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วันเสร็จจริง • กำลังทำ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คาดจากอัตราที่ทำได้ • ยังไม่เริ่ม </t>
    </r>
    <r>
      <rPr>
        <sz val="9"/>
        <rFont val="Tahoma"/>
        <family val="0"/>
        <charset val="1"/>
      </rPr>
      <t xml:space="preserve">= MAX(</t>
    </r>
    <r>
      <rPr>
        <sz val="9"/>
        <rFont val="FreeSans"/>
        <family val="2"/>
      </rPr>
      <t xml:space="preserve">แผน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วันนี้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ระยะเวลางาน</t>
    </r>
    <r>
      <rPr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</si>
  <si>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ล่าช้า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วัน</t>
    </r>
    <r>
      <rPr>
        <b val="true"/>
        <sz val="9"/>
        <rFont val="Tahoma"/>
        <family val="0"/>
        <charset val="1"/>
      </rPr>
      <t xml:space="preserve">) / Delay vs BL</t>
    </r>
  </si>
  <si>
    <r>
      <rPr>
        <sz val="9"/>
        <rFont val="FreeSans"/>
        <family val="2"/>
      </rPr>
      <t xml:space="preserve">คาดว่าเสร็จช้ากว่าแผนเดิมกี่วัน </t>
    </r>
    <r>
      <rPr>
        <sz val="9"/>
        <rFont val="Tahoma"/>
        <family val="0"/>
        <charset val="1"/>
      </rPr>
      <t xml:space="preserve">(+ </t>
    </r>
    <r>
      <rPr>
        <sz val="9"/>
        <rFont val="FreeSans"/>
        <family val="2"/>
      </rPr>
      <t xml:space="preserve">ช้า</t>
    </r>
    <r>
      <rPr>
        <sz val="9"/>
        <rFont val="Tahoma"/>
        <family val="0"/>
        <charset val="1"/>
      </rPr>
      <t xml:space="preserve">, − </t>
    </r>
    <r>
      <rPr>
        <sz val="9"/>
        <rFont val="FreeSans"/>
        <family val="2"/>
      </rPr>
      <t xml:space="preserve">เร็ว</t>
    </r>
    <r>
      <rPr>
        <sz val="9"/>
        <rFont val="Tahoma"/>
        <family val="0"/>
        <charset val="1"/>
      </rPr>
      <t xml:space="preserve">)</t>
    </r>
  </si>
  <si>
    <t xml:space="preserve">Forecast Finish − Baseline Finish</t>
  </si>
  <si>
    <r>
      <rPr>
        <b val="true"/>
        <sz val="9"/>
        <rFont val="FreeSans"/>
        <family val="2"/>
      </rPr>
      <t xml:space="preserve">สถานะ </t>
    </r>
    <r>
      <rPr>
        <b val="true"/>
        <sz val="9"/>
        <rFont val="Tahoma"/>
        <family val="0"/>
        <charset val="1"/>
      </rPr>
      <t xml:space="preserve">/ Status</t>
    </r>
  </si>
  <si>
    <t xml:space="preserve">Completed / Completed Late / Not Due / On Track / Behind / Overdue</t>
  </si>
  <si>
    <r>
      <rPr>
        <sz val="9"/>
        <rFont val="FreeSans"/>
        <family val="2"/>
      </rPr>
      <t xml:space="preserve">เทียบ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จริงกับ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แผน และวันที่</t>
    </r>
  </si>
  <si>
    <r>
      <rPr>
        <b val="true"/>
        <sz val="11"/>
        <color rgb="FFFFFFFF"/>
        <rFont val="Tahoma"/>
        <family val="0"/>
        <charset val="1"/>
      </rPr>
      <t xml:space="preserve">6. </t>
    </r>
    <r>
      <rPr>
        <b val="true"/>
        <sz val="11"/>
        <color rgb="FFFFFFFF"/>
        <rFont val="FreeSans"/>
        <family val="2"/>
      </rPr>
      <t xml:space="preserve">อภิธานศัพท์ตัวชี้วัด </t>
    </r>
    <r>
      <rPr>
        <b val="true"/>
        <sz val="11"/>
        <color rgb="FFFFFFFF"/>
        <rFont val="Tahoma"/>
        <family val="0"/>
        <charset val="1"/>
      </rPr>
      <t xml:space="preserve">/ KPI Glossary</t>
    </r>
  </si>
  <si>
    <r>
      <rPr>
        <b val="true"/>
        <sz val="9"/>
        <color rgb="FF1F3864"/>
        <rFont val="FreeSans"/>
        <family val="2"/>
      </rPr>
      <t xml:space="preserve">ตัวชี้วัด </t>
    </r>
    <r>
      <rPr>
        <b val="true"/>
        <sz val="9"/>
        <color rgb="FF1F3864"/>
        <rFont val="Tahoma"/>
        <family val="0"/>
        <charset val="1"/>
      </rPr>
      <t xml:space="preserve">/ KPI</t>
    </r>
  </si>
  <si>
    <r>
      <rPr>
        <b val="true"/>
        <sz val="9"/>
        <color rgb="FF1F3864"/>
        <rFont val="FreeSans"/>
        <family val="2"/>
      </rPr>
      <t xml:space="preserve">สูตรและการแปลผล </t>
    </r>
    <r>
      <rPr>
        <b val="true"/>
        <sz val="9"/>
        <color rgb="FF1F3864"/>
        <rFont val="Tahoma"/>
        <family val="0"/>
        <charset val="1"/>
      </rPr>
      <t xml:space="preserve">/ Formula &amp; Interpretation</t>
    </r>
  </si>
  <si>
    <r>
      <rPr>
        <sz val="9"/>
        <rFont val="FreeSans"/>
        <family val="2"/>
      </rPr>
      <t xml:space="preserve">กราฟความก้าวหน้าสะสมตามเวลา มีรูปตัว </t>
    </r>
    <r>
      <rPr>
        <sz val="9"/>
        <rFont val="Tahoma"/>
        <family val="0"/>
        <charset val="1"/>
      </rPr>
      <t xml:space="preserve">S </t>
    </r>
    <r>
      <rPr>
        <sz val="9"/>
        <rFont val="FreeSans"/>
        <family val="2"/>
      </rPr>
      <t xml:space="preserve">เพราะช่วงต้นและท้ายโครงการงานเดินช้า ช่วงกลางเร็ว</t>
    </r>
  </si>
  <si>
    <r>
      <rPr>
        <sz val="9"/>
        <rFont val="FreeSans"/>
        <family val="2"/>
      </rPr>
      <t xml:space="preserve">เส้นจริงต่ำกว่าเส้นแผน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ล่าช้า • ระยะห่างแนวนอน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ช้ากี่วัน</t>
    </r>
  </si>
  <si>
    <t xml:space="preserve">Baseline / Revised / Forecast</t>
  </si>
  <si>
    <r>
      <rPr>
        <sz val="9"/>
        <rFont val="FreeSans"/>
        <family val="2"/>
      </rPr>
      <t xml:space="preserve">แผนเดิมตามสัญญา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แผนเร่งรัด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เส้นคาดการณ์จากผลงานจริงล่าสุดไปถึงวันคาดว่าเสร็จ</t>
    </r>
  </si>
  <si>
    <r>
      <rPr>
        <sz val="9"/>
        <rFont val="Tahoma"/>
        <family val="0"/>
        <charset val="1"/>
      </rPr>
      <t xml:space="preserve">Forecast </t>
    </r>
    <r>
      <rPr>
        <sz val="9"/>
        <rFont val="FreeSans"/>
        <family val="2"/>
      </rPr>
      <t xml:space="preserve">ลากเส้นตรงจากจุดจริงล่าสุดไปถึง </t>
    </r>
    <r>
      <rPr>
        <sz val="9"/>
        <rFont val="Tahoma"/>
        <family val="0"/>
        <charset val="1"/>
      </rPr>
      <t xml:space="preserve">100% </t>
    </r>
    <r>
      <rPr>
        <sz val="9"/>
        <rFont val="FreeSans"/>
        <family val="2"/>
      </rPr>
      <t xml:space="preserve">ณ วันคาดว่าแล้วเสร็จ</t>
    </r>
  </si>
  <si>
    <t xml:space="preserve">Data Date</t>
  </si>
  <si>
    <t xml:space="preserve">วันที่ของข้อมูลผลงานจริงที่ใช้คำนวณ</t>
  </si>
  <si>
    <r>
      <rPr>
        <sz val="9"/>
        <rFont val="FreeSans"/>
        <family val="2"/>
      </rPr>
      <t xml:space="preserve">ถ้าไม่ตรงกับ </t>
    </r>
    <r>
      <rPr>
        <sz val="9"/>
        <rFont val="Tahoma"/>
        <family val="0"/>
        <charset val="1"/>
      </rPr>
      <t xml:space="preserve">Status Date (</t>
    </r>
    <r>
      <rPr>
        <sz val="9"/>
        <rFont val="FreeSans"/>
        <family val="2"/>
      </rPr>
      <t xml:space="preserve">แสดงสีแดง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แปลว่ายังไม่ได้อัปเดตผลงานจริงล่าสุด</t>
    </r>
  </si>
  <si>
    <t xml:space="preserve">BAC – Budget at Completion</t>
  </si>
  <si>
    <r>
      <rPr>
        <sz val="9"/>
        <rFont val="FreeSans"/>
        <family val="2"/>
      </rPr>
      <t xml:space="preserve">งบประมาณ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มูลค่างานทั้งหมด</t>
    </r>
  </si>
  <si>
    <t xml:space="preserve">เท่ากับมูลค่าสัญญา</t>
  </si>
  <si>
    <t xml:space="preserve">PV – Planned Value</t>
  </si>
  <si>
    <t xml:space="preserve">มูลค่างานที่ควรทำได้ตามแผน ณ วันที่วัด</t>
  </si>
  <si>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แผน </t>
    </r>
    <r>
      <rPr>
        <sz val="9"/>
        <rFont val="Tahoma"/>
        <family val="0"/>
        <charset val="1"/>
      </rPr>
      <t xml:space="preserve">× BAC</t>
    </r>
  </si>
  <si>
    <t xml:space="preserve">EV – Earned Value</t>
  </si>
  <si>
    <r>
      <rPr>
        <sz val="9"/>
        <rFont val="FreeSans"/>
        <family val="2"/>
      </rPr>
      <t xml:space="preserve">มูลค่างานที่ทำได้จริง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คิดตามราคาในสัญญา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</si>
  <si>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จริง </t>
    </r>
    <r>
      <rPr>
        <sz val="9"/>
        <rFont val="Tahoma"/>
        <family val="0"/>
        <charset val="1"/>
      </rPr>
      <t xml:space="preserve">× BAC</t>
    </r>
  </si>
  <si>
    <t xml:space="preserve">AC – Actual Cost</t>
  </si>
  <si>
    <r>
      <rPr>
        <sz val="9"/>
        <rFont val="FreeSans"/>
        <family val="2"/>
      </rPr>
      <t xml:space="preserve">ต้นทุนที่จ่ายไปจริงเพื่อให้ได้งานนั้น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ค่าวัสดุ ค่าแรง ค่าผู้รับเหมาช่วง ฯลฯ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</si>
  <si>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กรอกในชีต </t>
    </r>
    <r>
      <rPr>
        <sz val="9"/>
        <rFont val="Tahoma"/>
        <family val="0"/>
        <charset val="1"/>
      </rPr>
      <t xml:space="preserve">S-Curve • </t>
    </r>
    <r>
      <rPr>
        <sz val="9"/>
        <rFont val="FreeSans"/>
        <family val="2"/>
      </rPr>
      <t xml:space="preserve">ถ้าเป็นฝั่งผู้ว่าจ้าง อาจใช้ยอดเงินที่จ่ายจริง</t>
    </r>
  </si>
  <si>
    <t xml:space="preserve">SV – Schedule Variance</t>
  </si>
  <si>
    <t xml:space="preserve">ผลต่างด้านเวลาในรูปเงิน</t>
  </si>
  <si>
    <r>
      <rPr>
        <sz val="9"/>
        <rFont val="Tahoma"/>
        <family val="0"/>
        <charset val="1"/>
      </rPr>
      <t xml:space="preserve">EV − PV • </t>
    </r>
    <r>
      <rPr>
        <sz val="9"/>
        <rFont val="FreeSans"/>
        <family val="2"/>
      </rPr>
      <t xml:space="preserve">ติดลบ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งานช้ากว่าแผน</t>
    </r>
  </si>
  <si>
    <t xml:space="preserve">CV – Cost Variance</t>
  </si>
  <si>
    <t xml:space="preserve">ผลต่างด้านต้นทุน</t>
  </si>
  <si>
    <r>
      <rPr>
        <sz val="9"/>
        <rFont val="Tahoma"/>
        <family val="0"/>
        <charset val="1"/>
      </rPr>
      <t xml:space="preserve">EV − AC • </t>
    </r>
    <r>
      <rPr>
        <sz val="9"/>
        <rFont val="FreeSans"/>
        <family val="2"/>
      </rPr>
      <t xml:space="preserve">ติดลบ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ใช้เงินมากกว่ามูลค่างานที่ได้</t>
    </r>
  </si>
  <si>
    <t xml:space="preserve">SPI – Schedule Performance Index</t>
  </si>
  <si>
    <t xml:space="preserve">ประสิทธิภาพด้านเวลา</t>
  </si>
  <si>
    <r>
      <rPr>
        <sz val="9"/>
        <rFont val="Tahoma"/>
        <family val="0"/>
        <charset val="1"/>
      </rPr>
      <t xml:space="preserve">EV ÷ PV • ≥1.00 </t>
    </r>
    <r>
      <rPr>
        <sz val="9"/>
        <rFont val="FreeSans"/>
        <family val="2"/>
      </rPr>
      <t xml:space="preserve">ตามแผน • </t>
    </r>
    <r>
      <rPr>
        <sz val="9"/>
        <rFont val="Tahoma"/>
        <family val="0"/>
        <charset val="1"/>
      </rPr>
      <t xml:space="preserve">0.90–0.99 </t>
    </r>
    <r>
      <rPr>
        <sz val="9"/>
        <rFont val="FreeSans"/>
        <family val="2"/>
      </rPr>
      <t xml:space="preserve">เฝ้าระวัง • </t>
    </r>
    <r>
      <rPr>
        <sz val="9"/>
        <rFont val="Tahoma"/>
        <family val="0"/>
        <charset val="1"/>
      </rPr>
      <t xml:space="preserve">&lt;0.90 </t>
    </r>
    <r>
      <rPr>
        <sz val="9"/>
        <rFont val="FreeSans"/>
        <family val="2"/>
      </rPr>
      <t xml:space="preserve">ล่าช้ามาก</t>
    </r>
  </si>
  <si>
    <t xml:space="preserve">CPI – Cost Performance Index</t>
  </si>
  <si>
    <t xml:space="preserve">ประสิทธิภาพด้านต้นทุน</t>
  </si>
  <si>
    <r>
      <rPr>
        <sz val="9"/>
        <rFont val="Tahoma"/>
        <family val="0"/>
        <charset val="1"/>
      </rPr>
      <t xml:space="preserve">EV ÷ AC • ≥1.00 </t>
    </r>
    <r>
      <rPr>
        <sz val="9"/>
        <rFont val="FreeSans"/>
        <family val="2"/>
      </rPr>
      <t xml:space="preserve">ดี • </t>
    </r>
    <r>
      <rPr>
        <sz val="9"/>
        <rFont val="Tahoma"/>
        <family val="0"/>
        <charset val="1"/>
      </rPr>
      <t xml:space="preserve">&lt;1.00 </t>
    </r>
    <r>
      <rPr>
        <sz val="9"/>
        <rFont val="FreeSans"/>
        <family val="2"/>
      </rPr>
      <t xml:space="preserve">ใช้เงินเกิน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เช่น </t>
    </r>
    <r>
      <rPr>
        <sz val="9"/>
        <rFont val="Tahoma"/>
        <family val="0"/>
        <charset val="1"/>
      </rPr>
      <t xml:space="preserve">0.85 = </t>
    </r>
    <r>
      <rPr>
        <sz val="9"/>
        <rFont val="FreeSans"/>
        <family val="2"/>
      </rPr>
      <t xml:space="preserve">ได้งาน </t>
    </r>
    <r>
      <rPr>
        <sz val="9"/>
        <rFont val="Tahoma"/>
        <family val="0"/>
        <charset val="1"/>
      </rPr>
      <t xml:space="preserve">85 </t>
    </r>
    <r>
      <rPr>
        <sz val="9"/>
        <rFont val="FreeSans"/>
        <family val="2"/>
      </rPr>
      <t xml:space="preserve">สตางค์ต่อเงิน </t>
    </r>
    <r>
      <rPr>
        <sz val="9"/>
        <rFont val="Tahoma"/>
        <family val="0"/>
        <charset val="1"/>
      </rPr>
      <t xml:space="preserve">1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)</t>
    </r>
  </si>
  <si>
    <t xml:space="preserve">EAC – Estimate at Completion</t>
  </si>
  <si>
    <t xml:space="preserve">ประมาณการต้นทุนรวมเมื่อจบโครงการ ถ้าประสิทธิภาพต้นทุนยังเป็นเช่นนี้</t>
  </si>
  <si>
    <t xml:space="preserve">BAC ÷ CPI</t>
  </si>
  <si>
    <t xml:space="preserve">ETC – Estimate to Complete</t>
  </si>
  <si>
    <t xml:space="preserve">ต้นทุนที่ยังต้องใช้เพื่อทำงานที่เหลือ</t>
  </si>
  <si>
    <t xml:space="preserve">EAC − AC</t>
  </si>
  <si>
    <t xml:space="preserve">VAC – Variance at Completion</t>
  </si>
  <si>
    <t xml:space="preserve">คาดว่าจะเกินหรือต่ำกว่างบเมื่อจบโครงการ</t>
  </si>
  <si>
    <r>
      <rPr>
        <sz val="9"/>
        <rFont val="Tahoma"/>
        <family val="0"/>
        <charset val="1"/>
      </rPr>
      <t xml:space="preserve">BAC − EAC • </t>
    </r>
    <r>
      <rPr>
        <sz val="9"/>
        <rFont val="FreeSans"/>
        <family val="2"/>
      </rPr>
      <t xml:space="preserve">ติดลบ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คาดว่าเกินงบ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ขาดทุน</t>
    </r>
  </si>
  <si>
    <t xml:space="preserve">TCPI – To-Complete Performance Index</t>
  </si>
  <si>
    <t xml:space="preserve">ประสิทธิภาพต้นทุนที่ต้องทำให้ได้กับงานที่เหลือเพื่อให้อยู่ในงบ</t>
  </si>
  <si>
    <r>
      <rPr>
        <sz val="9"/>
        <rFont val="Tahoma"/>
        <family val="0"/>
        <charset val="1"/>
      </rPr>
      <t xml:space="preserve">(BAC − EV) ÷ (BAC − AC) • &gt;1.10 = </t>
    </r>
    <r>
      <rPr>
        <sz val="9"/>
        <rFont val="FreeSans"/>
        <family val="2"/>
      </rPr>
      <t xml:space="preserve">เป็นไปได้ยาก</t>
    </r>
  </si>
  <si>
    <t xml:space="preserve">ES – Earned Schedule</t>
  </si>
  <si>
    <r>
      <rPr>
        <sz val="9"/>
        <rFont val="FreeSans"/>
        <family val="2"/>
      </rPr>
      <t xml:space="preserve">ผลงานจริงที่ทำได้ เท่ากับแผนของวันที่เท่าใด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วัดเป็นวัน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</si>
  <si>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หาจุดบนเส้น </t>
    </r>
    <r>
      <rPr>
        <sz val="9"/>
        <rFont val="Tahoma"/>
        <family val="0"/>
        <charset val="1"/>
      </rPr>
      <t xml:space="preserve">Baseline </t>
    </r>
    <r>
      <rPr>
        <sz val="9"/>
        <rFont val="FreeSans"/>
        <family val="2"/>
      </rPr>
      <t xml:space="preserve">ที่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เท่ากับ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จริง แล้วอ่านค่าวัน</t>
    </r>
  </si>
  <si>
    <t xml:space="preserve">AT – Actual Time</t>
  </si>
  <si>
    <r>
      <rPr>
        <sz val="9"/>
        <rFont val="FreeSans"/>
        <family val="2"/>
      </rPr>
      <t xml:space="preserve">เวลาที่ใช้ไปจริงถึง </t>
    </r>
    <r>
      <rPr>
        <sz val="9"/>
        <rFont val="Tahoma"/>
        <family val="0"/>
        <charset val="1"/>
      </rPr>
      <t xml:space="preserve">Data Date</t>
    </r>
  </si>
  <si>
    <r>
      <rPr>
        <sz val="9"/>
        <rFont val="Tahoma"/>
        <family val="0"/>
        <charset val="1"/>
      </rPr>
      <t xml:space="preserve">Data Date − </t>
    </r>
    <r>
      <rPr>
        <sz val="9"/>
        <rFont val="FreeSans"/>
        <family val="2"/>
      </rPr>
      <t xml:space="preserve">วันเริ่ม </t>
    </r>
    <r>
      <rPr>
        <sz val="9"/>
        <rFont val="Tahoma"/>
        <family val="0"/>
        <charset val="1"/>
      </rPr>
      <t xml:space="preserve">+ 1</t>
    </r>
  </si>
  <si>
    <t xml:space="preserve">SV(t) – Schedule Variance (time)</t>
  </si>
  <si>
    <t xml:space="preserve">ช้าหรือเร็วกว่าแผนกี่วันจริงๆ</t>
  </si>
  <si>
    <r>
      <rPr>
        <sz val="9"/>
        <rFont val="Tahoma"/>
        <family val="0"/>
        <charset val="1"/>
      </rPr>
      <t xml:space="preserve">ES − AT • </t>
    </r>
    <r>
      <rPr>
        <sz val="9"/>
        <rFont val="FreeSans"/>
        <family val="2"/>
      </rPr>
      <t xml:space="preserve">ติดลบ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ช้ากว่าแผน • มาตรฐานสากลที่แม่นกว่า </t>
    </r>
    <r>
      <rPr>
        <sz val="9"/>
        <rFont val="Tahoma"/>
        <family val="0"/>
        <charset val="1"/>
      </rPr>
      <t xml:space="preserve">SPI </t>
    </r>
    <r>
      <rPr>
        <sz val="9"/>
        <rFont val="FreeSans"/>
        <family val="2"/>
      </rPr>
      <t xml:space="preserve">ในช่วงท้ายโครงการ</t>
    </r>
  </si>
  <si>
    <t xml:space="preserve">SPI(t)</t>
  </si>
  <si>
    <t xml:space="preserve">ดัชนีเวลาเชิงวัน</t>
  </si>
  <si>
    <t xml:space="preserve">ES ÷ AT</t>
  </si>
  <si>
    <t xml:space="preserve">IEAC(t) / Forecast Completion</t>
  </si>
  <si>
    <t xml:space="preserve">คาดการณ์วันแล้วเสร็จ</t>
  </si>
  <si>
    <r>
      <rPr>
        <sz val="9"/>
        <rFont val="FreeSans"/>
        <family val="2"/>
      </rPr>
      <t xml:space="preserve">ถ้ามี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รายรายการ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วันเสร็จคาดการณ์ช้าสุดของทุกรายการ • ถ้าไม่มี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วันเริ่ม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ระยะเวลาสัญญา </t>
    </r>
    <r>
      <rPr>
        <sz val="9"/>
        <rFont val="Tahoma"/>
        <family val="0"/>
        <charset val="1"/>
      </rPr>
      <t xml:space="preserve">÷ SPI(t)</t>
    </r>
  </si>
  <si>
    <r>
      <rPr>
        <b val="true"/>
        <sz val="9"/>
        <rFont val="FreeSans"/>
        <family val="2"/>
      </rPr>
      <t xml:space="preserve">ผลต่างคิดเป็นวัน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แบบไทย</t>
    </r>
    <r>
      <rPr>
        <b val="true"/>
        <sz val="9"/>
        <rFont val="Tahoma"/>
        <family val="0"/>
        <charset val="1"/>
      </rPr>
      <t xml:space="preserve">)</t>
    </r>
  </si>
  <si>
    <t xml:space="preserve">วิธีรายงานที่ใช้กันในงานราชการไทย</t>
  </si>
  <si>
    <r>
      <rPr>
        <sz val="9"/>
        <rFont val="FreeSans"/>
        <family val="2"/>
      </rPr>
      <t xml:space="preserve">ผลต่าง </t>
    </r>
    <r>
      <rPr>
        <sz val="9"/>
        <rFont val="Tahoma"/>
        <family val="0"/>
        <charset val="1"/>
      </rPr>
      <t xml:space="preserve">% × </t>
    </r>
    <r>
      <rPr>
        <sz val="9"/>
        <rFont val="FreeSans"/>
        <family val="2"/>
      </rPr>
      <t xml:space="preserve">ระยะเวลาสัญญา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หยาบกว่า </t>
    </r>
    <r>
      <rPr>
        <sz val="9"/>
        <rFont val="Tahoma"/>
        <family val="0"/>
        <charset val="1"/>
      </rPr>
      <t xml:space="preserve">SV(t) </t>
    </r>
    <r>
      <rPr>
        <sz val="9"/>
        <rFont val="FreeSans"/>
        <family val="2"/>
      </rPr>
      <t xml:space="preserve">แต่คุ้นเคย</t>
    </r>
    <r>
      <rPr>
        <sz val="9"/>
        <rFont val="Tahoma"/>
        <family val="0"/>
        <charset val="1"/>
      </rPr>
      <t xml:space="preserve">)</t>
    </r>
  </si>
  <si>
    <r>
      <rPr>
        <b val="true"/>
        <sz val="9"/>
        <rFont val="Tahoma"/>
        <family val="0"/>
        <charset val="1"/>
      </rPr>
      <t xml:space="preserve">Required Rate / </t>
    </r>
    <r>
      <rPr>
        <b val="true"/>
        <sz val="9"/>
        <rFont val="FreeSans"/>
        <family val="2"/>
      </rPr>
      <t xml:space="preserve">อัตราที่ต้องทำ</t>
    </r>
  </si>
  <si>
    <r>
      <rPr>
        <sz val="9"/>
        <rFont val="FreeSans"/>
        <family val="2"/>
      </rPr>
      <t xml:space="preserve">ต้องทำงานวันละกี่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จึงจะเสร็จทันสัญญา</t>
    </r>
  </si>
  <si>
    <r>
      <rPr>
        <sz val="9"/>
        <rFont val="Tahoma"/>
        <family val="0"/>
        <charset val="1"/>
      </rPr>
      <t xml:space="preserve">(100% − % </t>
    </r>
    <r>
      <rPr>
        <sz val="9"/>
        <rFont val="FreeSans"/>
        <family val="2"/>
      </rPr>
      <t xml:space="preserve">จริง</t>
    </r>
    <r>
      <rPr>
        <sz val="9"/>
        <rFont val="Tahoma"/>
        <family val="0"/>
        <charset val="1"/>
      </rPr>
      <t xml:space="preserve">) ÷ </t>
    </r>
    <r>
      <rPr>
        <sz val="9"/>
        <rFont val="FreeSans"/>
        <family val="2"/>
      </rPr>
      <t xml:space="preserve">วันคงเหลือ • เทียบกับอัตราจริงเพื่อดูว่าต้องเร่งกี่เท่า</t>
    </r>
  </si>
  <si>
    <t xml:space="preserve">EOT – Extension of Time</t>
  </si>
  <si>
    <t xml:space="preserve">การขยายเวลาตามสัญญา เนื่องจากเหตุที่ผู้รับจ้างไม่ต้องรับผิดชอบ</t>
  </si>
  <si>
    <t xml:space="preserve">วันที่อนุมัติจะเลื่อนวันสิ้นสุดสัญญา และลดค่าปรับ</t>
  </si>
  <si>
    <r>
      <rPr>
        <b val="true"/>
        <sz val="9"/>
        <rFont val="Tahoma"/>
        <family val="0"/>
        <charset val="1"/>
      </rPr>
      <t xml:space="preserve">LD – Liquidated Damages / </t>
    </r>
    <r>
      <rPr>
        <b val="true"/>
        <sz val="9"/>
        <rFont val="FreeSans"/>
        <family val="2"/>
      </rPr>
      <t xml:space="preserve">ค่าปรับ</t>
    </r>
  </si>
  <si>
    <t xml:space="preserve">ค่าปรับรายวันกรณีส่งมอบงานล่าช้ากว่ากำหนด</t>
  </si>
  <si>
    <r>
      <rPr>
        <sz val="9"/>
        <rFont val="Tahoma"/>
        <family val="0"/>
        <charset val="1"/>
      </rPr>
      <t xml:space="preserve">MAX(</t>
    </r>
    <r>
      <rPr>
        <sz val="9"/>
        <rFont val="FreeSans"/>
        <family val="2"/>
      </rPr>
      <t xml:space="preserve">ค่าปรับขั้นต่ำ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อัตรา </t>
    </r>
    <r>
      <rPr>
        <sz val="9"/>
        <rFont val="Tahoma"/>
        <family val="0"/>
        <charset val="1"/>
      </rPr>
      <t xml:space="preserve">× </t>
    </r>
    <r>
      <rPr>
        <sz val="9"/>
        <rFont val="FreeSans"/>
        <family val="2"/>
      </rPr>
      <t xml:space="preserve">มูลค่าสัญญา</t>
    </r>
    <r>
      <rPr>
        <sz val="9"/>
        <rFont val="Tahoma"/>
        <family val="0"/>
        <charset val="1"/>
      </rPr>
      <t xml:space="preserve">) × </t>
    </r>
    <r>
      <rPr>
        <sz val="9"/>
        <rFont val="FreeSans"/>
        <family val="2"/>
      </rPr>
      <t xml:space="preserve">วันล่าช้า • ตรวจสอบอัตราตามสัญญาจริง</t>
    </r>
  </si>
  <si>
    <t xml:space="preserve">Look-ahead</t>
  </si>
  <si>
    <t xml:space="preserve">แผนงานล่วงหน้าระยะสั้น ใช้ประชุมหน้างานรายสัปดาห์</t>
  </si>
  <si>
    <r>
      <rPr>
        <sz val="9"/>
        <rFont val="FreeSans"/>
        <family val="2"/>
      </rPr>
      <t xml:space="preserve">แสดงงานที่ยังไม่เสร็จและต้องเริ่มภายใน </t>
    </r>
    <r>
      <rPr>
        <sz val="9"/>
        <rFont val="Tahoma"/>
        <family val="0"/>
        <charset val="1"/>
      </rPr>
      <t xml:space="preserve">X </t>
    </r>
    <r>
      <rPr>
        <sz val="9"/>
        <rFont val="FreeSans"/>
        <family val="2"/>
      </rPr>
      <t xml:space="preserve">วัน</t>
    </r>
  </si>
  <si>
    <r>
      <rPr>
        <b val="true"/>
        <sz val="11"/>
        <color rgb="FFFFFFFF"/>
        <rFont val="Tahoma"/>
        <family val="0"/>
        <charset val="1"/>
      </rPr>
      <t xml:space="preserve">7. </t>
    </r>
    <r>
      <rPr>
        <b val="true"/>
        <sz val="11"/>
        <color rgb="FFFFFFFF"/>
        <rFont val="FreeSans"/>
        <family val="2"/>
      </rPr>
      <t xml:space="preserve">หมายเหตุเกี่ยวกับข้อมูลตั้งต้นในไฟล์นี้ </t>
    </r>
    <r>
      <rPr>
        <b val="true"/>
        <sz val="11"/>
        <color rgb="FFFFFFFF"/>
        <rFont val="Tahoma"/>
        <family val="0"/>
        <charset val="1"/>
      </rPr>
      <t xml:space="preserve">/ Notes on Pre-filled Data</t>
    </r>
  </si>
  <si>
    <r>
      <rPr>
        <sz val="9"/>
        <rFont val="FreeSans"/>
        <family val="2"/>
      </rPr>
      <t xml:space="preserve">• แผนงาน </t>
    </r>
    <r>
      <rPr>
        <sz val="9"/>
        <rFont val="Tahoma"/>
        <family val="0"/>
        <charset val="1"/>
      </rPr>
      <t xml:space="preserve">17 </t>
    </r>
    <r>
      <rPr>
        <sz val="9"/>
        <rFont val="FreeSans"/>
        <family val="2"/>
      </rPr>
      <t xml:space="preserve">รายการ น้ำหนักงาน วันตามแผน ผลงานจริงสะสมถึง </t>
    </r>
    <r>
      <rPr>
        <sz val="9"/>
        <rFont val="Tahoma"/>
        <family val="0"/>
        <charset val="1"/>
      </rPr>
      <t xml:space="preserve">30-Apr-26 </t>
    </r>
    <r>
      <rPr>
        <sz val="9"/>
        <rFont val="FreeSans"/>
        <family val="2"/>
      </rPr>
      <t xml:space="preserve">และเงินเบิกจ่าย ถอดจากเอกสาร </t>
    </r>
    <r>
      <rPr>
        <sz val="9"/>
        <rFont val="Tahoma"/>
        <family val="0"/>
        <charset val="1"/>
      </rPr>
      <t xml:space="preserve">PDF </t>
    </r>
    <r>
      <rPr>
        <sz val="9"/>
        <rFont val="FreeSans"/>
        <family val="2"/>
      </rPr>
      <t xml:space="preserve">ที่ผู้ใช้ส่งมา • ชื่องานเขียนแบบย่อ • มูลค่า </t>
    </r>
    <r>
      <rPr>
        <sz val="9"/>
        <rFont val="Tahoma"/>
        <family val="0"/>
        <charset val="1"/>
      </rPr>
      <t xml:space="preserve">BOQ </t>
    </r>
    <r>
      <rPr>
        <sz val="9"/>
        <rFont val="FreeSans"/>
        <family val="2"/>
      </rPr>
      <t xml:space="preserve">และมูลค่าสัญญาอ่านได้ไม่ชัด กรุณาตรวจสอบ</t>
    </r>
  </si>
  <si>
    <r>
      <rPr>
        <sz val="9"/>
        <rFont val="FreeSans"/>
        <family val="2"/>
      </rPr>
      <t xml:space="preserve">• การจัดหมวดงาน </t>
    </r>
    <r>
      <rPr>
        <sz val="9"/>
        <rFont val="Tahoma"/>
        <family val="0"/>
        <charset val="1"/>
      </rPr>
      <t xml:space="preserve">(WBS </t>
    </r>
    <r>
      <rPr>
        <sz val="9"/>
        <rFont val="FreeSans"/>
        <family val="2"/>
      </rPr>
      <t xml:space="preserve">ระดับ </t>
    </r>
    <r>
      <rPr>
        <sz val="9"/>
        <rFont val="Tahoma"/>
        <family val="0"/>
        <charset val="1"/>
      </rPr>
      <t xml:space="preserve">1) </t>
    </r>
    <r>
      <rPr>
        <sz val="9"/>
        <rFont val="FreeSans"/>
        <family val="2"/>
      </rPr>
      <t xml:space="preserve">เป็นการจัดตัวอย่าง แก้ไขได้ในชีต ตั้งค่า </t>
    </r>
    <r>
      <rPr>
        <sz val="9"/>
        <rFont val="Tahoma"/>
        <family val="0"/>
        <charset val="1"/>
      </rPr>
      <t xml:space="preserve">Setup</t>
    </r>
  </si>
  <si>
    <r>
      <rPr>
        <sz val="9"/>
        <rFont val="FreeSans"/>
        <family val="2"/>
      </rPr>
      <t xml:space="preserve">• อัตราค่าปรับ </t>
    </r>
    <r>
      <rPr>
        <sz val="9"/>
        <rFont val="Tahoma"/>
        <family val="0"/>
        <charset val="1"/>
      </rPr>
      <t xml:space="preserve">0.10%/</t>
    </r>
    <r>
      <rPr>
        <sz val="9"/>
        <rFont val="FreeSans"/>
        <family val="2"/>
      </rPr>
      <t xml:space="preserve">วัน และขั้นต่ำ </t>
    </r>
    <r>
      <rPr>
        <sz val="9"/>
        <rFont val="Tahoma"/>
        <family val="0"/>
        <charset val="1"/>
      </rPr>
      <t xml:space="preserve">100 </t>
    </r>
    <r>
      <rPr>
        <sz val="9"/>
        <rFont val="FreeSans"/>
        <family val="2"/>
      </rPr>
      <t xml:space="preserve">บาท เป็นค่าตัวอย่าง ต้องแก้ให้ตรงตามสัญญา</t>
    </r>
  </si>
  <si>
    <r>
      <rPr>
        <sz val="9"/>
        <rFont val="Tahoma"/>
        <family val="0"/>
        <charset val="1"/>
      </rPr>
      <t xml:space="preserve">• % </t>
    </r>
    <r>
      <rPr>
        <sz val="9"/>
        <rFont val="FreeSans"/>
        <family val="2"/>
      </rPr>
      <t xml:space="preserve">แผนคำนวณแบบกระจายเชิงเส้น จึงต่างจากเอกสารเดิมเล็กน้อย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ณ </t>
    </r>
    <r>
      <rPr>
        <sz val="9"/>
        <rFont val="Tahoma"/>
        <family val="0"/>
        <charset val="1"/>
      </rPr>
      <t xml:space="preserve">30-Apr-26 </t>
    </r>
    <r>
      <rPr>
        <sz val="9"/>
        <rFont val="FreeSans"/>
        <family val="2"/>
      </rPr>
      <t xml:space="preserve">ได้ </t>
    </r>
    <r>
      <rPr>
        <sz val="9"/>
        <rFont val="Tahoma"/>
        <family val="0"/>
        <charset val="1"/>
      </rPr>
      <t xml:space="preserve">~20.8% </t>
    </r>
    <r>
      <rPr>
        <sz val="9"/>
        <rFont val="FreeSans"/>
        <family val="2"/>
      </rPr>
      <t xml:space="preserve">เทียบกับ </t>
    </r>
    <r>
      <rPr>
        <sz val="9"/>
        <rFont val="Tahoma"/>
        <family val="0"/>
        <charset val="1"/>
      </rPr>
      <t xml:space="preserve">22.73%)</t>
    </r>
  </si>
  <si>
    <r>
      <rPr>
        <sz val="9"/>
        <rFont val="FreeSans"/>
        <family val="2"/>
      </rPr>
      <t xml:space="preserve">• เส้น </t>
    </r>
    <r>
      <rPr>
        <sz val="9"/>
        <rFont val="Tahoma"/>
        <family val="0"/>
        <charset val="1"/>
      </rPr>
      <t xml:space="preserve">Forecast </t>
    </r>
    <r>
      <rPr>
        <sz val="9"/>
        <rFont val="FreeSans"/>
        <family val="2"/>
      </rPr>
      <t xml:space="preserve">ในกราฟจะแสดงถึงสุดแกนเวลาเท่านั้น ถ้าวันคาดว่าเสร็จอยู่ไกลกว่านั้น เส้นจะหยุดก่อนถึง </t>
    </r>
    <r>
      <rPr>
        <sz val="9"/>
        <rFont val="Tahoma"/>
        <family val="0"/>
        <charset val="1"/>
      </rPr>
      <t xml:space="preserve">100%</t>
    </r>
  </si>
  <si>
    <r>
      <rPr>
        <sz val="9"/>
        <rFont val="FreeSans"/>
        <family val="2"/>
      </rPr>
      <t xml:space="preserve">• ยังไม่มีข้อมูล </t>
    </r>
    <r>
      <rPr>
        <sz val="9"/>
        <rFont val="Tahoma"/>
        <family val="0"/>
        <charset val="1"/>
      </rPr>
      <t xml:space="preserve">AC (</t>
    </r>
    <r>
      <rPr>
        <sz val="9"/>
        <rFont val="FreeSans"/>
        <family val="2"/>
      </rPr>
      <t xml:space="preserve">ต้นทุนจริง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จริงรายรายการ – ตัวชี้วัดด้านต้นทุนและรายการที่ล่าช้าจะแสดงผลเมื่อกรอกข้อมูลแล้ว</t>
    </r>
  </si>
  <si>
    <r>
      <rPr>
        <sz val="9"/>
        <rFont val="FreeSans"/>
        <family val="2"/>
      </rPr>
      <t xml:space="preserve">• ความจุ</t>
    </r>
    <r>
      <rPr>
        <sz val="9"/>
        <rFont val="Tahoma"/>
        <family val="0"/>
        <charset val="1"/>
      </rPr>
      <t xml:space="preserve">: 60 </t>
    </r>
    <r>
      <rPr>
        <sz val="9"/>
        <rFont val="FreeSans"/>
        <family val="2"/>
      </rPr>
      <t xml:space="preserve">รายการงาน • </t>
    </r>
    <r>
      <rPr>
        <sz val="9"/>
        <rFont val="Tahoma"/>
        <family val="0"/>
        <charset val="1"/>
      </rPr>
      <t xml:space="preserve">10 </t>
    </r>
    <r>
      <rPr>
        <sz val="9"/>
        <rFont val="FreeSans"/>
        <family val="2"/>
      </rPr>
      <t xml:space="preserve">หมวด • </t>
    </r>
    <r>
      <rPr>
        <sz val="9"/>
        <rFont val="Tahoma"/>
        <family val="0"/>
        <charset val="1"/>
      </rPr>
      <t xml:space="preserve">80 </t>
    </r>
    <r>
      <rPr>
        <sz val="9"/>
        <rFont val="FreeSans"/>
        <family val="2"/>
      </rPr>
      <t xml:space="preserve">งวด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รอบ </t>
    </r>
    <r>
      <rPr>
        <sz val="9"/>
        <rFont val="Tahoma"/>
        <family val="0"/>
        <charset val="1"/>
      </rPr>
      <t xml:space="preserve">10 </t>
    </r>
    <r>
      <rPr>
        <sz val="9"/>
        <rFont val="FreeSans"/>
        <family val="2"/>
      </rPr>
      <t xml:space="preserve">วัน ≈ </t>
    </r>
    <r>
      <rPr>
        <sz val="9"/>
        <rFont val="Tahoma"/>
        <family val="0"/>
        <charset val="1"/>
      </rPr>
      <t xml:space="preserve">26 </t>
    </r>
    <r>
      <rPr>
        <sz val="9"/>
        <rFont val="FreeSans"/>
        <family val="2"/>
      </rPr>
      <t xml:space="preserve">เดือน</t>
    </r>
    <r>
      <rPr>
        <sz val="9"/>
        <rFont val="Tahoma"/>
        <family val="0"/>
        <charset val="1"/>
      </rPr>
      <t xml:space="preserve">) • 50 </t>
    </r>
    <r>
      <rPr>
        <sz val="9"/>
        <rFont val="FreeSans"/>
        <family val="2"/>
      </rPr>
      <t xml:space="preserve">เหตุการณ์ขยายเวลา</t>
    </r>
  </si>
  <si>
    <r>
      <rPr>
        <sz val="9"/>
        <rFont val="FreeSans"/>
        <family val="2"/>
      </rPr>
      <t xml:space="preserve">• ข้อจำกัด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ไฟล์นี้ไม่วิเคราะห์ความสัมพันธ์ระหว่างงาน </t>
    </r>
    <r>
      <rPr>
        <sz val="9"/>
        <rFont val="Tahoma"/>
        <family val="0"/>
        <charset val="1"/>
      </rPr>
      <t xml:space="preserve">(Critical Path) – </t>
    </r>
    <r>
      <rPr>
        <sz val="9"/>
        <rFont val="FreeSans"/>
        <family val="2"/>
      </rPr>
      <t xml:space="preserve">ถ้าต้องการ ควรใช้ร่วมกับ </t>
    </r>
    <r>
      <rPr>
        <sz val="9"/>
        <rFont val="Tahoma"/>
        <family val="0"/>
        <charset val="1"/>
      </rPr>
      <t xml:space="preserve">MS Project </t>
    </r>
    <r>
      <rPr>
        <sz val="9"/>
        <rFont val="FreeSans"/>
        <family val="2"/>
      </rPr>
      <t xml:space="preserve">หรือ </t>
    </r>
    <r>
      <rPr>
        <sz val="9"/>
        <rFont val="Tahoma"/>
        <family val="0"/>
        <charset val="1"/>
      </rPr>
      <t xml:space="preserve">Primavera P6</t>
    </r>
  </si>
  <si>
    <r>
      <rPr>
        <b val="true"/>
        <sz val="11"/>
        <color rgb="FFFFFFFF"/>
        <rFont val="FreeSans"/>
        <family val="2"/>
      </rPr>
      <t xml:space="preserve">รายงานต่อคณะกรรมการตรวจรับพัสดุ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รายสัปดาห์</t>
    </r>
    <r>
      <rPr>
        <b val="true"/>
        <sz val="11"/>
        <color rgb="FFFFFFFF"/>
        <rFont val="Tahoma"/>
        <family val="0"/>
        <charset val="1"/>
      </rPr>
      <t xml:space="preserve">) / Weekly Committee Report</t>
    </r>
  </si>
  <si>
    <r>
      <rPr>
        <sz val="9"/>
        <rFont val="FreeSans"/>
        <family val="2"/>
      </rPr>
      <t xml:space="preserve">ชุดรายงานนี้มี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</rPr>
      <t xml:space="preserve">ชีต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แท็บสีม่วง</t>
    </r>
    <r>
      <rPr>
        <sz val="9"/>
        <rFont val="Tahoma"/>
        <family val="0"/>
        <charset val="1"/>
      </rPr>
      <t xml:space="preserve">): </t>
    </r>
    <r>
      <rPr>
        <sz val="9"/>
        <rFont val="FreeSans"/>
        <family val="2"/>
      </rPr>
      <t xml:space="preserve">งวดงาน </t>
    </r>
    <r>
      <rPr>
        <sz val="9"/>
        <rFont val="Tahoma"/>
        <family val="0"/>
        <charset val="1"/>
      </rPr>
      <t xml:space="preserve">Installments • </t>
    </r>
    <r>
      <rPr>
        <sz val="9"/>
        <rFont val="FreeSans"/>
        <family val="2"/>
      </rPr>
      <t xml:space="preserve">บันทึกสัปดาห์ </t>
    </r>
    <r>
      <rPr>
        <sz val="9"/>
        <rFont val="Tahoma"/>
        <family val="0"/>
        <charset val="1"/>
      </rPr>
      <t xml:space="preserve">Weekly Log • </t>
    </r>
    <r>
      <rPr>
        <sz val="9"/>
        <rFont val="FreeSans"/>
        <family val="2"/>
      </rPr>
      <t xml:space="preserve">รายงานกรรมการ </t>
    </r>
    <r>
      <rPr>
        <sz val="9"/>
        <rFont val="Tahoma"/>
        <family val="0"/>
        <charset val="1"/>
      </rPr>
      <t xml:space="preserve">Weekly (</t>
    </r>
    <r>
      <rPr>
        <sz val="9"/>
        <rFont val="FreeSans"/>
        <family val="2"/>
      </rPr>
      <t xml:space="preserve">พิมพ์ได้ในรูปแบบบันทึกข้อความ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</si>
  <si>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ครั้งแรก</t>
    </r>
    <r>
      <rPr>
        <sz val="9"/>
        <rFont val="Tahoma"/>
        <family val="0"/>
        <charset val="1"/>
      </rPr>
      <t xml:space="preserve">: (1) </t>
    </r>
    <r>
      <rPr>
        <sz val="9"/>
        <rFont val="FreeSans"/>
        <family val="2"/>
      </rPr>
      <t xml:space="preserve">ชีตงวดงาน – กรอกงวดงานตามสัญญา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เนื้องาน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ผลงานสะสมที่กำหนด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ถ้ามี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กำหนดเสร็จ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จำนวนเงิน • ยอดรวมต้องเท่ามูลค่าสัญญา</t>
    </r>
  </si>
  <si>
    <r>
      <rPr>
        <sz val="9"/>
        <rFont val="Tahoma"/>
        <family val="0"/>
        <charset val="1"/>
      </rPr>
      <t xml:space="preserve">            (2) </t>
    </r>
    <r>
      <rPr>
        <sz val="9"/>
        <rFont val="FreeSans"/>
        <family val="2"/>
      </rPr>
      <t xml:space="preserve">ชีตบันทึกสัปดาห์ – กรอกส่วนราชการ เลขที่หนังสือ วันลงนามสัญญา ชื่อผู้ควบคุมงาน และคณะกรรมการ</t>
    </r>
  </si>
  <si>
    <r>
      <rPr>
        <sz val="9"/>
        <rFont val="FreeSans"/>
        <family val="2"/>
      </rPr>
      <t xml:space="preserve">ทุกสัปดาห์</t>
    </r>
    <r>
      <rPr>
        <sz val="9"/>
        <rFont val="Tahoma"/>
        <family val="0"/>
        <charset val="1"/>
      </rPr>
      <t xml:space="preserve">: (1) </t>
    </r>
    <r>
      <rPr>
        <sz val="9"/>
        <rFont val="FreeSans"/>
        <family val="2"/>
      </rPr>
      <t xml:space="preserve">ชีตบันทึกสัปดาห์ – กรอกแถวของสัปดาห์นั้น</t>
    </r>
    <r>
      <rPr>
        <sz val="9"/>
        <rFont val="Tahoma"/>
        <family val="0"/>
        <charset val="1"/>
      </rPr>
      <t xml:space="preserve">: % </t>
    </r>
    <r>
      <rPr>
        <sz val="9"/>
        <rFont val="FreeSans"/>
        <family val="2"/>
      </rPr>
      <t xml:space="preserve">จริงสะสม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คนงาน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เครื่องจักร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วันทำงาน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งานที่ทำ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แผนสัปดาห์หน้า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วัสดุ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การทดสอบ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ปัญหา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ความเห็น</t>
    </r>
  </si>
  <si>
    <r>
      <rPr>
        <sz val="9"/>
        <rFont val="Tahoma"/>
        <family val="0"/>
        <charset val="1"/>
      </rPr>
      <t xml:space="preserve">            (2) </t>
    </r>
    <r>
      <rPr>
        <sz val="9"/>
        <rFont val="FreeSans"/>
        <family val="2"/>
      </rPr>
      <t xml:space="preserve">ช่อง </t>
    </r>
    <r>
      <rPr>
        <sz val="9"/>
        <rFont val="Tahoma"/>
        <family val="0"/>
        <charset val="1"/>
      </rPr>
      <t xml:space="preserve">'</t>
    </r>
    <r>
      <rPr>
        <sz val="9"/>
        <rFont val="FreeSans"/>
        <family val="2"/>
      </rPr>
      <t xml:space="preserve">รายงานสัปดาห์ที่</t>
    </r>
    <r>
      <rPr>
        <sz val="9"/>
        <rFont val="Tahoma"/>
        <family val="0"/>
        <charset val="1"/>
      </rPr>
      <t xml:space="preserve">' </t>
    </r>
    <r>
      <rPr>
        <sz val="9"/>
        <rFont val="FreeSans"/>
        <family val="2"/>
      </rPr>
      <t xml:space="preserve">เลือกสัปดาห์ล่าสุดที่ครบ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วันให้อัตโนมัติ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พิมพ์ทับได้ถ้าต้องการพิมพ์สัปดาห์ย้อนหลัง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</si>
  <si>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            (3) </t>
    </r>
    <r>
      <rPr>
        <sz val="9"/>
        <rFont val="FreeSans"/>
        <family val="2"/>
      </rPr>
      <t xml:space="preserve">ชีตงวดงาน – อัปเดตวันที่ส่งมอบ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ตรวจรับ เมื่อมี • </t>
    </r>
    <r>
      <rPr>
        <sz val="9"/>
        <rFont val="Tahoma"/>
        <family val="0"/>
        <charset val="1"/>
      </rPr>
      <t xml:space="preserve">(4) </t>
    </r>
    <r>
      <rPr>
        <sz val="9"/>
        <rFont val="FreeSans"/>
        <family val="2"/>
      </rPr>
      <t xml:space="preserve">ชีตรายงานกรรมการ – แทรกรูปถ่าย แล้วสั่งพิมพ์ </t>
    </r>
    <r>
      <rPr>
        <sz val="9"/>
        <rFont val="Tahoma"/>
        <family val="0"/>
        <charset val="1"/>
      </rPr>
      <t xml:space="preserve">(A4 </t>
    </r>
    <r>
      <rPr>
        <sz val="9"/>
        <rFont val="FreeSans"/>
        <family val="2"/>
      </rPr>
      <t xml:space="preserve">แนวตั้ง </t>
    </r>
    <r>
      <rPr>
        <sz val="9"/>
        <rFont val="Tahoma"/>
        <family val="0"/>
        <charset val="1"/>
      </rPr>
      <t xml:space="preserve">3–4 </t>
    </r>
    <r>
      <rPr>
        <sz val="9"/>
        <rFont val="FreeSans"/>
        <family val="2"/>
      </rPr>
      <t xml:space="preserve">หน้า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</si>
  <si>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สัปดาห์ของรายงานนับจากวันเริ่มสัญญาทุก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สัปดาห์ที่ </t>
    </r>
    <r>
      <rPr>
        <sz val="9"/>
        <rFont val="Tahoma"/>
        <family val="0"/>
        <charset val="1"/>
      </rPr>
      <t xml:space="preserve">1 = </t>
    </r>
    <r>
      <rPr>
        <sz val="9"/>
        <rFont val="FreeSans"/>
        <family val="2"/>
      </rPr>
      <t xml:space="preserve">วันเริ่มสัญญา ถึง </t>
    </r>
    <r>
      <rPr>
        <sz val="9"/>
        <rFont val="Tahoma"/>
        <family val="0"/>
        <charset val="1"/>
      </rPr>
      <t xml:space="preserve">+6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แยกอิสระจากรอบตัดงวด </t>
    </r>
    <r>
      <rPr>
        <sz val="9"/>
        <rFont val="Tahoma"/>
        <family val="0"/>
        <charset val="1"/>
      </rPr>
      <t xml:space="preserve">S-Curve </t>
    </r>
    <r>
      <rPr>
        <sz val="9"/>
        <rFont val="FreeSans"/>
        <family val="2"/>
      </rPr>
      <t xml:space="preserve">จึงไม่ต้องเปลี่ยนรอบ </t>
    </r>
    <r>
      <rPr>
        <sz val="9"/>
        <rFont val="Tahoma"/>
        <family val="0"/>
        <charset val="1"/>
      </rPr>
      <t xml:space="preserve">S-Curve</t>
    </r>
  </si>
  <si>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จริงสะสมรายสัปดาห์ ให้ใช้ค่าเดียวกับแถว </t>
    </r>
    <r>
      <rPr>
        <sz val="9"/>
        <rFont val="Tahoma"/>
        <family val="0"/>
        <charset val="1"/>
      </rPr>
      <t xml:space="preserve">TOTAL </t>
    </r>
    <r>
      <rPr>
        <sz val="9"/>
        <rFont val="FreeSans"/>
        <family val="2"/>
      </rPr>
      <t xml:space="preserve">คอลัมน์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งานนี้ ในชีตแผนงาน ณ วันสิ้นสัปดาห์</t>
    </r>
  </si>
  <si>
    <r>
      <rPr>
        <sz val="9"/>
        <rFont val="FreeSans"/>
        <family val="2"/>
      </rPr>
      <t xml:space="preserve">วันที่ในรายงานแสดงเป็น พ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ศ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อัตโนมัติ • รายงานอ้างอิงระเบียบฯ ที่กำหนดให้ผู้ควบคุมงานรายงานผลการปฏิบัติงานต่อคณะกรรมการตรวจรับพัสดุทุกสัปดาห์ – ตรวจสอบรูปแบบกับหน่วยงานของท่านอีกครั้ง</t>
    </r>
  </si>
  <si>
    <r>
      <rPr>
        <b val="true"/>
        <sz val="11"/>
        <color rgb="FFFFFFFF"/>
        <rFont val="FreeSans"/>
        <family val="2"/>
      </rPr>
      <t xml:space="preserve">การเงินสัญญาและวัสดุ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แท็บสีส้ม</t>
    </r>
    <r>
      <rPr>
        <b val="true"/>
        <sz val="11"/>
        <color rgb="FFFFFFFF"/>
        <rFont val="Tahoma"/>
        <family val="0"/>
        <charset val="1"/>
      </rPr>
      <t xml:space="preserve">) / Contract Finance &amp; Materials</t>
    </r>
  </si>
  <si>
    <r>
      <rPr>
        <sz val="9"/>
        <rFont val="FreeSans"/>
        <family val="2"/>
      </rPr>
      <t xml:space="preserve">งานเพิ่มลด </t>
    </r>
    <r>
      <rPr>
        <sz val="9"/>
        <rFont val="Tahoma"/>
        <family val="0"/>
        <charset val="1"/>
      </rPr>
      <t xml:space="preserve">VO: </t>
    </r>
    <r>
      <rPr>
        <sz val="9"/>
        <rFont val="FreeSans"/>
        <family val="2"/>
      </rPr>
      <t xml:space="preserve">บันทึกทุกการแก้ไขสัญญา • เฉพาะรายการที่ </t>
    </r>
    <r>
      <rPr>
        <sz val="9"/>
        <rFont val="Tahoma"/>
        <family val="0"/>
        <charset val="1"/>
      </rPr>
      <t xml:space="preserve">'</t>
    </r>
    <r>
      <rPr>
        <sz val="9"/>
        <rFont val="FreeSans"/>
        <family val="2"/>
      </rPr>
      <t xml:space="preserve">อนุมัติ</t>
    </r>
    <r>
      <rPr>
        <sz val="9"/>
        <rFont val="Tahoma"/>
        <family val="0"/>
        <charset val="1"/>
      </rPr>
      <t xml:space="preserve">' </t>
    </r>
    <r>
      <rPr>
        <sz val="9"/>
        <rFont val="FreeSans"/>
        <family val="2"/>
      </rPr>
      <t xml:space="preserve">จะปรับมูลค่าสัญญาปัจจุบัน • มูลค่าสัญญาเดิมในชีตตั้งค่ายังใช้เป็นฐาน </t>
    </r>
    <r>
      <rPr>
        <sz val="9"/>
        <rFont val="Tahoma"/>
        <family val="0"/>
        <charset val="1"/>
      </rPr>
      <t xml:space="preserve">(Baseline) </t>
    </r>
    <r>
      <rPr>
        <sz val="9"/>
        <rFont val="FreeSans"/>
        <family val="2"/>
      </rPr>
      <t xml:space="preserve">ของ </t>
    </r>
    <r>
      <rPr>
        <sz val="9"/>
        <rFont val="Tahoma"/>
        <family val="0"/>
        <charset val="1"/>
      </rPr>
      <t xml:space="preserve">S-Curve/EVM</t>
    </r>
  </si>
  <si>
    <r>
      <rPr>
        <sz val="9"/>
        <rFont val="FreeSans"/>
        <family val="2"/>
      </rPr>
      <t xml:space="preserve">   – งานเพิ่มที่อนุมัติ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เพิ่มเป็นรายการใหม่ในชีตแผนงาน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มูลค่า </t>
    </r>
    <r>
      <rPr>
        <sz val="9"/>
        <rFont val="Tahoma"/>
        <family val="0"/>
        <charset val="1"/>
      </rPr>
      <t xml:space="preserve">BOQ + </t>
    </r>
    <r>
      <rPr>
        <sz val="9"/>
        <rFont val="FreeSans"/>
        <family val="2"/>
      </rPr>
      <t xml:space="preserve">วันแผน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เพื่อให้ผลงานรวมงานเพิ่ม • ถ้ากระทบเวลา ให้บันทึกในชีตขยายเวลา </t>
    </r>
    <r>
      <rPr>
        <sz val="9"/>
        <rFont val="Tahoma"/>
        <family val="0"/>
        <charset val="1"/>
      </rPr>
      <t xml:space="preserve">EOT</t>
    </r>
  </si>
  <si>
    <r>
      <rPr>
        <sz val="9"/>
        <rFont val="FreeSans"/>
        <family val="2"/>
      </rPr>
      <t xml:space="preserve">เงินงวด </t>
    </r>
    <r>
      <rPr>
        <sz val="9"/>
        <rFont val="Tahoma"/>
        <family val="0"/>
        <charset val="1"/>
      </rPr>
      <t xml:space="preserve">Payment: </t>
    </r>
    <r>
      <rPr>
        <sz val="9"/>
        <rFont val="FreeSans"/>
        <family val="2"/>
      </rPr>
      <t xml:space="preserve">ดึงงวดจากชีตงวดงาน แล้วคำนวณ ค่า </t>
    </r>
    <r>
      <rPr>
        <sz val="9"/>
        <rFont val="Tahoma"/>
        <family val="0"/>
        <charset val="1"/>
      </rPr>
      <t xml:space="preserve">K • </t>
    </r>
    <r>
      <rPr>
        <sz val="9"/>
        <rFont val="FreeSans"/>
        <family val="2"/>
      </rPr>
      <t xml:space="preserve">หักเงินล่วงหน้าตามสัดส่วน • หักเงินประกันผลงาน • ค่าปรับ → ยอดจ่ายสุทธิ</t>
    </r>
  </si>
  <si>
    <r>
      <rPr>
        <sz val="9"/>
        <rFont val="FreeSans"/>
        <family val="2"/>
      </rPr>
      <t xml:space="preserve">   – ค่า </t>
    </r>
    <r>
      <rPr>
        <sz val="9"/>
        <rFont val="Tahoma"/>
        <family val="0"/>
        <charset val="1"/>
      </rPr>
      <t xml:space="preserve">K: </t>
    </r>
    <r>
      <rPr>
        <sz val="9"/>
        <rFont val="FreeSans"/>
        <family val="2"/>
      </rPr>
      <t xml:space="preserve">ใส่สูตร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ค่าคงที่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สัมประสิทธิ์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ดัชนีฐาน </t>
    </r>
    <r>
      <rPr>
        <sz val="9"/>
        <rFont val="Tahoma"/>
        <family val="0"/>
        <charset val="1"/>
      </rPr>
      <t xml:space="preserve">Io </t>
    </r>
    <r>
      <rPr>
        <sz val="9"/>
        <rFont val="FreeSans"/>
        <family val="2"/>
      </rPr>
      <t xml:space="preserve">เดือนเปิดซอง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ตามที่ระบุในสัญญา แล้วกรอกดัชนี </t>
    </r>
    <r>
      <rPr>
        <sz val="9"/>
        <rFont val="Tahoma"/>
        <family val="0"/>
        <charset val="1"/>
      </rPr>
      <t xml:space="preserve">It </t>
    </r>
    <r>
      <rPr>
        <sz val="9"/>
        <rFont val="FreeSans"/>
        <family val="2"/>
      </rPr>
      <t xml:space="preserve">ของเดือนส่งมอบแต่ละงวด • คิดเงินเพิ่ม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ลดเฉพาะส่วนที่เกินเกณฑ์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ค่าเริ่มต้น </t>
    </r>
    <r>
      <rPr>
        <sz val="9"/>
        <rFont val="Tahoma"/>
        <family val="0"/>
        <charset val="1"/>
      </rPr>
      <t xml:space="preserve">4%)</t>
    </r>
  </si>
  <si>
    <r>
      <rPr>
        <sz val="9"/>
        <rFont val="FreeSans"/>
        <family val="2"/>
      </rPr>
      <t xml:space="preserve">   – อัตราเงินล่วงหน้า เงินประกันผลงาน สูตร </t>
    </r>
    <r>
      <rPr>
        <sz val="9"/>
        <rFont val="Tahoma"/>
        <family val="0"/>
        <charset val="1"/>
      </rPr>
      <t xml:space="preserve">K </t>
    </r>
    <r>
      <rPr>
        <sz val="9"/>
        <rFont val="FreeSans"/>
        <family val="2"/>
      </rPr>
      <t xml:space="preserve">และดัชนีในไฟล์เป็นค่าตัวอย่าง ต้องแก้ตามสัญญาจริง • ยอดสุทธิยังไม่คิดภาษี</t>
    </r>
  </si>
  <si>
    <r>
      <rPr>
        <sz val="9"/>
        <rFont val="FreeSans"/>
        <family val="2"/>
      </rPr>
      <t xml:space="preserve">ขออนุมัติวัสดุ </t>
    </r>
    <r>
      <rPr>
        <sz val="9"/>
        <rFont val="Tahoma"/>
        <family val="0"/>
        <charset val="1"/>
      </rPr>
      <t xml:space="preserve">Submittal: </t>
    </r>
    <r>
      <rPr>
        <sz val="9"/>
        <rFont val="FreeSans"/>
        <family val="2"/>
      </rPr>
      <t xml:space="preserve">เลือก </t>
    </r>
    <r>
      <rPr>
        <sz val="9"/>
        <rFont val="Tahoma"/>
        <family val="0"/>
        <charset val="1"/>
      </rPr>
      <t xml:space="preserve">WBS </t>
    </r>
    <r>
      <rPr>
        <sz val="9"/>
        <rFont val="FreeSans"/>
        <family val="2"/>
      </rPr>
      <t xml:space="preserve">ที่ใช้วัสดุ ระบบดึงวันเริ่มงาน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ใช้แผนเร่งรัดถ้ามี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แล้วคำนวณวันที่ต้องได้รับอนุมัติ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วันเริ่มงาน − ระยะเวลาสั่งผลิต</t>
    </r>
  </si>
  <si>
    <r>
      <rPr>
        <sz val="9"/>
        <rFont val="FreeSans"/>
        <family val="2"/>
      </rPr>
      <t xml:space="preserve">   – สถานะแดง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เลยกำหนดหรือเหลือไม่เกิน </t>
    </r>
    <r>
      <rPr>
        <sz val="9"/>
        <rFont val="Tahoma"/>
        <family val="0"/>
        <charset val="1"/>
      </rPr>
      <t xml:space="preserve">14 </t>
    </r>
    <r>
      <rPr>
        <sz val="9"/>
        <rFont val="FreeSans"/>
        <family val="2"/>
      </rPr>
      <t xml:space="preserve">วัน • ใช้ร่วมกับแอปเช็คลิสต์วัสดุ กฟภ</t>
    </r>
    <r>
      <rPr>
        <sz val="9"/>
        <rFont val="Tahoma"/>
        <family val="0"/>
        <charset val="1"/>
      </rPr>
      <t xml:space="preserve">.: </t>
    </r>
    <r>
      <rPr>
        <sz val="9"/>
        <rFont val="FreeSans"/>
        <family val="2"/>
      </rPr>
      <t xml:space="preserve">ตรวจด้วยแอป → บันทึกเลขที่เอกสารและผลตรวจ </t>
    </r>
    <r>
      <rPr>
        <sz val="9"/>
        <rFont val="Tahoma"/>
        <family val="0"/>
        <charset val="1"/>
      </rPr>
      <t xml:space="preserve">AI </t>
    </r>
    <r>
      <rPr>
        <sz val="9"/>
        <rFont val="FreeSans"/>
        <family val="2"/>
      </rPr>
      <t xml:space="preserve">ลงทะเบียนนี้</t>
    </r>
  </si>
  <si>
    <r>
      <rPr>
        <b val="true"/>
        <sz val="16"/>
        <color rgb="FF1F3864"/>
        <rFont val="FreeSans"/>
        <family val="2"/>
      </rPr>
      <t xml:space="preserve">ตั้งค่าโครงการ </t>
    </r>
    <r>
      <rPr>
        <b val="true"/>
        <sz val="16"/>
        <color rgb="FF1F3864"/>
        <rFont val="Tahoma"/>
        <family val="0"/>
        <charset val="1"/>
      </rPr>
      <t xml:space="preserve">/ Project Setup</t>
    </r>
  </si>
  <si>
    <r>
      <rPr>
        <i val="true"/>
        <sz val="9"/>
        <color rgb="FF595959"/>
        <rFont val="FreeSans"/>
        <family val="2"/>
      </rPr>
      <t xml:space="preserve">กรอกเฉพาะช่องสีเหลือง • </t>
    </r>
    <r>
      <rPr>
        <i val="true"/>
        <sz val="9"/>
        <color rgb="FF595959"/>
        <rFont val="Tahoma"/>
        <family val="0"/>
        <charset val="1"/>
      </rPr>
      <t xml:space="preserve">Fill in yellow cells only</t>
    </r>
  </si>
  <si>
    <r>
      <rPr>
        <b val="true"/>
        <sz val="9"/>
        <color rgb="FFFFFFFF"/>
        <rFont val="FreeSans"/>
        <family val="2"/>
      </rPr>
      <t xml:space="preserve">รายการ </t>
    </r>
    <r>
      <rPr>
        <b val="true"/>
        <sz val="9"/>
        <color rgb="FFFFFFFF"/>
        <rFont val="Tahoma"/>
        <family val="0"/>
        <charset val="1"/>
      </rPr>
      <t xml:space="preserve">/ Item</t>
    </r>
  </si>
  <si>
    <r>
      <rPr>
        <b val="true"/>
        <sz val="9"/>
        <color rgb="FFFFFFFF"/>
        <rFont val="FreeSans"/>
        <family val="2"/>
      </rPr>
      <t xml:space="preserve">ค่า </t>
    </r>
    <r>
      <rPr>
        <b val="true"/>
        <sz val="9"/>
        <color rgb="FFFFFFFF"/>
        <rFont val="Tahoma"/>
        <family val="0"/>
        <charset val="1"/>
      </rPr>
      <t xml:space="preserve">/ Value</t>
    </r>
  </si>
  <si>
    <r>
      <rPr>
        <b val="true"/>
        <sz val="9"/>
        <color rgb="FFFFFFFF"/>
        <rFont val="FreeSans"/>
        <family val="2"/>
      </rPr>
      <t xml:space="preserve">หมายเหตุ </t>
    </r>
    <r>
      <rPr>
        <b val="true"/>
        <sz val="9"/>
        <color rgb="FFFFFFFF"/>
        <rFont val="Tahoma"/>
        <family val="0"/>
        <charset val="1"/>
      </rPr>
      <t xml:space="preserve">/ Note</t>
    </r>
  </si>
  <si>
    <r>
      <rPr>
        <sz val="10"/>
        <rFont val="FreeSans"/>
        <family val="2"/>
      </rPr>
      <t xml:space="preserve">ชื่อโครงการ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ไทย</t>
    </r>
    <r>
      <rPr>
        <sz val="10"/>
        <rFont val="Tahoma"/>
        <family val="0"/>
        <charset val="1"/>
      </rPr>
      <t xml:space="preserve">) / Project name (TH)</t>
    </r>
  </si>
  <si>
    <r>
      <rPr>
        <sz val="10"/>
        <color rgb="FF0000FF"/>
        <rFont val="FreeSans"/>
        <family val="2"/>
      </rPr>
      <t xml:space="preserve">โครงการก่อสร้างอาคาร </t>
    </r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แก้ไขชื่อได้</t>
    </r>
    <r>
      <rPr>
        <sz val="10"/>
        <color rgb="FF0000FF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</si>
  <si>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ชื่อโครงการ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อังกฤษ</t>
    </r>
    <r>
      <rPr>
        <sz val="10"/>
        <rFont val="Tahoma"/>
        <family val="0"/>
        <charset val="1"/>
      </rPr>
      <t xml:space="preserve">) / Project name (EN)</t>
    </r>
  </si>
  <si>
    <t xml:space="preserve">Building Construction Project</t>
  </si>
  <si>
    <r>
      <rPr>
        <sz val="10"/>
        <rFont val="FreeSans"/>
        <family val="2"/>
      </rPr>
      <t xml:space="preserve">ผู้ว่าจ้าง </t>
    </r>
    <r>
      <rPr>
        <sz val="10"/>
        <rFont val="Tahoma"/>
        <family val="0"/>
        <charset val="1"/>
      </rPr>
      <t xml:space="preserve">/ Employer</t>
    </r>
  </si>
  <si>
    <r>
      <rPr>
        <sz val="10"/>
        <rFont val="FreeSans"/>
        <family val="2"/>
      </rPr>
      <t xml:space="preserve">ผู้รับจ้าง </t>
    </r>
    <r>
      <rPr>
        <sz val="10"/>
        <rFont val="Tahoma"/>
        <family val="0"/>
        <charset val="1"/>
      </rPr>
      <t xml:space="preserve">/ Contractor</t>
    </r>
  </si>
  <si>
    <r>
      <rPr>
        <sz val="10"/>
        <rFont val="FreeSans"/>
        <family val="2"/>
      </rPr>
      <t xml:space="preserve">เลขที่สัญญา </t>
    </r>
    <r>
      <rPr>
        <sz val="10"/>
        <rFont val="Tahoma"/>
        <family val="0"/>
        <charset val="1"/>
      </rPr>
      <t xml:space="preserve">/ Contract No.</t>
    </r>
  </si>
  <si>
    <r>
      <rPr>
        <sz val="10"/>
        <rFont val="FreeSans"/>
        <family val="2"/>
      </rPr>
      <t xml:space="preserve">มูลค่าสัญญา </t>
    </r>
    <r>
      <rPr>
        <sz val="10"/>
        <rFont val="Tahoma"/>
        <family val="0"/>
        <charset val="1"/>
      </rPr>
      <t xml:space="preserve">/ Contract Value = BAC 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</si>
  <si>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อ่านจากเอกสารแผนงาน </t>
    </r>
    <r>
      <rPr>
        <i val="true"/>
        <sz val="9"/>
        <color rgb="FF595959"/>
        <rFont val="Tahoma"/>
        <family val="0"/>
        <charset val="1"/>
      </rPr>
      <t xml:space="preserve">(Summary) – </t>
    </r>
    <r>
      <rPr>
        <i val="true"/>
        <sz val="9"/>
        <color rgb="FF595959"/>
        <rFont val="FreeSans"/>
        <family val="2"/>
      </rPr>
      <t xml:space="preserve">กรุณาตรวจสอบกับสัญญา</t>
    </r>
  </si>
  <si>
    <r>
      <rPr>
        <sz val="10"/>
        <rFont val="FreeSans"/>
        <family val="2"/>
      </rPr>
      <t xml:space="preserve">วันเริ่มสัญญา </t>
    </r>
    <r>
      <rPr>
        <sz val="10"/>
        <rFont val="Tahoma"/>
        <family val="0"/>
        <charset val="1"/>
      </rPr>
      <t xml:space="preserve">/ Commencement Date</t>
    </r>
  </si>
  <si>
    <r>
      <rPr>
        <i val="true"/>
        <sz val="9"/>
        <color rgb="FF595959"/>
        <rFont val="FreeSans"/>
        <family val="2"/>
      </rPr>
      <t xml:space="preserve">จากเอกสารแผนงาน </t>
    </r>
    <r>
      <rPr>
        <i val="true"/>
        <sz val="9"/>
        <color rgb="FF595959"/>
        <rFont val="Tahoma"/>
        <family val="0"/>
        <charset val="1"/>
      </rPr>
      <t xml:space="preserve">20-Feb-26</t>
    </r>
  </si>
  <si>
    <r>
      <rPr>
        <sz val="10"/>
        <rFont val="FreeSans"/>
        <family val="2"/>
      </rPr>
      <t xml:space="preserve">ระยะเวลาสัญญา </t>
    </r>
    <r>
      <rPr>
        <sz val="10"/>
        <rFont val="Tahoma"/>
        <family val="0"/>
        <charset val="1"/>
      </rPr>
      <t xml:space="preserve">/ Contract Duration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/days)</t>
    </r>
  </si>
  <si>
    <r>
      <rPr>
        <i val="true"/>
        <sz val="9"/>
        <color rgb="FF595959"/>
        <rFont val="FreeSans"/>
        <family val="2"/>
      </rPr>
      <t xml:space="preserve">จากเอกสารแผนงาน </t>
    </r>
    <r>
      <rPr>
        <i val="true"/>
        <sz val="9"/>
        <color rgb="FF595959"/>
        <rFont val="Tahoma"/>
        <family val="0"/>
        <charset val="1"/>
      </rPr>
      <t xml:space="preserve">270 </t>
    </r>
    <r>
      <rPr>
        <i val="true"/>
        <sz val="9"/>
        <color rgb="FF595959"/>
        <rFont val="FreeSans"/>
        <family val="2"/>
      </rPr>
      <t xml:space="preserve">วัน</t>
    </r>
  </si>
  <si>
    <r>
      <rPr>
        <sz val="10"/>
        <rFont val="FreeSans"/>
        <family val="2"/>
      </rPr>
      <t xml:space="preserve">วันสิ้นสุดตามสัญญาเดิม </t>
    </r>
    <r>
      <rPr>
        <sz val="10"/>
        <rFont val="Tahoma"/>
        <family val="0"/>
        <charset val="1"/>
      </rPr>
      <t xml:space="preserve">/ Original Completion</t>
    </r>
  </si>
  <si>
    <r>
      <rPr>
        <i val="true"/>
        <sz val="9"/>
        <color rgb="FF595959"/>
        <rFont val="FreeSans"/>
        <family val="2"/>
      </rPr>
      <t xml:space="preserve">นับวันเริ่มเป็นวันที่ </t>
    </r>
    <r>
      <rPr>
        <i val="true"/>
        <sz val="9"/>
        <color rgb="FF595959"/>
        <rFont val="Tahoma"/>
        <family val="0"/>
        <charset val="1"/>
      </rPr>
      <t xml:space="preserve">1 (</t>
    </r>
    <r>
      <rPr>
        <i val="true"/>
        <sz val="9"/>
        <color rgb="FF595959"/>
        <rFont val="FreeSans"/>
        <family val="2"/>
      </rPr>
      <t xml:space="preserve">เอกสารระบุ </t>
    </r>
    <r>
      <rPr>
        <i val="true"/>
        <sz val="9"/>
        <color rgb="FF595959"/>
        <rFont val="Tahoma"/>
        <family val="0"/>
        <charset val="1"/>
      </rPr>
      <t xml:space="preserve">17-Nov-26 – </t>
    </r>
    <r>
      <rPr>
        <i val="true"/>
        <sz val="9"/>
        <color rgb="FF595959"/>
        <rFont val="FreeSans"/>
        <family val="2"/>
      </rPr>
      <t xml:space="preserve">พิมพ์ทับได้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</si>
  <si>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ขยายเวลาที่อนุมัติแล้ว </t>
    </r>
    <r>
      <rPr>
        <sz val="10"/>
        <rFont val="Tahoma"/>
        <family val="0"/>
        <charset val="1"/>
      </rPr>
      <t xml:space="preserve">/ Approved EOT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</si>
  <si>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ดึงจากชีต ขยายเวลา </t>
    </r>
    <r>
      <rPr>
        <i val="true"/>
        <sz val="9"/>
        <color rgb="FF595959"/>
        <rFont val="Tahoma"/>
        <family val="0"/>
        <charset val="1"/>
      </rPr>
      <t xml:space="preserve">EOT </t>
    </r>
    <r>
      <rPr>
        <i val="true"/>
        <sz val="9"/>
        <color rgb="FF595959"/>
        <rFont val="FreeSans"/>
        <family val="2"/>
      </rPr>
      <t xml:space="preserve">อัตโนมัติ</t>
    </r>
  </si>
  <si>
    <r>
      <rPr>
        <sz val="10"/>
        <rFont val="FreeSans"/>
        <family val="2"/>
      </rPr>
      <t xml:space="preserve">วันสิ้นสุดหลังขยายเวลา </t>
    </r>
    <r>
      <rPr>
        <sz val="10"/>
        <rFont val="Tahoma"/>
        <family val="0"/>
        <charset val="1"/>
      </rPr>
      <t xml:space="preserve">/ Revised Completion</t>
    </r>
  </si>
  <si>
    <r>
      <rPr>
        <i val="true"/>
        <sz val="9"/>
        <color rgb="FF595959"/>
        <rFont val="FreeSans"/>
        <family val="2"/>
      </rPr>
      <t xml:space="preserve">วันสิ้นสุดสัญญาเดิม </t>
    </r>
    <r>
      <rPr>
        <i val="true"/>
        <sz val="9"/>
        <color rgb="FF595959"/>
        <rFont val="Tahoma"/>
        <family val="0"/>
        <charset val="1"/>
      </rPr>
      <t xml:space="preserve">+ </t>
    </r>
    <r>
      <rPr>
        <i val="true"/>
        <sz val="9"/>
        <color rgb="FF595959"/>
        <rFont val="FreeSans"/>
        <family val="2"/>
      </rPr>
      <t xml:space="preserve">วันขยายเวลาที่อนุมัติ</t>
    </r>
  </si>
  <si>
    <r>
      <rPr>
        <sz val="10"/>
        <rFont val="FreeSans"/>
        <family val="2"/>
      </rPr>
      <t xml:space="preserve">วันที่ตรวจวัดผลงาน </t>
    </r>
    <r>
      <rPr>
        <sz val="10"/>
        <rFont val="Tahoma"/>
        <family val="0"/>
        <charset val="1"/>
      </rPr>
      <t xml:space="preserve">/ Status Date</t>
    </r>
  </si>
  <si>
    <t xml:space="preserve">เปลี่ยนทุกครั้งที่อัปเดตรายงาน</t>
  </si>
  <si>
    <r>
      <rPr>
        <sz val="10"/>
        <rFont val="FreeSans"/>
        <family val="2"/>
      </rPr>
      <t xml:space="preserve">รอบตัดงวด </t>
    </r>
    <r>
      <rPr>
        <sz val="10"/>
        <rFont val="Tahoma"/>
        <family val="0"/>
        <charset val="1"/>
      </rPr>
      <t xml:space="preserve">S-Curve / Reporting Period</t>
    </r>
  </si>
  <si>
    <r>
      <rPr>
        <sz val="10"/>
        <color rgb="FF0000FF"/>
        <rFont val="FreeSans"/>
        <family val="2"/>
      </rPr>
      <t xml:space="preserve">ทุก </t>
    </r>
    <r>
      <rPr>
        <sz val="10"/>
        <color rgb="FF0000FF"/>
        <rFont val="Tahoma"/>
        <family val="0"/>
        <charset val="1"/>
      </rPr>
      <t xml:space="preserve">10 </t>
    </r>
    <r>
      <rPr>
        <sz val="10"/>
        <color rgb="FF0000FF"/>
        <rFont val="FreeSans"/>
        <family val="2"/>
      </rPr>
      <t xml:space="preserve">วัน </t>
    </r>
    <r>
      <rPr>
        <sz val="10"/>
        <color rgb="FF0000FF"/>
        <rFont val="Tahoma"/>
        <family val="0"/>
        <charset val="1"/>
      </rPr>
      <t xml:space="preserve">/ 10-day</t>
    </r>
  </si>
  <si>
    <r>
      <rPr>
        <i val="true"/>
        <sz val="9"/>
        <color rgb="FF595959"/>
        <rFont val="FreeSans"/>
        <family val="2"/>
      </rPr>
      <t xml:space="preserve">ทุก </t>
    </r>
    <r>
      <rPr>
        <i val="true"/>
        <sz val="9"/>
        <color rgb="FF595959"/>
        <rFont val="Tahoma"/>
        <family val="0"/>
        <charset val="1"/>
      </rPr>
      <t xml:space="preserve">10 </t>
    </r>
    <r>
      <rPr>
        <i val="true"/>
        <sz val="9"/>
        <color rgb="FF595959"/>
        <rFont val="FreeSans"/>
        <family val="2"/>
      </rPr>
      <t xml:space="preserve">วัน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ตัดวันที่ </t>
    </r>
    <r>
      <rPr>
        <i val="true"/>
        <sz val="9"/>
        <color rgb="FF595959"/>
        <rFont val="Tahoma"/>
        <family val="0"/>
        <charset val="1"/>
      </rPr>
      <t xml:space="preserve">10, 20, </t>
    </r>
    <r>
      <rPr>
        <i val="true"/>
        <sz val="9"/>
        <color rgb="FF595959"/>
        <rFont val="FreeSans"/>
        <family val="2"/>
      </rPr>
      <t xml:space="preserve">สิ้นเดือน</t>
    </r>
    <r>
      <rPr>
        <i val="true"/>
        <sz val="9"/>
        <color rgb="FF595959"/>
        <rFont val="Tahoma"/>
        <family val="0"/>
        <charset val="1"/>
      </rPr>
      <t xml:space="preserve">) / </t>
    </r>
    <r>
      <rPr>
        <i val="true"/>
        <sz val="9"/>
        <color rgb="FF595959"/>
        <rFont val="FreeSans"/>
        <family val="2"/>
      </rPr>
      <t xml:space="preserve">รายสัปดาห์ </t>
    </r>
    <r>
      <rPr>
        <i val="true"/>
        <sz val="9"/>
        <color rgb="FF595959"/>
        <rFont val="Tahoma"/>
        <family val="0"/>
        <charset val="1"/>
      </rPr>
      <t xml:space="preserve">/ </t>
    </r>
    <r>
      <rPr>
        <i val="true"/>
        <sz val="9"/>
        <color rgb="FF595959"/>
        <rFont val="FreeSans"/>
        <family val="2"/>
      </rPr>
      <t xml:space="preserve">รายเดือน</t>
    </r>
  </si>
  <si>
    <r>
      <rPr>
        <sz val="10"/>
        <rFont val="FreeSans"/>
        <family val="2"/>
      </rPr>
      <t xml:space="preserve">อัตราค่าปรับต่อวัน </t>
    </r>
    <r>
      <rPr>
        <sz val="10"/>
        <rFont val="Tahoma"/>
        <family val="0"/>
        <charset val="1"/>
      </rPr>
      <t xml:space="preserve">/ LD Rate (% of contract per day)</t>
    </r>
  </si>
  <si>
    <r>
      <rPr>
        <i val="true"/>
        <sz val="9"/>
        <color rgb="FF595959"/>
        <rFont val="FreeSans"/>
        <family val="2"/>
      </rPr>
      <t xml:space="preserve">ตัวอย่าง </t>
    </r>
    <r>
      <rPr>
        <i val="true"/>
        <sz val="9"/>
        <color rgb="FF595959"/>
        <rFont val="Tahoma"/>
        <family val="0"/>
        <charset val="1"/>
      </rPr>
      <t xml:space="preserve">0.10% – </t>
    </r>
    <r>
      <rPr>
        <i val="true"/>
        <sz val="9"/>
        <color rgb="FF595959"/>
        <rFont val="FreeSans"/>
        <family val="2"/>
      </rPr>
      <t xml:space="preserve">กรุณาใส่อัตราตามสัญญาจริง</t>
    </r>
  </si>
  <si>
    <r>
      <rPr>
        <sz val="10"/>
        <rFont val="FreeSans"/>
        <family val="2"/>
      </rPr>
      <t xml:space="preserve">ค่าปรับขั้นต่ำต่อวัน </t>
    </r>
    <r>
      <rPr>
        <sz val="10"/>
        <rFont val="Tahoma"/>
        <family val="0"/>
        <charset val="1"/>
      </rPr>
      <t xml:space="preserve">/ Minimum LD per day 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</si>
  <si>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ตามที่สัญญากำหนด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ถ้าไม่มีใส่ </t>
    </r>
    <r>
      <rPr>
        <i val="true"/>
        <sz val="9"/>
        <color rgb="FF595959"/>
        <rFont val="Tahoma"/>
        <family val="0"/>
        <charset val="1"/>
      </rPr>
      <t xml:space="preserve">0)</t>
    </r>
  </si>
  <si>
    <r>
      <rPr>
        <sz val="10"/>
        <rFont val="FreeSans"/>
        <family val="2"/>
      </rPr>
      <t xml:space="preserve">เกณฑ์เตือนค่าปรับสะสม </t>
    </r>
    <r>
      <rPr>
        <sz val="10"/>
        <rFont val="Tahoma"/>
        <family val="0"/>
        <charset val="1"/>
      </rPr>
      <t xml:space="preserve">/ LD Warning Threshold</t>
    </r>
  </si>
  <si>
    <r>
      <rPr>
        <i val="true"/>
        <sz val="9"/>
        <color rgb="FF595959"/>
        <rFont val="FreeSans"/>
        <family val="2"/>
      </rPr>
      <t xml:space="preserve">หลายสัญญากำหนดให้ผู้ว่าจ้างพิจารณาบอกเลิกได้เมื่อค่าปรับเกิน </t>
    </r>
    <r>
      <rPr>
        <i val="true"/>
        <sz val="9"/>
        <color rgb="FF595959"/>
        <rFont val="Tahoma"/>
        <family val="0"/>
        <charset val="1"/>
      </rPr>
      <t xml:space="preserve">10%</t>
    </r>
  </si>
  <si>
    <r>
      <rPr>
        <sz val="10"/>
        <rFont val="FreeSans"/>
        <family val="2"/>
      </rPr>
      <t xml:space="preserve">ช่วงแผนงานล่วงหน้า </t>
    </r>
    <r>
      <rPr>
        <sz val="10"/>
        <rFont val="Tahoma"/>
        <family val="0"/>
        <charset val="1"/>
      </rPr>
      <t xml:space="preserve">/ Look-ahead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/days)</t>
    </r>
  </si>
  <si>
    <t xml:space="preserve">ใช้ในรายงานประจำงวด</t>
  </si>
  <si>
    <r>
      <rPr>
        <sz val="10"/>
        <rFont val="FreeSans"/>
        <family val="2"/>
      </rPr>
      <t xml:space="preserve">รายงานงวดที่ </t>
    </r>
    <r>
      <rPr>
        <sz val="10"/>
        <rFont val="Tahoma"/>
        <family val="0"/>
        <charset val="1"/>
      </rPr>
      <t xml:space="preserve">/ Report No.</t>
    </r>
  </si>
  <si>
    <r>
      <rPr>
        <sz val="10"/>
        <rFont val="FreeSans"/>
        <family val="2"/>
      </rPr>
      <t xml:space="preserve">ผู้จัดทำรายงาน </t>
    </r>
    <r>
      <rPr>
        <sz val="10"/>
        <rFont val="Tahoma"/>
        <family val="0"/>
        <charset val="1"/>
      </rPr>
      <t xml:space="preserve">/ Prepared by</t>
    </r>
  </si>
  <si>
    <r>
      <rPr>
        <b val="true"/>
        <sz val="9"/>
        <color rgb="FFFFFFFF"/>
        <rFont val="FreeSans"/>
        <family val="2"/>
      </rPr>
      <t xml:space="preserve">หมวดงาน </t>
    </r>
    <r>
      <rPr>
        <b val="true"/>
        <sz val="9"/>
        <color rgb="FFFFFFFF"/>
        <rFont val="Tahoma"/>
        <family val="0"/>
        <charset val="1"/>
      </rPr>
      <t xml:space="preserve">(WBS </t>
    </r>
    <r>
      <rPr>
        <b val="true"/>
        <sz val="9"/>
        <color rgb="FFFFFFFF"/>
        <rFont val="FreeSans"/>
        <family val="2"/>
      </rPr>
      <t xml:space="preserve">ระดับ </t>
    </r>
    <r>
      <rPr>
        <b val="true"/>
        <sz val="9"/>
        <color rgb="FFFFFFFF"/>
        <rFont val="Tahoma"/>
        <family val="0"/>
        <charset val="1"/>
      </rPr>
      <t xml:space="preserve">1) / Work Categories</t>
    </r>
  </si>
  <si>
    <r>
      <rPr>
        <b val="true"/>
        <sz val="9"/>
        <color rgb="FFFFFFFF"/>
        <rFont val="FreeSans"/>
        <family val="2"/>
      </rPr>
      <t xml:space="preserve">ชื่อหมวด </t>
    </r>
    <r>
      <rPr>
        <b val="true"/>
        <sz val="9"/>
        <color rgb="FFFFFFFF"/>
        <rFont val="Tahoma"/>
        <family val="0"/>
        <charset val="1"/>
      </rPr>
      <t xml:space="preserve">/ Category name</t>
    </r>
  </si>
  <si>
    <t xml:space="preserve">หมายเหตุ</t>
  </si>
  <si>
    <r>
      <rPr>
        <i val="true"/>
        <sz val="9"/>
        <color rgb="FF595959"/>
        <rFont val="FreeSans"/>
        <family val="2"/>
      </rPr>
      <t xml:space="preserve">เลขหมวด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ลำดับในตาราง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ใช้สร้างรหัส </t>
    </r>
    <r>
      <rPr>
        <i val="true"/>
        <sz val="9"/>
        <color rgb="FF595959"/>
        <rFont val="Tahoma"/>
        <family val="0"/>
        <charset val="1"/>
      </rPr>
      <t xml:space="preserve">WBS </t>
    </r>
    <r>
      <rPr>
        <i val="true"/>
        <sz val="9"/>
        <color rgb="FF595959"/>
        <rFont val="FreeSans"/>
        <family val="2"/>
      </rPr>
      <t xml:space="preserve">เช่น </t>
    </r>
    <r>
      <rPr>
        <i val="true"/>
        <sz val="9"/>
        <color rgb="FF595959"/>
        <rFont val="Tahoma"/>
        <family val="0"/>
        <charset val="1"/>
      </rPr>
      <t xml:space="preserve">2.3)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</si>
  <si>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</t>
    </r>
  </si>
  <si>
    <r>
      <rPr>
        <sz val="10"/>
        <color rgb="FF0000FF"/>
        <rFont val="FreeSans"/>
        <family val="2"/>
      </rPr>
      <t xml:space="preserve">งานเตรียมการ </t>
    </r>
    <r>
      <rPr>
        <sz val="10"/>
        <color rgb="FF0000FF"/>
        <rFont val="Tahoma"/>
        <family val="0"/>
        <charset val="1"/>
      </rPr>
      <t xml:space="preserve">/ Preliminaries</t>
    </r>
  </si>
  <si>
    <t xml:space="preserve">ตัวอย่างการจัดหมวดจากแผนงานเดิม – แก้ไขได้</t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</si>
  <si>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</t>
    </r>
  </si>
  <si>
    <r>
      <rPr>
        <sz val="10"/>
        <color rgb="FF0000FF"/>
        <rFont val="FreeSans"/>
        <family val="2"/>
      </rPr>
      <t xml:space="preserve">งานโครงสร้าง </t>
    </r>
    <r>
      <rPr>
        <sz val="10"/>
        <color rgb="FF0000FF"/>
        <rFont val="Tahoma"/>
        <family val="0"/>
        <charset val="1"/>
      </rPr>
      <t xml:space="preserve">/ Structural Works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</si>
  <si>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</t>
    </r>
  </si>
  <si>
    <r>
      <rPr>
        <sz val="10"/>
        <color rgb="FF0000FF"/>
        <rFont val="FreeSans"/>
        <family val="2"/>
      </rPr>
      <t xml:space="preserve">งานสถาปัตยกรรม </t>
    </r>
    <r>
      <rPr>
        <sz val="10"/>
        <color rgb="FF0000FF"/>
        <rFont val="Tahoma"/>
        <family val="0"/>
        <charset val="1"/>
      </rPr>
      <t xml:space="preserve">/ Architectural Works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</si>
  <si>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4</t>
    </r>
  </si>
  <si>
    <r>
      <rPr>
        <sz val="10"/>
        <color rgb="FF0000FF"/>
        <rFont val="FreeSans"/>
        <family val="2"/>
      </rPr>
      <t xml:space="preserve">งานระบบ </t>
    </r>
    <r>
      <rPr>
        <sz val="10"/>
        <color rgb="FF0000FF"/>
        <rFont val="Tahoma"/>
        <family val="0"/>
        <charset val="1"/>
      </rPr>
      <t xml:space="preserve">/ MEP Works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</si>
  <si>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5</t>
    </r>
  </si>
  <si>
    <r>
      <rPr>
        <sz val="10"/>
        <color rgb="FF0000FF"/>
        <rFont val="FreeSans"/>
        <family val="2"/>
      </rPr>
      <t xml:space="preserve">งานภายนอกและทดสอบระบบ </t>
    </r>
    <r>
      <rPr>
        <sz val="10"/>
        <color rgb="FF0000FF"/>
        <rFont val="Tahoma"/>
        <family val="0"/>
        <charset val="1"/>
      </rPr>
      <t xml:space="preserve">/ External &amp; Commissioning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</si>
  <si>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6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</si>
  <si>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7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</si>
  <si>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8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</si>
  <si>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9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</si>
  <si>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10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</si>
  <si>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11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</si>
  <si>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12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</si>
  <si>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13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</si>
  <si>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14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</si>
  <si>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15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</si>
  <si>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16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</si>
  <si>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17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</si>
  <si>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18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</si>
  <si>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19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</si>
  <si>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20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</si>
  <si>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21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</si>
  <si>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22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</si>
  <si>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23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</si>
  <si>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24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</si>
  <si>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25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</si>
  <si>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26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</si>
  <si>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27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</si>
  <si>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28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</si>
  <si>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29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</si>
  <si>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30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</si>
  <si>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31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</si>
  <si>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32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</si>
  <si>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33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</si>
  <si>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34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</si>
  <si>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35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</si>
  <si>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36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</si>
  <si>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37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</si>
  <si>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38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</si>
  <si>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39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</si>
  <si>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40</t>
    </r>
  </si>
  <si>
    <r>
      <rPr>
        <b val="true"/>
        <sz val="9"/>
        <color rgb="FF808080"/>
        <rFont val="FreeSans"/>
        <family val="2"/>
      </rPr>
      <t xml:space="preserve">ตัวช่วยคำนวณแกนเวลา </t>
    </r>
    <r>
      <rPr>
        <b val="true"/>
        <sz val="9"/>
        <color rgb="FF808080"/>
        <rFont val="Tahoma"/>
        <family val="0"/>
        <charset val="1"/>
      </rPr>
      <t xml:space="preserve">(</t>
    </r>
    <r>
      <rPr>
        <b val="true"/>
        <sz val="9"/>
        <color rgb="FF808080"/>
        <rFont val="FreeSans"/>
        <family val="2"/>
      </rPr>
      <t xml:space="preserve">อัตโนมัติ</t>
    </r>
    <r>
      <rPr>
        <b val="true"/>
        <sz val="9"/>
        <color rgb="FF808080"/>
        <rFont val="Tahoma"/>
        <family val="0"/>
        <charset val="1"/>
      </rPr>
      <t xml:space="preserve">) / Timeline helper</t>
    </r>
  </si>
  <si>
    <t xml:space="preserve">วันเริ่มแกนเวลา</t>
  </si>
  <si>
    <t xml:space="preserve">วันสิ้นสุดแกนเวลา</t>
  </si>
  <si>
    <r>
      <rPr>
        <b val="true"/>
        <sz val="16"/>
        <color rgb="FF1F3864"/>
        <rFont val="FreeSans"/>
        <family val="2"/>
      </rPr>
      <t xml:space="preserve">แดชบอร์ดควบคุมโครงการ </t>
    </r>
    <r>
      <rPr>
        <b val="true"/>
        <sz val="16"/>
        <color rgb="FF1F3864"/>
        <rFont val="Tahoma"/>
        <family val="0"/>
        <charset val="1"/>
      </rPr>
      <t xml:space="preserve">/ Project Control Dashboard</t>
    </r>
  </si>
  <si>
    <r>
      <rPr>
        <i val="true"/>
        <sz val="9"/>
        <color rgb="FF595959"/>
        <rFont val="FreeSans"/>
        <family val="2"/>
      </rPr>
      <t xml:space="preserve">คำนวณอัตโนมัติทั้งหมด • </t>
    </r>
    <r>
      <rPr>
        <i val="true"/>
        <sz val="9"/>
        <color rgb="FF595959"/>
        <rFont val="Tahoma"/>
        <family val="0"/>
        <charset val="1"/>
      </rPr>
      <t xml:space="preserve">All values are calculated</t>
    </r>
  </si>
  <si>
    <r>
      <rPr>
        <b val="true"/>
        <sz val="9"/>
        <color rgb="FFFFFFFF"/>
        <rFont val="FreeSans"/>
        <family val="2"/>
      </rPr>
      <t xml:space="preserve">ข้อมูลอ้างอิง </t>
    </r>
    <r>
      <rPr>
        <b val="true"/>
        <sz val="9"/>
        <color rgb="FFFFFFFF"/>
        <rFont val="Tahoma"/>
        <family val="0"/>
        <charset val="1"/>
      </rPr>
      <t xml:space="preserve">/ Reference</t>
    </r>
  </si>
  <si>
    <r>
      <rPr>
        <b val="true"/>
        <sz val="9"/>
        <color rgb="FFFFFFFF"/>
        <rFont val="FreeSans"/>
        <family val="2"/>
      </rPr>
      <t xml:space="preserve">ความหมาย </t>
    </r>
    <r>
      <rPr>
        <b val="true"/>
        <sz val="9"/>
        <color rgb="FFFFFFFF"/>
        <rFont val="Tahoma"/>
        <family val="0"/>
        <charset val="1"/>
      </rPr>
      <t xml:space="preserve">/ Meaning</t>
    </r>
  </si>
  <si>
    <r>
      <rPr>
        <sz val="10"/>
        <rFont val="FreeSans"/>
        <family val="2"/>
      </rPr>
      <t xml:space="preserve">โครงการ </t>
    </r>
    <r>
      <rPr>
        <sz val="10"/>
        <rFont val="Tahoma"/>
        <family val="0"/>
        <charset val="1"/>
      </rPr>
      <t xml:space="preserve">/ Project</t>
    </r>
  </si>
  <si>
    <r>
      <rPr>
        <sz val="10"/>
        <rFont val="FreeSans"/>
        <family val="2"/>
      </rPr>
      <t xml:space="preserve">วันที่ตรวจวัด </t>
    </r>
    <r>
      <rPr>
        <sz val="10"/>
        <rFont val="Tahoma"/>
        <family val="0"/>
        <charset val="1"/>
      </rPr>
      <t xml:space="preserve">/ Status Date</t>
    </r>
  </si>
  <si>
    <r>
      <rPr>
        <sz val="10"/>
        <rFont val="FreeSans"/>
        <family val="2"/>
      </rPr>
      <t xml:space="preserve">แหล่งข้อมูลผลงานจริง </t>
    </r>
    <r>
      <rPr>
        <sz val="10"/>
        <rFont val="Tahoma"/>
        <family val="0"/>
        <charset val="1"/>
      </rPr>
      <t xml:space="preserve">/ Actual Data Source</t>
    </r>
  </si>
  <si>
    <r>
      <rPr>
        <i val="true"/>
        <sz val="9"/>
        <color rgb="FF595959"/>
        <rFont val="FreeSans"/>
        <family val="2"/>
      </rPr>
      <t xml:space="preserve">ถ้ากรอก </t>
    </r>
    <r>
      <rPr>
        <i val="true"/>
        <sz val="9"/>
        <color rgb="FF595959"/>
        <rFont val="Tahoma"/>
        <family val="0"/>
        <charset val="1"/>
      </rPr>
      <t xml:space="preserve">% </t>
    </r>
    <r>
      <rPr>
        <i val="true"/>
        <sz val="9"/>
        <color rgb="FF595959"/>
        <rFont val="FreeSans"/>
        <family val="2"/>
      </rPr>
      <t xml:space="preserve">จริงรายรายการ จะใช้ข้อมูลรายรายการก่อน</t>
    </r>
  </si>
  <si>
    <r>
      <rPr>
        <sz val="10"/>
        <rFont val="FreeSans"/>
        <family val="2"/>
      </rPr>
      <t xml:space="preserve">ข้อมูลจริง ณ วันที่ </t>
    </r>
    <r>
      <rPr>
        <sz val="10"/>
        <rFont val="Tahoma"/>
        <family val="0"/>
        <charset val="1"/>
      </rPr>
      <t xml:space="preserve">/ Data Date</t>
    </r>
  </si>
  <si>
    <r>
      <rPr>
        <i val="true"/>
        <sz val="9"/>
        <color rgb="FF595959"/>
        <rFont val="FreeSans"/>
        <family val="2"/>
      </rPr>
      <t xml:space="preserve">ถ้าไม่ตรงวันที่ตรวจวัด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สีแดง</t>
    </r>
    <r>
      <rPr>
        <i val="true"/>
        <sz val="9"/>
        <color rgb="FF595959"/>
        <rFont val="Tahoma"/>
        <family val="0"/>
        <charset val="1"/>
      </rPr>
      <t xml:space="preserve">) = </t>
    </r>
    <r>
      <rPr>
        <i val="true"/>
        <sz val="9"/>
        <color rgb="FF595959"/>
        <rFont val="FreeSans"/>
        <family val="2"/>
      </rPr>
      <t xml:space="preserve">ยังไม่อัปเดตผลงานจริงล่าสุด</t>
    </r>
  </si>
  <si>
    <r>
      <rPr>
        <b val="true"/>
        <sz val="9"/>
        <color rgb="FFFFFFFF"/>
        <rFont val="FreeSans"/>
        <family val="2"/>
      </rPr>
      <t xml:space="preserve">ด้านเวลา </t>
    </r>
    <r>
      <rPr>
        <b val="true"/>
        <sz val="9"/>
        <color rgb="FFFFFFFF"/>
        <rFont val="Tahoma"/>
        <family val="0"/>
        <charset val="1"/>
      </rPr>
      <t xml:space="preserve">/ SCHEDULE PERFORMANCE</t>
    </r>
  </si>
  <si>
    <r>
      <rPr>
        <sz val="10"/>
        <rFont val="FreeSans"/>
        <family val="2"/>
      </rPr>
      <t xml:space="preserve">วันเริ่มสัญญา </t>
    </r>
    <r>
      <rPr>
        <sz val="10"/>
        <rFont val="Tahoma"/>
        <family val="0"/>
        <charset val="1"/>
      </rPr>
      <t xml:space="preserve">/ Commencement</t>
    </r>
  </si>
  <si>
    <r>
      <rPr>
        <sz val="10"/>
        <rFont val="FreeSans"/>
        <family val="2"/>
      </rPr>
      <t xml:space="preserve">วันสิ้นสุดสัญญาเดิม </t>
    </r>
    <r>
      <rPr>
        <sz val="10"/>
        <rFont val="Tahoma"/>
        <family val="0"/>
        <charset val="1"/>
      </rPr>
      <t xml:space="preserve">/ Original Completion</t>
    </r>
  </si>
  <si>
    <r>
      <rPr>
        <sz val="10"/>
        <rFont val="FreeSans"/>
        <family val="2"/>
      </rPr>
      <t xml:space="preserve">ขยายเวลาที่อนุมัติ </t>
    </r>
    <r>
      <rPr>
        <sz val="10"/>
        <rFont val="Tahoma"/>
        <family val="0"/>
        <charset val="1"/>
      </rPr>
      <t xml:space="preserve">/ Approved EOT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</si>
  <si>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จากทะเบียนขยายเวลา</t>
  </si>
  <si>
    <r>
      <rPr>
        <sz val="10"/>
        <rFont val="FreeSans"/>
        <family val="2"/>
      </rPr>
      <t xml:space="preserve">วันที่ดำเนินการแล้ว </t>
    </r>
    <r>
      <rPr>
        <sz val="10"/>
        <rFont val="Tahoma"/>
        <family val="0"/>
        <charset val="1"/>
      </rPr>
      <t xml:space="preserve">/ Days Elapsed</t>
    </r>
  </si>
  <si>
    <r>
      <rPr>
        <i val="true"/>
        <sz val="9"/>
        <color rgb="FF595959"/>
        <rFont val="FreeSans"/>
        <family val="2"/>
      </rPr>
      <t xml:space="preserve">ณ วันที่ตรวจวัด นับวันเริ่มเป็นวันที่ </t>
    </r>
    <r>
      <rPr>
        <i val="true"/>
        <sz val="9"/>
        <color rgb="FF595959"/>
        <rFont val="Tahoma"/>
        <family val="0"/>
        <charset val="1"/>
      </rPr>
      <t xml:space="preserve">1</t>
    </r>
  </si>
  <si>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เวลาที่ใช้ไป </t>
    </r>
    <r>
      <rPr>
        <sz val="10"/>
        <rFont val="Tahoma"/>
        <family val="0"/>
        <charset val="1"/>
      </rPr>
      <t xml:space="preserve">/ Time Elapsed</t>
    </r>
  </si>
  <si>
    <t xml:space="preserve">เทียบกับระยะเวลารวมหลังขยายเวลา</t>
  </si>
  <si>
    <r>
      <rPr>
        <sz val="10"/>
        <rFont val="FreeSans"/>
        <family val="2"/>
      </rPr>
      <t xml:space="preserve">วันคงเหลือ </t>
    </r>
    <r>
      <rPr>
        <sz val="10"/>
        <rFont val="Tahoma"/>
        <family val="0"/>
        <charset val="1"/>
      </rPr>
      <t xml:space="preserve">/ Days Remaining</t>
    </r>
  </si>
  <si>
    <r>
      <rPr>
        <i val="true"/>
        <sz val="9"/>
        <color rgb="FF595959"/>
        <rFont val="FreeSans"/>
        <family val="2"/>
      </rPr>
      <t xml:space="preserve">ติดลบ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เลยกำหนดสัญญาแล้ว</t>
    </r>
  </si>
  <si>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แผนเดิม </t>
    </r>
    <r>
      <rPr>
        <sz val="10"/>
        <rFont val="Tahoma"/>
        <family val="0"/>
        <charset val="1"/>
      </rPr>
      <t xml:space="preserve">/ Baseline Planned %</t>
    </r>
  </si>
  <si>
    <r>
      <rPr>
        <i val="true"/>
        <sz val="9"/>
        <color rgb="FF595959"/>
        <rFont val="FreeSans"/>
        <family val="2"/>
      </rPr>
      <t xml:space="preserve">ผลงานที่ควรทำได้ตามแผนสัญญา ณ </t>
    </r>
    <r>
      <rPr>
        <i val="true"/>
        <sz val="9"/>
        <color rgb="FF595959"/>
        <rFont val="Tahoma"/>
        <family val="0"/>
        <charset val="1"/>
      </rPr>
      <t xml:space="preserve">Data Date</t>
    </r>
  </si>
  <si>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แผนเร่งรัด </t>
    </r>
    <r>
      <rPr>
        <sz val="10"/>
        <rFont val="Tahoma"/>
        <family val="0"/>
        <charset val="1"/>
      </rPr>
      <t xml:space="preserve">/ Revised Planned %</t>
    </r>
  </si>
  <si>
    <t xml:space="preserve">ถ้ายังไม่มีแผนเร่งรัด จะเท่ากับแผนเดิม</t>
  </si>
  <si>
    <r>
      <rPr>
        <sz val="10"/>
        <rFont val="FreeSans"/>
        <family val="2"/>
      </rPr>
      <t xml:space="preserve">ผลต่างเทียบแผนเร่งรัด </t>
    </r>
    <r>
      <rPr>
        <sz val="10"/>
        <rFont val="Tahoma"/>
        <family val="0"/>
        <charset val="1"/>
      </rPr>
      <t xml:space="preserve">/ Variance vs Revised</t>
    </r>
  </si>
  <si>
    <t xml:space="preserve">ใช้ติดตามว่าเดินตามแผนเร่งรัดได้หรือไม่</t>
  </si>
  <si>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ผลงานจริง </t>
    </r>
    <r>
      <rPr>
        <sz val="10"/>
        <rFont val="Tahoma"/>
        <family val="0"/>
        <charset val="1"/>
      </rPr>
      <t xml:space="preserve">/ Actual %</t>
    </r>
  </si>
  <si>
    <r>
      <rPr>
        <sz val="10"/>
        <rFont val="FreeSans"/>
        <family val="2"/>
      </rPr>
      <t xml:space="preserve">ผลต่าง </t>
    </r>
    <r>
      <rPr>
        <sz val="10"/>
        <rFont val="Tahoma"/>
        <family val="0"/>
        <charset val="1"/>
      </rPr>
      <t xml:space="preserve">/ Variance (Actual − Baseline)</t>
    </r>
  </si>
  <si>
    <r>
      <rPr>
        <i val="true"/>
        <sz val="9"/>
        <color rgb="FF595959"/>
        <rFont val="FreeSans"/>
        <family val="2"/>
      </rPr>
      <t xml:space="preserve">ติดลบ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ช้ากว่าแผน</t>
    </r>
  </si>
  <si>
    <r>
      <rPr>
        <sz val="10"/>
        <rFont val="FreeSans"/>
        <family val="2"/>
      </rPr>
      <t xml:space="preserve">ผลต่างคิดเป็นวัน </t>
    </r>
    <r>
      <rPr>
        <sz val="10"/>
        <rFont val="Tahoma"/>
        <family val="0"/>
        <charset val="1"/>
      </rPr>
      <t xml:space="preserve">/ Variance in Days</t>
    </r>
  </si>
  <si>
    <r>
      <rPr>
        <i val="true"/>
        <sz val="9"/>
        <color rgb="FF595959"/>
        <rFont val="FreeSans"/>
        <family val="2"/>
      </rPr>
      <t xml:space="preserve">ผลต่าง </t>
    </r>
    <r>
      <rPr>
        <i val="true"/>
        <sz val="9"/>
        <color rgb="FF595959"/>
        <rFont val="Tahoma"/>
        <family val="0"/>
        <charset val="1"/>
      </rPr>
      <t xml:space="preserve">% × </t>
    </r>
    <r>
      <rPr>
        <i val="true"/>
        <sz val="9"/>
        <color rgb="FF595959"/>
        <rFont val="FreeSans"/>
        <family val="2"/>
      </rPr>
      <t xml:space="preserve">ระยะเวลาสัญญา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วิธีรายงานแบบไทย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</si>
  <si>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Tahoma"/>
        <family val="0"/>
        <charset val="1"/>
      </rPr>
      <t xml:space="preserve">SPI (</t>
    </r>
    <r>
      <rPr>
        <sz val="10"/>
        <rFont val="FreeSans"/>
        <family val="2"/>
      </rPr>
      <t xml:space="preserve">ดัชนีเวลา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</si>
  <si>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Tahoma"/>
        <family val="0"/>
        <charset val="1"/>
      </rPr>
      <t xml:space="preserve">EV ÷ PV  • ≥1 </t>
    </r>
    <r>
      <rPr>
        <i val="true"/>
        <sz val="9"/>
        <color rgb="FF595959"/>
        <rFont val="FreeSans"/>
        <family val="2"/>
      </rPr>
      <t xml:space="preserve">ตามแผน </t>
    </r>
    <r>
      <rPr>
        <i val="true"/>
        <sz val="9"/>
        <color rgb="FF595959"/>
        <rFont val="Tahoma"/>
        <family val="0"/>
        <charset val="1"/>
      </rPr>
      <t xml:space="preserve">/ 0.9–1 </t>
    </r>
    <r>
      <rPr>
        <i val="true"/>
        <sz val="9"/>
        <color rgb="FF595959"/>
        <rFont val="FreeSans"/>
        <family val="2"/>
      </rPr>
      <t xml:space="preserve">เฝ้าระวัง </t>
    </r>
    <r>
      <rPr>
        <i val="true"/>
        <sz val="9"/>
        <color rgb="FF595959"/>
        <rFont val="Tahoma"/>
        <family val="0"/>
        <charset val="1"/>
      </rPr>
      <t xml:space="preserve">/ &lt;0.9 </t>
    </r>
    <r>
      <rPr>
        <i val="true"/>
        <sz val="9"/>
        <color rgb="FF595959"/>
        <rFont val="FreeSans"/>
        <family val="2"/>
      </rPr>
      <t xml:space="preserve">ล่าช้ามาก</t>
    </r>
  </si>
  <si>
    <r>
      <rPr>
        <sz val="10"/>
        <rFont val="Tahoma"/>
        <family val="0"/>
        <charset val="1"/>
      </rPr>
      <t xml:space="preserve">Earned Schedule – ES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</si>
  <si>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งานที่ทำได้จริง เท่ากับแผนของวันที่เท่าใด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นับจากวันเริ่ม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</si>
  <si>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Tahoma"/>
        <family val="0"/>
        <charset val="1"/>
      </rPr>
      <t xml:space="preserve">Actual Time – AT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</si>
  <si>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เวลาที่ใช้จริงถึง </t>
    </r>
    <r>
      <rPr>
        <i val="true"/>
        <sz val="9"/>
        <color rgb="FF595959"/>
        <rFont val="Tahoma"/>
        <family val="0"/>
        <charset val="1"/>
      </rPr>
      <t xml:space="preserve">Data Date</t>
    </r>
  </si>
  <si>
    <r>
      <rPr>
        <sz val="10"/>
        <rFont val="Tahoma"/>
        <family val="0"/>
        <charset val="1"/>
      </rPr>
      <t xml:space="preserve">SV(t) – </t>
    </r>
    <r>
      <rPr>
        <sz val="10"/>
        <rFont val="FreeSans"/>
        <family val="2"/>
      </rPr>
      <t xml:space="preserve">ช้ากว่าแผนจริง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</si>
  <si>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ติดลบ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ช้ากว่าแผนกี่วัน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แม่นกว่า </t>
    </r>
    <r>
      <rPr>
        <i val="true"/>
        <sz val="9"/>
        <color rgb="FF595959"/>
        <rFont val="Tahoma"/>
        <family val="0"/>
        <charset val="1"/>
      </rPr>
      <t xml:space="preserve">SPI </t>
    </r>
    <r>
      <rPr>
        <i val="true"/>
        <sz val="9"/>
        <color rgb="FF595959"/>
        <rFont val="FreeSans"/>
        <family val="2"/>
      </rPr>
      <t xml:space="preserve">ในช่วงท้ายโครงการ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</si>
  <si>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Tahoma"/>
        <family val="0"/>
        <charset val="1"/>
      </rPr>
      <t xml:space="preserve">SPI(t) (</t>
    </r>
    <r>
      <rPr>
        <sz val="10"/>
        <rFont val="FreeSans"/>
        <family val="2"/>
      </rPr>
      <t xml:space="preserve">ดัชนีเวลาเชิงวัน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</si>
  <si>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คาดการณ์วันแล้วเสร็จ </t>
    </r>
    <r>
      <rPr>
        <sz val="10"/>
        <rFont val="Tahoma"/>
        <family val="0"/>
        <charset val="1"/>
      </rPr>
      <t xml:space="preserve">/ Forecast Completion</t>
    </r>
  </si>
  <si>
    <r>
      <rPr>
        <i val="true"/>
        <sz val="9"/>
        <color rgb="FF595959"/>
        <rFont val="FreeSans"/>
        <family val="2"/>
      </rPr>
      <t xml:space="preserve">ถ้ามี </t>
    </r>
    <r>
      <rPr>
        <i val="true"/>
        <sz val="9"/>
        <color rgb="FF595959"/>
        <rFont val="Tahoma"/>
        <family val="0"/>
        <charset val="1"/>
      </rPr>
      <t xml:space="preserve">% </t>
    </r>
    <r>
      <rPr>
        <i val="true"/>
        <sz val="9"/>
        <color rgb="FF595959"/>
        <rFont val="FreeSans"/>
        <family val="2"/>
      </rPr>
      <t xml:space="preserve">รายรายการ ใช้วันเสร็จคาดการณ์รายงาน • ถ้าไม่มี ใช้ </t>
    </r>
    <r>
      <rPr>
        <i val="true"/>
        <sz val="9"/>
        <color rgb="FF595959"/>
        <rFont val="Tahoma"/>
        <family val="0"/>
        <charset val="1"/>
      </rPr>
      <t xml:space="preserve">IEAC(t) = </t>
    </r>
    <r>
      <rPr>
        <i val="true"/>
        <sz val="9"/>
        <color rgb="FF595959"/>
        <rFont val="FreeSans"/>
        <family val="2"/>
      </rPr>
      <t xml:space="preserve">ระยะเวลา </t>
    </r>
    <r>
      <rPr>
        <i val="true"/>
        <sz val="9"/>
        <color rgb="FF595959"/>
        <rFont val="Tahoma"/>
        <family val="0"/>
        <charset val="1"/>
      </rPr>
      <t xml:space="preserve">÷ SPI(t)</t>
    </r>
  </si>
  <si>
    <r>
      <rPr>
        <sz val="10"/>
        <rFont val="FreeSans"/>
        <family val="2"/>
      </rPr>
      <t xml:space="preserve">คาดว่าล่าช้ากว่าสัญญา </t>
    </r>
    <r>
      <rPr>
        <sz val="10"/>
        <rFont val="Tahoma"/>
        <family val="0"/>
        <charset val="1"/>
      </rPr>
      <t xml:space="preserve">/ Forecast Delay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</si>
  <si>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เทียบกับวันสิ้นสุดหลังขยายเวลา</t>
  </si>
  <si>
    <r>
      <rPr>
        <sz val="10"/>
        <rFont val="FreeSans"/>
        <family val="2"/>
      </rPr>
      <t xml:space="preserve">อัตราผลงานจริงเฉลี่ย </t>
    </r>
    <r>
      <rPr>
        <sz val="10"/>
        <rFont val="Tahoma"/>
        <family val="0"/>
        <charset val="1"/>
      </rPr>
      <t xml:space="preserve">/ Actual Rate (%/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</si>
  <si>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อัตราที่ต้องทำ </t>
    </r>
    <r>
      <rPr>
        <sz val="10"/>
        <rFont val="Tahoma"/>
        <family val="0"/>
        <charset val="1"/>
      </rPr>
      <t xml:space="preserve">/ Required Rate (%/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</si>
  <si>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เพื่อให้เสร็จทันวันสิ้นสุดหลังขยายเวลา</t>
  </si>
  <si>
    <r>
      <rPr>
        <sz val="10"/>
        <rFont val="FreeSans"/>
        <family val="2"/>
      </rPr>
      <t xml:space="preserve">ต้องเร่งงาน </t>
    </r>
    <r>
      <rPr>
        <sz val="10"/>
        <rFont val="Tahoma"/>
        <family val="0"/>
        <charset val="1"/>
      </rPr>
      <t xml:space="preserve">/ Acceleration Needed (</t>
    </r>
    <r>
      <rPr>
        <sz val="10"/>
        <rFont val="FreeSans"/>
        <family val="2"/>
      </rPr>
      <t xml:space="preserve">เท่า</t>
    </r>
    <r>
      <rPr>
        <sz val="10"/>
        <rFont val="Tahoma"/>
        <family val="0"/>
        <charset val="1"/>
      </rPr>
      <t xml:space="preserve">)</t>
    </r>
  </si>
  <si>
    <t xml:space="preserve">เท่าของอัตราผลงานปัจจุบัน</t>
  </si>
  <si>
    <r>
      <rPr>
        <sz val="10"/>
        <rFont val="FreeSans"/>
        <family val="2"/>
      </rPr>
      <t xml:space="preserve">สถานะโครงการ </t>
    </r>
    <r>
      <rPr>
        <sz val="10"/>
        <rFont val="Tahoma"/>
        <family val="0"/>
        <charset val="1"/>
      </rPr>
      <t xml:space="preserve">/ Overall Status</t>
    </r>
  </si>
  <si>
    <r>
      <rPr>
        <sz val="10"/>
        <rFont val="FreeSans"/>
        <family val="2"/>
      </rPr>
      <t xml:space="preserve">จำนวนรายการที่ล่าช้า </t>
    </r>
    <r>
      <rPr>
        <sz val="10"/>
        <rFont val="Tahoma"/>
        <family val="0"/>
        <charset val="1"/>
      </rPr>
      <t xml:space="preserve">/ Items Behind</t>
    </r>
  </si>
  <si>
    <r>
      <rPr>
        <i val="true"/>
        <sz val="9"/>
        <color rgb="FF595959"/>
        <rFont val="FreeSans"/>
        <family val="2"/>
      </rPr>
      <t xml:space="preserve">จากชีตแผนงาน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ต้องกรอก </t>
    </r>
    <r>
      <rPr>
        <i val="true"/>
        <sz val="9"/>
        <color rgb="FF595959"/>
        <rFont val="Tahoma"/>
        <family val="0"/>
        <charset val="1"/>
      </rPr>
      <t xml:space="preserve">% </t>
    </r>
    <r>
      <rPr>
        <i val="true"/>
        <sz val="9"/>
        <color rgb="FF595959"/>
        <rFont val="FreeSans"/>
        <family val="2"/>
      </rPr>
      <t xml:space="preserve">รายรายการ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</si>
  <si>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ด้านต้นทุน </t>
    </r>
    <r>
      <rPr>
        <b val="true"/>
        <sz val="9"/>
        <color rgb="FFFFFFFF"/>
        <rFont val="Tahoma"/>
        <family val="0"/>
        <charset val="1"/>
      </rPr>
      <t xml:space="preserve">/ COST PERFORMANCE (EVM)</t>
    </r>
  </si>
  <si>
    <r>
      <rPr>
        <sz val="10"/>
        <rFont val="Tahoma"/>
        <family val="0"/>
        <charset val="1"/>
      </rPr>
      <t xml:space="preserve">BAC – </t>
    </r>
    <r>
      <rPr>
        <sz val="10"/>
        <rFont val="FreeSans"/>
        <family val="2"/>
      </rPr>
      <t xml:space="preserve">งบประมาณรวม </t>
    </r>
    <r>
      <rPr>
        <sz val="10"/>
        <rFont val="Tahoma"/>
        <family val="0"/>
        <charset val="1"/>
      </rPr>
      <t xml:space="preserve">/ Budget at Completion</t>
    </r>
  </si>
  <si>
    <t xml:space="preserve">มูลค่าสัญญา</t>
  </si>
  <si>
    <r>
      <rPr>
        <sz val="10"/>
        <rFont val="Tahoma"/>
        <family val="0"/>
        <charset val="1"/>
      </rPr>
      <t xml:space="preserve">PV – </t>
    </r>
    <r>
      <rPr>
        <sz val="10"/>
        <rFont val="FreeSans"/>
        <family val="2"/>
      </rPr>
      <t xml:space="preserve">มูลค่างานตามแผน </t>
    </r>
    <r>
      <rPr>
        <sz val="10"/>
        <rFont val="Tahoma"/>
        <family val="0"/>
        <charset val="1"/>
      </rPr>
      <t xml:space="preserve">/ Planned Value</t>
    </r>
  </si>
  <si>
    <t xml:space="preserve">มูลค่างานที่ควรทำได้ตามแผน</t>
  </si>
  <si>
    <r>
      <rPr>
        <sz val="10"/>
        <rFont val="Tahoma"/>
        <family val="0"/>
        <charset val="1"/>
      </rPr>
      <t xml:space="preserve">EV – </t>
    </r>
    <r>
      <rPr>
        <sz val="10"/>
        <rFont val="FreeSans"/>
        <family val="2"/>
      </rPr>
      <t xml:space="preserve">มูลค่างานที่ทำได้จริง </t>
    </r>
    <r>
      <rPr>
        <sz val="10"/>
        <rFont val="Tahoma"/>
        <family val="0"/>
        <charset val="1"/>
      </rPr>
      <t xml:space="preserve">/ Earned Value</t>
    </r>
  </si>
  <si>
    <r>
      <rPr>
        <i val="true"/>
        <sz val="9"/>
        <color rgb="FF595959"/>
        <rFont val="FreeSans"/>
        <family val="2"/>
      </rPr>
      <t xml:space="preserve">มูลค่างานที่ทำเสร็จจริง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ตามราคาสัญญา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</si>
  <si>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Tahoma"/>
        <family val="0"/>
        <charset val="1"/>
      </rPr>
      <t xml:space="preserve">AC – </t>
    </r>
    <r>
      <rPr>
        <sz val="10"/>
        <rFont val="FreeSans"/>
        <family val="2"/>
      </rPr>
      <t xml:space="preserve">ต้นทุนจริงสะสม </t>
    </r>
    <r>
      <rPr>
        <sz val="10"/>
        <rFont val="Tahoma"/>
        <family val="0"/>
        <charset val="1"/>
      </rPr>
      <t xml:space="preserve">/ Actual Cost</t>
    </r>
  </si>
  <si>
    <r>
      <rPr>
        <i val="true"/>
        <sz val="9"/>
        <color rgb="FF595959"/>
        <rFont val="FreeSans"/>
        <family val="2"/>
      </rPr>
      <t xml:space="preserve">เงินที่จ่ายไปจริง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กรอกในชีต </t>
    </r>
    <r>
      <rPr>
        <i val="true"/>
        <sz val="9"/>
        <color rgb="FF595959"/>
        <rFont val="Tahoma"/>
        <family val="0"/>
        <charset val="1"/>
      </rPr>
      <t xml:space="preserve">S-Curve) • </t>
    </r>
    <r>
      <rPr>
        <i val="true"/>
        <sz val="9"/>
        <color rgb="FF595959"/>
        <rFont val="FreeSans"/>
        <family val="2"/>
      </rPr>
      <t xml:space="preserve">ถ้าเป็น </t>
    </r>
    <r>
      <rPr>
        <i val="true"/>
        <sz val="9"/>
        <color rgb="FF595959"/>
        <rFont val="Tahoma"/>
        <family val="0"/>
        <charset val="1"/>
      </rPr>
      <t xml:space="preserve">0 </t>
    </r>
    <r>
      <rPr>
        <i val="true"/>
        <sz val="9"/>
        <color rgb="FF595959"/>
        <rFont val="FreeSans"/>
        <family val="2"/>
      </rPr>
      <t xml:space="preserve">จะไม่คำนวณ </t>
    </r>
    <r>
      <rPr>
        <i val="true"/>
        <sz val="9"/>
        <color rgb="FF595959"/>
        <rFont val="Tahoma"/>
        <family val="0"/>
        <charset val="1"/>
      </rPr>
      <t xml:space="preserve">CPI</t>
    </r>
  </si>
  <si>
    <r>
      <rPr>
        <sz val="10"/>
        <rFont val="Tahoma"/>
        <family val="0"/>
        <charset val="1"/>
      </rPr>
      <t xml:space="preserve">SV – </t>
    </r>
    <r>
      <rPr>
        <sz val="10"/>
        <rFont val="FreeSans"/>
        <family val="2"/>
      </rPr>
      <t xml:space="preserve">ผลต่างด้านเวลา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 / Schedule Variance</t>
    </r>
  </si>
  <si>
    <r>
      <rPr>
        <i val="true"/>
        <sz val="9"/>
        <color rgb="FF595959"/>
        <rFont val="Tahoma"/>
        <family val="0"/>
        <charset val="1"/>
      </rPr>
      <t xml:space="preserve">EV − PV  • </t>
    </r>
    <r>
      <rPr>
        <i val="true"/>
        <sz val="9"/>
        <color rgb="FF595959"/>
        <rFont val="FreeSans"/>
        <family val="2"/>
      </rPr>
      <t xml:space="preserve">ติดลบ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งานช้ากว่าแผน</t>
    </r>
  </si>
  <si>
    <r>
      <rPr>
        <sz val="10"/>
        <rFont val="Tahoma"/>
        <family val="0"/>
        <charset val="1"/>
      </rPr>
      <t xml:space="preserve">CV – </t>
    </r>
    <r>
      <rPr>
        <sz val="10"/>
        <rFont val="FreeSans"/>
        <family val="2"/>
      </rPr>
      <t xml:space="preserve">ผลต่างด้านต้นทุน </t>
    </r>
    <r>
      <rPr>
        <sz val="10"/>
        <rFont val="Tahoma"/>
        <family val="0"/>
        <charset val="1"/>
      </rPr>
      <t xml:space="preserve">/ Cost Variance</t>
    </r>
  </si>
  <si>
    <r>
      <rPr>
        <i val="true"/>
        <sz val="9"/>
        <color rgb="FF595959"/>
        <rFont val="Tahoma"/>
        <family val="0"/>
        <charset val="1"/>
      </rPr>
      <t xml:space="preserve">EV − AC  • </t>
    </r>
    <r>
      <rPr>
        <i val="true"/>
        <sz val="9"/>
        <color rgb="FF595959"/>
        <rFont val="FreeSans"/>
        <family val="2"/>
      </rPr>
      <t xml:space="preserve">ติดลบ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ใช้เงินเกินมูลค่างานที่ได้</t>
    </r>
  </si>
  <si>
    <r>
      <rPr>
        <sz val="10"/>
        <rFont val="Tahoma"/>
        <family val="0"/>
        <charset val="1"/>
      </rPr>
      <t xml:space="preserve">CPI (</t>
    </r>
    <r>
      <rPr>
        <sz val="10"/>
        <rFont val="FreeSans"/>
        <family val="2"/>
      </rPr>
      <t xml:space="preserve">ดัชนีต้นทุน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</si>
  <si>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Tahoma"/>
        <family val="0"/>
        <charset val="1"/>
      </rPr>
      <t xml:space="preserve">EV ÷ AC  • &lt;1 = </t>
    </r>
    <r>
      <rPr>
        <i val="true"/>
        <sz val="9"/>
        <color rgb="FF595959"/>
        <rFont val="FreeSans"/>
        <family val="2"/>
      </rPr>
      <t xml:space="preserve">ใช้เงินเกิน</t>
    </r>
  </si>
  <si>
    <r>
      <rPr>
        <sz val="10"/>
        <rFont val="Tahoma"/>
        <family val="0"/>
        <charset val="1"/>
      </rPr>
      <t xml:space="preserve">EAC – </t>
    </r>
    <r>
      <rPr>
        <sz val="10"/>
        <rFont val="FreeSans"/>
        <family val="2"/>
      </rPr>
      <t xml:space="preserve">ประมาณการต้นทุนเมื่อแล้วเสร็จ</t>
    </r>
  </si>
  <si>
    <r>
      <rPr>
        <sz val="10"/>
        <rFont val="Tahoma"/>
        <family val="0"/>
        <charset val="1"/>
      </rPr>
      <t xml:space="preserve">ETC – </t>
    </r>
    <r>
      <rPr>
        <sz val="10"/>
        <rFont val="FreeSans"/>
        <family val="2"/>
      </rPr>
      <t xml:space="preserve">ต้นทุนที่ต้องใช้อีก</t>
    </r>
  </si>
  <si>
    <r>
      <rPr>
        <sz val="10"/>
        <rFont val="Tahoma"/>
        <family val="0"/>
        <charset val="1"/>
      </rPr>
      <t xml:space="preserve">VAC – </t>
    </r>
    <r>
      <rPr>
        <sz val="10"/>
        <rFont val="FreeSans"/>
        <family val="2"/>
      </rPr>
      <t xml:space="preserve">กำไร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ขาดทุนจากงบ</t>
    </r>
  </si>
  <si>
    <r>
      <rPr>
        <i val="true"/>
        <sz val="9"/>
        <color rgb="FF595959"/>
        <rFont val="Tahoma"/>
        <family val="0"/>
        <charset val="1"/>
      </rPr>
      <t xml:space="preserve">BAC − EAC • </t>
    </r>
    <r>
      <rPr>
        <i val="true"/>
        <sz val="9"/>
        <color rgb="FF595959"/>
        <rFont val="FreeSans"/>
        <family val="2"/>
      </rPr>
      <t xml:space="preserve">ติดลบ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คาดว่าเกินงบ</t>
    </r>
  </si>
  <si>
    <r>
      <rPr>
        <sz val="10"/>
        <rFont val="Tahoma"/>
        <family val="0"/>
        <charset val="1"/>
      </rPr>
      <t xml:space="preserve">TCPI – </t>
    </r>
    <r>
      <rPr>
        <sz val="10"/>
        <rFont val="FreeSans"/>
        <family val="2"/>
      </rPr>
      <t xml:space="preserve">ประสิทธิภาพที่ต้องทำให้ได้</t>
    </r>
  </si>
  <si>
    <r>
      <rPr>
        <i val="true"/>
        <sz val="9"/>
        <color rgb="FF595959"/>
        <rFont val="Tahoma"/>
        <family val="0"/>
        <charset val="1"/>
      </rPr>
      <t xml:space="preserve">(BAC − EV) ÷ (BAC − AC) • &gt;1.1 = </t>
    </r>
    <r>
      <rPr>
        <i val="true"/>
        <sz val="9"/>
        <color rgb="FF595959"/>
        <rFont val="FreeSans"/>
        <family val="2"/>
      </rPr>
      <t xml:space="preserve">ยากที่จะอยู่ในงบ</t>
    </r>
  </si>
  <si>
    <r>
      <rPr>
        <sz val="10"/>
        <rFont val="FreeSans"/>
        <family val="2"/>
      </rPr>
      <t xml:space="preserve">เงินเบิกจ่ายสะสม </t>
    </r>
    <r>
      <rPr>
        <sz val="10"/>
        <rFont val="Tahoma"/>
        <family val="0"/>
        <charset val="1"/>
      </rPr>
      <t xml:space="preserve">/ Certified Payment</t>
    </r>
  </si>
  <si>
    <r>
      <rPr>
        <i val="true"/>
        <sz val="9"/>
        <color rgb="FF595959"/>
        <rFont val="FreeSans"/>
        <family val="2"/>
      </rPr>
      <t xml:space="preserve">จากชีต </t>
    </r>
    <r>
      <rPr>
        <i val="true"/>
        <sz val="9"/>
        <color rgb="FF595959"/>
        <rFont val="Tahoma"/>
        <family val="0"/>
        <charset val="1"/>
      </rPr>
      <t xml:space="preserve">S-Curve</t>
    </r>
  </si>
  <si>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เบิกจ่ายต่อมูลค่าสัญญา</t>
    </r>
  </si>
  <si>
    <r>
      <rPr>
        <b val="true"/>
        <sz val="9"/>
        <color rgb="FFFFFFFF"/>
        <rFont val="FreeSans"/>
        <family val="2"/>
      </rPr>
      <t xml:space="preserve">ขยายเวลาและค่าปรับ </t>
    </r>
    <r>
      <rPr>
        <b val="true"/>
        <sz val="9"/>
        <color rgb="FFFFFFFF"/>
        <rFont val="Tahoma"/>
        <family val="0"/>
        <charset val="1"/>
      </rPr>
      <t xml:space="preserve">/ EOT &amp; LIQUIDATED DAMAGES</t>
    </r>
  </si>
  <si>
    <r>
      <rPr>
        <sz val="10"/>
        <rFont val="FreeSans"/>
        <family val="2"/>
      </rPr>
      <t xml:space="preserve">ขอขยายเวลารวม </t>
    </r>
    <r>
      <rPr>
        <sz val="10"/>
        <rFont val="Tahoma"/>
        <family val="0"/>
        <charset val="1"/>
      </rPr>
      <t xml:space="preserve">/ EOT Claimed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</si>
  <si>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อนุมัติแล้ว </t>
    </r>
    <r>
      <rPr>
        <sz val="10"/>
        <rFont val="Tahoma"/>
        <family val="0"/>
        <charset val="1"/>
      </rPr>
      <t xml:space="preserve">/ EOT Approved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</si>
  <si>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รอพิจารณา </t>
    </r>
    <r>
      <rPr>
        <sz val="10"/>
        <rFont val="Tahoma"/>
        <family val="0"/>
        <charset val="1"/>
      </rPr>
      <t xml:space="preserve">/ EOT Pending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</si>
  <si>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ติดตามผลให้ได้ข้อยุติก่อนครบสัญญา</t>
  </si>
  <si>
    <r>
      <rPr>
        <sz val="10"/>
        <rFont val="FreeSans"/>
        <family val="2"/>
      </rPr>
      <t xml:space="preserve">ค่าปรับต่อวัน </t>
    </r>
    <r>
      <rPr>
        <sz val="10"/>
        <rFont val="Tahoma"/>
        <family val="0"/>
        <charset val="1"/>
      </rPr>
      <t xml:space="preserve">/ LD per Day 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</si>
  <si>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Tahoma"/>
        <family val="0"/>
        <charset val="1"/>
      </rPr>
      <t xml:space="preserve">MAX(</t>
    </r>
    <r>
      <rPr>
        <i val="true"/>
        <sz val="9"/>
        <color rgb="FF595959"/>
        <rFont val="FreeSans"/>
        <family val="2"/>
      </rPr>
      <t xml:space="preserve">ค่าปรับขั้นต่ำ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อัตรา </t>
    </r>
    <r>
      <rPr>
        <i val="true"/>
        <sz val="9"/>
        <color rgb="FF595959"/>
        <rFont val="Tahoma"/>
        <family val="0"/>
        <charset val="1"/>
      </rPr>
      <t xml:space="preserve">× </t>
    </r>
    <r>
      <rPr>
        <i val="true"/>
        <sz val="9"/>
        <color rgb="FF595959"/>
        <rFont val="FreeSans"/>
        <family val="2"/>
      </rPr>
      <t xml:space="preserve">มูลค่าสัญญา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</si>
  <si>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วันที่ถูกปรับแล้ว </t>
    </r>
    <r>
      <rPr>
        <sz val="10"/>
        <rFont val="Tahoma"/>
        <family val="0"/>
        <charset val="1"/>
      </rPr>
      <t xml:space="preserve">/ LD Days to Date</t>
    </r>
  </si>
  <si>
    <t xml:space="preserve">ณ วันที่ตรวจวัด</t>
  </si>
  <si>
    <r>
      <rPr>
        <sz val="10"/>
        <rFont val="FreeSans"/>
        <family val="2"/>
      </rPr>
      <t xml:space="preserve">ค่าปรับเกิดขึ้นแล้ว </t>
    </r>
    <r>
      <rPr>
        <sz val="10"/>
        <rFont val="Tahoma"/>
        <family val="0"/>
        <charset val="1"/>
      </rPr>
      <t xml:space="preserve">/ LD Incurred 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</si>
  <si>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ค่าปรับคาดการณ์ </t>
    </r>
    <r>
      <rPr>
        <sz val="10"/>
        <rFont val="Tahoma"/>
        <family val="0"/>
        <charset val="1"/>
      </rPr>
      <t xml:space="preserve">/ Forecast LD 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</si>
  <si>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t xml:space="preserve">ถ้าเสร็จตามวันคาดการณ์</t>
  </si>
  <si>
    <r>
      <rPr>
        <sz val="10"/>
        <rFont val="FreeSans"/>
        <family val="2"/>
      </rPr>
      <t xml:space="preserve">ค่าปรับคาดการณ์ </t>
    </r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ของสัญญา</t>
    </r>
  </si>
  <si>
    <r>
      <rPr>
        <sz val="10"/>
        <rFont val="FreeSans"/>
        <family val="2"/>
      </rPr>
      <t xml:space="preserve">สัญญาณเตือนค่าปรับ </t>
    </r>
    <r>
      <rPr>
        <sz val="10"/>
        <rFont val="Tahoma"/>
        <family val="0"/>
        <charset val="1"/>
      </rPr>
      <t xml:space="preserve">/ LD Alert</t>
    </r>
  </si>
  <si>
    <r>
      <rPr>
        <sz val="10"/>
        <rFont val="FreeSans"/>
        <family val="2"/>
      </rPr>
      <t xml:space="preserve">ตรวจสอบน้ำหนักงานรวม </t>
    </r>
    <r>
      <rPr>
        <sz val="10"/>
        <rFont val="Tahoma"/>
        <family val="0"/>
        <charset val="1"/>
      </rPr>
      <t xml:space="preserve">/ Weight Check</t>
    </r>
  </si>
  <si>
    <r>
      <rPr>
        <i val="true"/>
        <sz val="9"/>
        <color rgb="FF595959"/>
        <rFont val="FreeSans"/>
        <family val="2"/>
      </rPr>
      <t xml:space="preserve">ต้องเท่ากับ </t>
    </r>
    <r>
      <rPr>
        <i val="true"/>
        <sz val="9"/>
        <color rgb="FF595959"/>
        <rFont val="Tahoma"/>
        <family val="0"/>
        <charset val="1"/>
      </rPr>
      <t xml:space="preserve">100%</t>
    </r>
  </si>
  <si>
    <r>
      <rPr>
        <b val="true"/>
        <sz val="9"/>
        <color rgb="FF808080"/>
        <rFont val="FreeSans"/>
        <family val="2"/>
      </rPr>
      <t xml:space="preserve">ตัวช่วยคำนวณ </t>
    </r>
    <r>
      <rPr>
        <b val="true"/>
        <sz val="9"/>
        <color rgb="FF808080"/>
        <rFont val="Tahoma"/>
        <family val="0"/>
        <charset val="1"/>
      </rPr>
      <t xml:space="preserve">(</t>
    </r>
    <r>
      <rPr>
        <b val="true"/>
        <sz val="9"/>
        <color rgb="FF808080"/>
        <rFont val="FreeSans"/>
        <family val="2"/>
      </rPr>
      <t xml:space="preserve">อัตโนมัติ</t>
    </r>
    <r>
      <rPr>
        <b val="true"/>
        <sz val="9"/>
        <color rgb="FF808080"/>
        <rFont val="Tahoma"/>
        <family val="0"/>
        <charset val="1"/>
      </rPr>
      <t xml:space="preserve">) / Calculation helpers</t>
    </r>
  </si>
  <si>
    <r>
      <rPr>
        <sz val="9"/>
        <color rgb="FF808080"/>
        <rFont val="Tahoma"/>
        <family val="0"/>
        <charset val="1"/>
      </rPr>
      <t xml:space="preserve">N = </t>
    </r>
    <r>
      <rPr>
        <sz val="9"/>
        <color rgb="FF808080"/>
        <rFont val="FreeSans"/>
        <family val="2"/>
      </rPr>
      <t xml:space="preserve">จำนวนงวดที่ </t>
    </r>
    <r>
      <rPr>
        <sz val="9"/>
        <color rgb="FF808080"/>
        <rFont val="Tahoma"/>
        <family val="0"/>
        <charset val="1"/>
      </rPr>
      <t xml:space="preserve">Baseline ≤ Actual</t>
    </r>
  </si>
  <si>
    <r>
      <rPr>
        <sz val="9"/>
        <color rgb="FF808080"/>
        <rFont val="FreeSans"/>
        <family val="2"/>
      </rPr>
      <t xml:space="preserve">มีแผนเร่งรัดหรือไม่ </t>
    </r>
    <r>
      <rPr>
        <sz val="9"/>
        <color rgb="FF808080"/>
        <rFont val="Tahoma"/>
        <family val="0"/>
        <charset val="1"/>
      </rPr>
      <t xml:space="preserve">(TRUE/FALSE)</t>
    </r>
  </si>
  <si>
    <t xml:space="preserve">จำนวนงวดทั้งหมด</t>
  </si>
  <si>
    <r>
      <rPr>
        <sz val="9"/>
        <color rgb="FF808080"/>
        <rFont val="FreeSans"/>
        <family val="2"/>
      </rPr>
      <t xml:space="preserve">วันที่ </t>
    </r>
    <r>
      <rPr>
        <sz val="9"/>
        <color rgb="FF808080"/>
        <rFont val="Tahoma"/>
        <family val="0"/>
        <charset val="1"/>
      </rPr>
      <t xml:space="preserve">ES (Earned Schedule date)</t>
    </r>
  </si>
  <si>
    <r>
      <rPr>
        <sz val="9"/>
        <color rgb="FF808080"/>
        <rFont val="Tahoma"/>
        <family val="0"/>
        <charset val="1"/>
      </rPr>
      <t xml:space="preserve">ES (</t>
    </r>
    <r>
      <rPr>
        <sz val="9"/>
        <color rgb="FF808080"/>
        <rFont val="FreeSans"/>
        <family val="2"/>
      </rPr>
      <t xml:space="preserve">วัน</t>
    </r>
    <r>
      <rPr>
        <sz val="9"/>
        <color rgb="FF808080"/>
        <rFont val="Tahoma"/>
        <family val="0"/>
        <charset val="1"/>
      </rPr>
      <t xml:space="preserve">)</t>
    </r>
  </si>
  <si>
    <r>
      <rPr>
        <sz val="9"/>
        <color rgb="FF808080"/>
        <rFont val="FreeSans"/>
        <family val="2"/>
      </rPr>
      <t xml:space="preserve">ระยะเวลาสัญญาเดิม </t>
    </r>
    <r>
      <rPr>
        <sz val="9"/>
        <color rgb="FF808080"/>
        <rFont val="Tahoma"/>
        <family val="0"/>
        <charset val="1"/>
      </rPr>
      <t xml:space="preserve">(</t>
    </r>
    <r>
      <rPr>
        <sz val="9"/>
        <color rgb="FF808080"/>
        <rFont val="FreeSans"/>
        <family val="2"/>
      </rPr>
      <t xml:space="preserve">วัน</t>
    </r>
    <r>
      <rPr>
        <sz val="9"/>
        <color rgb="FF808080"/>
        <rFont val="Tahoma"/>
        <family val="0"/>
        <charset val="1"/>
      </rPr>
      <t xml:space="preserve">)</t>
    </r>
  </si>
  <si>
    <r>
      <rPr>
        <b val="true"/>
        <sz val="16"/>
        <color rgb="FFFFFFFF"/>
        <rFont val="FreeSans"/>
        <family val="2"/>
      </rPr>
      <t xml:space="preserve">รายงานความก้าวหน้าโครงการ </t>
    </r>
    <r>
      <rPr>
        <b val="true"/>
        <sz val="16"/>
        <color rgb="FFFFFFFF"/>
        <rFont val="Tahoma"/>
        <family val="0"/>
        <charset val="1"/>
      </rPr>
      <t xml:space="preserve">/ PROJECT PROGRESS REPORT</t>
    </r>
  </si>
  <si>
    <r>
      <rPr>
        <b val="true"/>
        <sz val="9"/>
        <rFont val="FreeSans"/>
        <family val="2"/>
      </rPr>
      <t xml:space="preserve">โครงการ </t>
    </r>
    <r>
      <rPr>
        <b val="true"/>
        <sz val="9"/>
        <rFont val="Tahoma"/>
        <family val="0"/>
        <charset val="1"/>
      </rPr>
      <t xml:space="preserve">/ Project:</t>
    </r>
  </si>
  <si>
    <r>
      <rPr>
        <b val="true"/>
        <sz val="9"/>
        <rFont val="FreeSans"/>
        <family val="2"/>
      </rPr>
      <t xml:space="preserve">รายงานงวดที่ </t>
    </r>
    <r>
      <rPr>
        <b val="true"/>
        <sz val="9"/>
        <rFont val="Tahoma"/>
        <family val="0"/>
        <charset val="1"/>
      </rPr>
      <t xml:space="preserve">/ Report No.:</t>
    </r>
  </si>
  <si>
    <r>
      <rPr>
        <b val="true"/>
        <sz val="9"/>
        <rFont val="FreeSans"/>
        <family val="2"/>
      </rPr>
      <t xml:space="preserve">ผู้ว่าจ้าง </t>
    </r>
    <r>
      <rPr>
        <b val="true"/>
        <sz val="9"/>
        <rFont val="Tahoma"/>
        <family val="0"/>
        <charset val="1"/>
      </rPr>
      <t xml:space="preserve">/ Employer:</t>
    </r>
  </si>
  <si>
    <r>
      <rPr>
        <b val="true"/>
        <sz val="9"/>
        <rFont val="FreeSans"/>
        <family val="2"/>
      </rPr>
      <t xml:space="preserve">วันที่ตรวจวัด </t>
    </r>
    <r>
      <rPr>
        <b val="true"/>
        <sz val="9"/>
        <rFont val="Tahoma"/>
        <family val="0"/>
        <charset val="1"/>
      </rPr>
      <t xml:space="preserve">/ Status Date:</t>
    </r>
  </si>
  <si>
    <r>
      <rPr>
        <b val="true"/>
        <sz val="9"/>
        <rFont val="FreeSans"/>
        <family val="2"/>
      </rPr>
      <t xml:space="preserve">ผู้รับจ้าง </t>
    </r>
    <r>
      <rPr>
        <b val="true"/>
        <sz val="9"/>
        <rFont val="Tahoma"/>
        <family val="0"/>
        <charset val="1"/>
      </rPr>
      <t xml:space="preserve">/ Contractor:</t>
    </r>
  </si>
  <si>
    <r>
      <rPr>
        <b val="true"/>
        <sz val="9"/>
        <rFont val="FreeSans"/>
        <family val="2"/>
      </rPr>
      <t xml:space="preserve">เลขที่สัญญา </t>
    </r>
    <r>
      <rPr>
        <b val="true"/>
        <sz val="9"/>
        <rFont val="Tahoma"/>
        <family val="0"/>
        <charset val="1"/>
      </rPr>
      <t xml:space="preserve">/ Contract No.:</t>
    </r>
  </si>
  <si>
    <r>
      <rPr>
        <b val="true"/>
        <sz val="10"/>
        <color rgb="FFFFFFFF"/>
        <rFont val="Tahoma"/>
        <family val="0"/>
        <charset val="1"/>
      </rPr>
      <t xml:space="preserve">1. </t>
    </r>
    <r>
      <rPr>
        <b val="true"/>
        <sz val="10"/>
        <color rgb="FFFFFFFF"/>
        <rFont val="FreeSans"/>
        <family val="2"/>
      </rPr>
      <t xml:space="preserve">สรุปผลการดำเนินงาน </t>
    </r>
    <r>
      <rPr>
        <b val="true"/>
        <sz val="10"/>
        <color rgb="FFFFFFFF"/>
        <rFont val="Tahoma"/>
        <family val="0"/>
        <charset val="1"/>
      </rPr>
      <t xml:space="preserve">/ Executive Summary</t>
    </r>
  </si>
  <si>
    <r>
      <rPr>
        <sz val="9"/>
        <rFont val="FreeSans"/>
        <family val="2"/>
      </rPr>
      <t xml:space="preserve">ระยะเวลาที่ใช้ไป </t>
    </r>
    <r>
      <rPr>
        <sz val="9"/>
        <rFont val="Tahoma"/>
        <family val="0"/>
        <charset val="1"/>
      </rPr>
      <t xml:space="preserve">/ Time Elapsed</t>
    </r>
  </si>
  <si>
    <r>
      <rPr>
        <sz val="9"/>
        <rFont val="FreeSans"/>
        <family val="2"/>
      </rPr>
      <t xml:space="preserve">แผนเดิม </t>
    </r>
    <r>
      <rPr>
        <sz val="9"/>
        <rFont val="Tahoma"/>
        <family val="0"/>
        <charset val="1"/>
      </rPr>
      <t xml:space="preserve">/ Baseline Planned</t>
    </r>
  </si>
  <si>
    <r>
      <rPr>
        <sz val="9"/>
        <rFont val="FreeSans"/>
        <family val="2"/>
      </rPr>
      <t xml:space="preserve">แผนเร่งรัด </t>
    </r>
    <r>
      <rPr>
        <sz val="9"/>
        <rFont val="Tahoma"/>
        <family val="0"/>
        <charset val="1"/>
      </rPr>
      <t xml:space="preserve">/ Revised Planned</t>
    </r>
  </si>
  <si>
    <r>
      <rPr>
        <sz val="9"/>
        <rFont val="FreeSans"/>
        <family val="2"/>
      </rPr>
      <t xml:space="preserve">ผลงานจริง </t>
    </r>
    <r>
      <rPr>
        <sz val="9"/>
        <rFont val="Tahoma"/>
        <family val="0"/>
        <charset val="1"/>
      </rPr>
      <t xml:space="preserve">/ Actual Progress</t>
    </r>
  </si>
  <si>
    <r>
      <rPr>
        <sz val="9"/>
        <rFont val="FreeSans"/>
        <family val="2"/>
      </rPr>
      <t xml:space="preserve">ผลต่าง </t>
    </r>
    <r>
      <rPr>
        <sz val="9"/>
        <rFont val="Tahoma"/>
        <family val="0"/>
        <charset val="1"/>
      </rPr>
      <t xml:space="preserve">/ Variance</t>
    </r>
  </si>
  <si>
    <t xml:space="preserve">SPI  |  SPI(t)</t>
  </si>
  <si>
    <r>
      <rPr>
        <sz val="9"/>
        <rFont val="FreeSans"/>
        <family val="2"/>
      </rPr>
      <t xml:space="preserve">ช้ากว่าแผน </t>
    </r>
    <r>
      <rPr>
        <sz val="9"/>
        <rFont val="Tahoma"/>
        <family val="0"/>
        <charset val="1"/>
      </rPr>
      <t xml:space="preserve">/ SV(t) (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</si>
  <si>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คาดว่าแล้วเสร็จ </t>
    </r>
    <r>
      <rPr>
        <sz val="9"/>
        <rFont val="Tahoma"/>
        <family val="0"/>
        <charset val="1"/>
      </rPr>
      <t xml:space="preserve">/ Forecast Completion</t>
    </r>
  </si>
  <si>
    <r>
      <rPr>
        <sz val="9"/>
        <rFont val="FreeSans"/>
        <family val="2"/>
      </rPr>
      <t xml:space="preserve">คาดว่าล่าช้า </t>
    </r>
    <r>
      <rPr>
        <sz val="9"/>
        <rFont val="Tahoma"/>
        <family val="0"/>
        <charset val="1"/>
      </rPr>
      <t xml:space="preserve">/ Forecast Delay (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</si>
  <si>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ค่าปรับคาดการณ์ </t>
    </r>
    <r>
      <rPr>
        <sz val="9"/>
        <rFont val="Tahoma"/>
        <family val="0"/>
        <charset val="1"/>
      </rPr>
      <t xml:space="preserve">/ Forecast LD (</t>
    </r>
    <r>
      <rPr>
        <sz val="9"/>
        <rFont val="FreeSans"/>
        <family val="2"/>
      </rPr>
      <t xml:space="preserve">฿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</si>
  <si>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CPI (</t>
    </r>
    <r>
      <rPr>
        <sz val="9"/>
        <rFont val="FreeSans"/>
        <family val="2"/>
      </rPr>
      <t xml:space="preserve">ดัชนีต้นทุน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</si>
  <si>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สถานะ </t>
    </r>
    <r>
      <rPr>
        <sz val="9"/>
        <rFont val="Tahoma"/>
        <family val="0"/>
        <charset val="1"/>
      </rPr>
      <t xml:space="preserve">/ Status</t>
    </r>
  </si>
  <si>
    <r>
      <rPr>
        <sz val="9"/>
        <rFont val="FreeSans"/>
        <family val="2"/>
      </rPr>
      <t xml:space="preserve">ข้อมูลจริง ณ </t>
    </r>
    <r>
      <rPr>
        <sz val="9"/>
        <rFont val="Tahoma"/>
        <family val="0"/>
        <charset val="1"/>
      </rPr>
      <t xml:space="preserve">/ Data Date</t>
    </r>
  </si>
  <si>
    <r>
      <rPr>
        <b val="true"/>
        <sz val="10"/>
        <color rgb="FFFFFFFF"/>
        <rFont val="Tahoma"/>
        <family val="0"/>
        <charset val="1"/>
      </rPr>
      <t xml:space="preserve">2. </t>
    </r>
    <r>
      <rPr>
        <b val="true"/>
        <sz val="10"/>
        <color rgb="FFFFFFFF"/>
        <rFont val="FreeSans"/>
        <family val="2"/>
      </rPr>
      <t xml:space="preserve">ความก้าวหน้าตามหมวดงาน </t>
    </r>
    <r>
      <rPr>
        <b val="true"/>
        <sz val="10"/>
        <color rgb="FFFFFFFF"/>
        <rFont val="Tahoma"/>
        <family val="0"/>
        <charset val="1"/>
      </rPr>
      <t xml:space="preserve">/ Progress by WBS Category</t>
    </r>
  </si>
  <si>
    <r>
      <rPr>
        <b val="true"/>
        <sz val="9"/>
        <color rgb="FFFFFFFF"/>
        <rFont val="FreeSans"/>
        <family val="2"/>
      </rPr>
      <t xml:space="preserve">หมวด
</t>
    </r>
    <r>
      <rPr>
        <b val="true"/>
        <sz val="9"/>
        <color rgb="FFFFFFFF"/>
        <rFont val="Tahoma"/>
        <family val="0"/>
        <charset val="1"/>
      </rPr>
      <t xml:space="preserve">No.</t>
    </r>
  </si>
  <si>
    <r>
      <rPr>
        <b val="true"/>
        <sz val="9"/>
        <color rgb="FFFFFFFF"/>
        <rFont val="FreeSans"/>
        <family val="2"/>
      </rPr>
      <t xml:space="preserve">หมวดงาน </t>
    </r>
    <r>
      <rPr>
        <b val="true"/>
        <sz val="9"/>
        <color rgb="FFFFFFFF"/>
        <rFont val="Tahoma"/>
        <family val="0"/>
        <charset val="1"/>
      </rPr>
      <t xml:space="preserve">/ Category</t>
    </r>
  </si>
  <si>
    <r>
      <rPr>
        <b val="true"/>
        <sz val="9"/>
        <color rgb="FFFFFFFF"/>
        <rFont val="FreeSans"/>
        <family val="2"/>
      </rPr>
      <t xml:space="preserve">น้ำหนัก
</t>
    </r>
    <r>
      <rPr>
        <b val="true"/>
        <sz val="9"/>
        <color rgb="FFFFFFFF"/>
        <rFont val="Tahoma"/>
        <family val="0"/>
        <charset val="1"/>
      </rPr>
      <t xml:space="preserve">Weight</t>
    </r>
  </si>
  <si>
    <r>
      <rPr>
        <b val="true"/>
        <sz val="9"/>
        <color rgb="FFFFFFFF"/>
        <rFont val="FreeSans"/>
        <family val="2"/>
      </rPr>
      <t xml:space="preserve">แผน ณ </t>
    </r>
    <r>
      <rPr>
        <b val="true"/>
        <sz val="9"/>
        <color rgb="FFFFFFFF"/>
        <rFont val="Tahoma"/>
        <family val="0"/>
        <charset val="1"/>
      </rPr>
      <t xml:space="preserve">Data Date
Planned</t>
    </r>
  </si>
  <si>
    <r>
      <rPr>
        <b val="true"/>
        <sz val="9"/>
        <color rgb="FFFFFFFF"/>
        <rFont val="FreeSans"/>
        <family val="2"/>
      </rPr>
      <t xml:space="preserve">จริง
</t>
    </r>
    <r>
      <rPr>
        <b val="true"/>
        <sz val="9"/>
        <color rgb="FFFFFFFF"/>
        <rFont val="Tahoma"/>
        <family val="0"/>
        <charset val="1"/>
      </rPr>
      <t xml:space="preserve">Actual</t>
    </r>
  </si>
  <si>
    <r>
      <rPr>
        <b val="true"/>
        <sz val="9"/>
        <color rgb="FFFFFFFF"/>
        <rFont val="FreeSans"/>
        <family val="2"/>
      </rPr>
      <t xml:space="preserve">ผลต่าง
</t>
    </r>
    <r>
      <rPr>
        <b val="true"/>
        <sz val="9"/>
        <color rgb="FFFFFFFF"/>
        <rFont val="Tahoma"/>
        <family val="0"/>
        <charset val="1"/>
      </rPr>
      <t xml:space="preserve">Variance</t>
    </r>
  </si>
  <si>
    <t xml:space="preserve">SPI</t>
  </si>
  <si>
    <r>
      <rPr>
        <b val="true"/>
        <sz val="9"/>
        <color rgb="FFFFFFFF"/>
        <rFont val="FreeSans"/>
        <family val="2"/>
      </rPr>
      <t xml:space="preserve">ผลงานแผน
</t>
    </r>
    <r>
      <rPr>
        <b val="true"/>
        <sz val="9"/>
        <color rgb="FFFFFFFF"/>
        <rFont val="Tahoma"/>
        <family val="0"/>
        <charset val="1"/>
      </rPr>
      <t xml:space="preserve">(% </t>
    </r>
    <r>
      <rPr>
        <b val="true"/>
        <sz val="9"/>
        <color rgb="FFFFFFFF"/>
        <rFont val="FreeSans"/>
        <family val="2"/>
      </rPr>
      <t xml:space="preserve">โครงการ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</si>
  <si>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ผลงานจริง
</t>
    </r>
    <r>
      <rPr>
        <b val="true"/>
        <sz val="9"/>
        <color rgb="FFFFFFFF"/>
        <rFont val="Tahoma"/>
        <family val="0"/>
        <charset val="1"/>
      </rPr>
      <t xml:space="preserve">(% </t>
    </r>
    <r>
      <rPr>
        <b val="true"/>
        <sz val="9"/>
        <color rgb="FFFFFFFF"/>
        <rFont val="FreeSans"/>
        <family val="2"/>
      </rPr>
      <t xml:space="preserve">โครงการ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</si>
  <si>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รวม </t>
    </r>
    <r>
      <rPr>
        <b val="true"/>
        <sz val="9"/>
        <rFont val="Tahoma"/>
        <family val="0"/>
        <charset val="1"/>
      </rPr>
      <t xml:space="preserve">/ TOTAL</t>
    </r>
  </si>
  <si>
    <r>
      <rPr>
        <i val="true"/>
        <sz val="8"/>
        <color rgb="FF808080"/>
        <rFont val="FreeSans"/>
        <family val="2"/>
      </rPr>
      <t xml:space="preserve">หมายเหตุ</t>
    </r>
    <r>
      <rPr>
        <i val="true"/>
        <sz val="8"/>
        <color rgb="FF808080"/>
        <rFont val="Tahoma"/>
        <family val="0"/>
        <charset val="1"/>
      </rPr>
      <t xml:space="preserve">: </t>
    </r>
    <r>
      <rPr>
        <i val="true"/>
        <sz val="8"/>
        <color rgb="FF808080"/>
        <rFont val="FreeSans"/>
        <family val="2"/>
      </rPr>
      <t xml:space="preserve">ผลงานจริงรายหมวดคำนวณจาก </t>
    </r>
    <r>
      <rPr>
        <i val="true"/>
        <sz val="8"/>
        <color rgb="FF808080"/>
        <rFont val="Tahoma"/>
        <family val="0"/>
        <charset val="1"/>
      </rPr>
      <t xml:space="preserve">% </t>
    </r>
    <r>
      <rPr>
        <i val="true"/>
        <sz val="8"/>
        <color rgb="FF808080"/>
        <rFont val="FreeSans"/>
        <family val="2"/>
      </rPr>
      <t xml:space="preserve">รายรายการในชีตแผนงาน </t>
    </r>
    <r>
      <rPr>
        <i val="true"/>
        <sz val="8"/>
        <color rgb="FF808080"/>
        <rFont val="Tahoma"/>
        <family val="0"/>
        <charset val="1"/>
      </rPr>
      <t xml:space="preserve">(</t>
    </r>
    <r>
      <rPr>
        <i val="true"/>
        <sz val="8"/>
        <color rgb="FF808080"/>
        <rFont val="FreeSans"/>
        <family val="2"/>
      </rPr>
      <t xml:space="preserve">ถ้ายังไม่กรอกจะแสดง </t>
    </r>
    <r>
      <rPr>
        <i val="true"/>
        <sz val="8"/>
        <color rgb="FF808080"/>
        <rFont val="Tahoma"/>
        <family val="0"/>
        <charset val="1"/>
      </rPr>
      <t xml:space="preserve">0)</t>
    </r>
  </si>
  <si>
    <r>
      <rPr>
        <b val="true"/>
        <sz val="10"/>
        <color rgb="FFFFFFFF"/>
        <rFont val="Tahoma"/>
        <family val="0"/>
        <charset val="1"/>
      </rPr>
      <t xml:space="preserve">3. </t>
    </r>
    <r>
      <rPr>
        <b val="true"/>
        <sz val="10"/>
        <color rgb="FFFFFFFF"/>
        <rFont val="FreeSans"/>
        <family val="2"/>
      </rPr>
      <t xml:space="preserve">รายการที่ล่าช้ามากที่สุด </t>
    </r>
    <r>
      <rPr>
        <b val="true"/>
        <sz val="10"/>
        <color rgb="FFFFFFFF"/>
        <rFont val="Tahoma"/>
        <family val="0"/>
        <charset val="1"/>
      </rPr>
      <t xml:space="preserve">/ Top 5 Delayed Items</t>
    </r>
  </si>
  <si>
    <t xml:space="preserve">อันดับ</t>
  </si>
  <si>
    <r>
      <rPr>
        <b val="true"/>
        <sz val="9"/>
        <color rgb="FFFFFFFF"/>
        <rFont val="Tahoma"/>
        <family val="0"/>
        <charset val="1"/>
      </rPr>
      <t xml:space="preserve">WBS / </t>
    </r>
    <r>
      <rPr>
        <b val="true"/>
        <sz val="9"/>
        <color rgb="FFFFFFFF"/>
        <rFont val="FreeSans"/>
        <family val="2"/>
      </rPr>
      <t xml:space="preserve">รายการงาน</t>
    </r>
  </si>
  <si>
    <r>
      <rPr>
        <b val="true"/>
        <sz val="9"/>
        <color rgb="FFFFFFFF"/>
        <rFont val="FreeSans"/>
        <family val="2"/>
      </rPr>
      <t xml:space="preserve">เสร็จตามแผน
</t>
    </r>
    <r>
      <rPr>
        <b val="true"/>
        <sz val="9"/>
        <color rgb="FFFFFFFF"/>
        <rFont val="Tahoma"/>
        <family val="0"/>
        <charset val="1"/>
      </rPr>
      <t xml:space="preserve">BL Finish</t>
    </r>
  </si>
  <si>
    <r>
      <rPr>
        <b val="true"/>
        <sz val="9"/>
        <color rgb="FFFFFFFF"/>
        <rFont val="FreeSans"/>
        <family val="2"/>
      </rPr>
      <t xml:space="preserve">คาดว่าเสร็จ
</t>
    </r>
    <r>
      <rPr>
        <b val="true"/>
        <sz val="9"/>
        <color rgb="FFFFFFFF"/>
        <rFont val="Tahoma"/>
        <family val="0"/>
        <charset val="1"/>
      </rPr>
      <t xml:space="preserve">Forecast</t>
    </r>
  </si>
  <si>
    <r>
      <rPr>
        <b val="true"/>
        <sz val="9"/>
        <color rgb="FFFFFFFF"/>
        <rFont val="FreeSans"/>
        <family val="2"/>
      </rPr>
      <t xml:space="preserve">ล่าช้า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
Delay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</si>
  <si>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จริง
</t>
    </r>
    <r>
      <rPr>
        <b val="true"/>
        <sz val="9"/>
        <color rgb="FFFFFFFF"/>
        <rFont val="Tahoma"/>
        <family val="0"/>
        <charset val="1"/>
      </rPr>
      <t xml:space="preserve">Actual</t>
    </r>
  </si>
  <si>
    <r>
      <rPr>
        <b val="true"/>
        <sz val="9"/>
        <color rgb="FFFFFFFF"/>
        <rFont val="FreeSans"/>
        <family val="2"/>
      </rPr>
      <t xml:space="preserve">สถานะ </t>
    </r>
    <r>
      <rPr>
        <b val="true"/>
        <sz val="9"/>
        <color rgb="FFFFFFFF"/>
        <rFont val="Tahoma"/>
        <family val="0"/>
        <charset val="1"/>
      </rPr>
      <t xml:space="preserve">/ Status</t>
    </r>
  </si>
  <si>
    <r>
      <rPr>
        <b val="true"/>
        <sz val="9"/>
        <color rgb="FFFFFFFF"/>
        <rFont val="FreeSans"/>
        <family val="2"/>
      </rPr>
      <t xml:space="preserve">หมายเหตุ </t>
    </r>
    <r>
      <rPr>
        <b val="true"/>
        <sz val="9"/>
        <color rgb="FFFFFFFF"/>
        <rFont val="Tahoma"/>
        <family val="0"/>
        <charset val="1"/>
      </rPr>
      <t xml:space="preserve">/ Remarks</t>
    </r>
  </si>
  <si>
    <t xml:space="preserve">ลำดับ</t>
  </si>
  <si>
    <r>
      <rPr>
        <b val="true"/>
        <sz val="9"/>
        <color rgb="FFFFFFFF"/>
        <rFont val="FreeSans"/>
        <family val="2"/>
      </rPr>
      <t xml:space="preserve">เริ่ม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แผนใช้งาน</t>
    </r>
    <r>
      <rPr>
        <b val="true"/>
        <sz val="9"/>
        <color rgb="FFFFFFFF"/>
        <rFont val="Tahoma"/>
        <family val="0"/>
        <charset val="1"/>
      </rPr>
      <t xml:space="preserve">)
Start</t>
    </r>
  </si>
  <si>
    <r>
      <rPr>
        <b val="true"/>
        <sz val="9"/>
        <color rgb="FFFFFFFF"/>
        <rFont val="FreeSans"/>
        <family val="2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แผนใช้งาน</t>
    </r>
    <r>
      <rPr>
        <b val="true"/>
        <sz val="9"/>
        <color rgb="FFFFFFFF"/>
        <rFont val="Tahoma"/>
        <family val="0"/>
        <charset val="1"/>
      </rPr>
      <t xml:space="preserve">)
Finish</t>
    </r>
  </si>
  <si>
    <r>
      <rPr>
        <b val="true"/>
        <sz val="10"/>
        <color rgb="FFFFFFFF"/>
        <rFont val="Tahoma"/>
        <family val="0"/>
        <charset val="1"/>
      </rPr>
      <t xml:space="preserve">5. </t>
    </r>
    <r>
      <rPr>
        <b val="true"/>
        <sz val="10"/>
        <color rgb="FFFFFFFF"/>
        <rFont val="FreeSans"/>
        <family val="2"/>
      </rPr>
      <t xml:space="preserve">การขยายเวลาและค่าปรับ </t>
    </r>
    <r>
      <rPr>
        <b val="true"/>
        <sz val="10"/>
        <color rgb="FFFFFFFF"/>
        <rFont val="Tahoma"/>
        <family val="0"/>
        <charset val="1"/>
      </rPr>
      <t xml:space="preserve">/ Extension of Time &amp; Liquidated Damages</t>
    </r>
  </si>
  <si>
    <r>
      <rPr>
        <sz val="9"/>
        <rFont val="FreeSans"/>
        <family val="2"/>
      </rPr>
      <t xml:space="preserve">ขอขยายเวลารวม </t>
    </r>
    <r>
      <rPr>
        <sz val="9"/>
        <rFont val="Tahoma"/>
        <family val="0"/>
        <charset val="1"/>
      </rPr>
      <t xml:space="preserve">/ Claimed</t>
    </r>
  </si>
  <si>
    <r>
      <rPr>
        <sz val="9"/>
        <rFont val="FreeSans"/>
        <family val="2"/>
      </rPr>
      <t xml:space="preserve">อนุมัติแล้ว </t>
    </r>
    <r>
      <rPr>
        <sz val="9"/>
        <rFont val="Tahoma"/>
        <family val="0"/>
        <charset val="1"/>
      </rPr>
      <t xml:space="preserve">/ Approved</t>
    </r>
  </si>
  <si>
    <r>
      <rPr>
        <sz val="9"/>
        <rFont val="FreeSans"/>
        <family val="2"/>
      </rPr>
      <t xml:space="preserve">รอพิจารณา </t>
    </r>
    <r>
      <rPr>
        <sz val="9"/>
        <rFont val="Tahoma"/>
        <family val="0"/>
        <charset val="1"/>
      </rPr>
      <t xml:space="preserve">/ Pending</t>
    </r>
  </si>
  <si>
    <r>
      <rPr>
        <sz val="9"/>
        <rFont val="FreeSans"/>
        <family val="2"/>
      </rPr>
      <t xml:space="preserve">วันสิ้นสุดหลังขยายเวลา </t>
    </r>
    <r>
      <rPr>
        <sz val="9"/>
        <rFont val="Tahoma"/>
        <family val="0"/>
        <charset val="1"/>
      </rPr>
      <t xml:space="preserve">/ Revised Completion</t>
    </r>
  </si>
  <si>
    <r>
      <rPr>
        <sz val="9"/>
        <rFont val="FreeSans"/>
        <family val="2"/>
      </rPr>
      <t xml:space="preserve">ค่าปรับต่อวัน </t>
    </r>
    <r>
      <rPr>
        <sz val="9"/>
        <rFont val="Tahoma"/>
        <family val="0"/>
        <charset val="1"/>
      </rPr>
      <t xml:space="preserve">/ LD per Day (</t>
    </r>
    <r>
      <rPr>
        <sz val="9"/>
        <rFont val="FreeSans"/>
        <family val="2"/>
      </rPr>
      <t xml:space="preserve">฿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</si>
  <si>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ค่าปรับเกิดขึ้นแล้ว </t>
    </r>
    <r>
      <rPr>
        <sz val="9"/>
        <rFont val="Tahoma"/>
        <family val="0"/>
        <charset val="1"/>
      </rPr>
      <t xml:space="preserve">/ LD Incurred (</t>
    </r>
    <r>
      <rPr>
        <sz val="9"/>
        <rFont val="FreeSans"/>
        <family val="2"/>
      </rPr>
      <t xml:space="preserve">฿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</si>
  <si>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สัญญาณเตือน </t>
    </r>
    <r>
      <rPr>
        <sz val="9"/>
        <rFont val="Tahoma"/>
        <family val="0"/>
        <charset val="1"/>
      </rPr>
      <t xml:space="preserve">/ Alert</t>
    </r>
  </si>
  <si>
    <r>
      <rPr>
        <b val="true"/>
        <sz val="10"/>
        <color rgb="FFFFFFFF"/>
        <rFont val="Tahoma"/>
        <family val="0"/>
        <charset val="1"/>
      </rPr>
      <t xml:space="preserve">6. </t>
    </r>
    <r>
      <rPr>
        <b val="true"/>
        <sz val="10"/>
        <color rgb="FFFFFFFF"/>
        <rFont val="FreeSans"/>
        <family val="2"/>
      </rPr>
      <t xml:space="preserve">ปัญหา อุปสรรค และแนวทางแก้ไข </t>
    </r>
    <r>
      <rPr>
        <b val="true"/>
        <sz val="10"/>
        <color rgb="FFFFFFFF"/>
        <rFont val="Tahoma"/>
        <family val="0"/>
        <charset val="1"/>
      </rPr>
      <t xml:space="preserve">/ Issues, Risks &amp; Corrective Actions</t>
    </r>
  </si>
  <si>
    <r>
      <rPr>
        <b val="true"/>
        <sz val="9"/>
        <color rgb="FFFFFFFF"/>
        <rFont val="FreeSans"/>
        <family val="2"/>
      </rPr>
      <t xml:space="preserve">ปัญหา </t>
    </r>
    <r>
      <rPr>
        <b val="true"/>
        <sz val="9"/>
        <color rgb="FFFFFFFF"/>
        <rFont val="Tahoma"/>
        <family val="0"/>
        <charset val="1"/>
      </rPr>
      <t xml:space="preserve">/ Issue</t>
    </r>
  </si>
  <si>
    <r>
      <rPr>
        <b val="true"/>
        <sz val="9"/>
        <color rgb="FFFFFFFF"/>
        <rFont val="FreeSans"/>
        <family val="2"/>
      </rPr>
      <t xml:space="preserve">แนวทางแก้ไข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ผู้รับผิดชอบ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กำหนดเสร็จ</t>
    </r>
  </si>
  <si>
    <r>
      <rPr>
        <sz val="9"/>
        <rFont val="FreeSans"/>
        <family val="2"/>
      </rPr>
      <t xml:space="preserve">ลงชื่อ </t>
    </r>
    <r>
      <rPr>
        <sz val="9"/>
        <rFont val="Tahoma"/>
        <family val="0"/>
        <charset val="1"/>
      </rPr>
      <t xml:space="preserve">....................................</t>
    </r>
  </si>
  <si>
    <t xml:space="preserve">(....................................)</t>
  </si>
  <si>
    <r>
      <rPr>
        <b val="true"/>
        <sz val="9"/>
        <rFont val="FreeSans"/>
        <family val="2"/>
      </rPr>
      <t xml:space="preserve">ผู้จัดทำ </t>
    </r>
    <r>
      <rPr>
        <b val="true"/>
        <sz val="9"/>
        <rFont val="Tahoma"/>
        <family val="0"/>
        <charset val="1"/>
      </rPr>
      <t xml:space="preserve">/ Prepared by</t>
    </r>
  </si>
  <si>
    <r>
      <rPr>
        <b val="true"/>
        <sz val="9"/>
        <rFont val="FreeSans"/>
        <family val="2"/>
      </rPr>
      <t xml:space="preserve">ผู้ตรวจสอบ </t>
    </r>
    <r>
      <rPr>
        <b val="true"/>
        <sz val="9"/>
        <rFont val="Tahoma"/>
        <family val="0"/>
        <charset val="1"/>
      </rPr>
      <t xml:space="preserve">/ Checked by</t>
    </r>
  </si>
  <si>
    <r>
      <rPr>
        <b val="true"/>
        <sz val="9"/>
        <rFont val="FreeSans"/>
        <family val="2"/>
      </rPr>
      <t xml:space="preserve">ผู้อนุมัติ </t>
    </r>
    <r>
      <rPr>
        <b val="true"/>
        <sz val="9"/>
        <rFont val="Tahoma"/>
        <family val="0"/>
        <charset val="1"/>
      </rPr>
      <t xml:space="preserve">/ Approved by</t>
    </r>
  </si>
  <si>
    <r>
      <rPr>
        <sz val="9"/>
        <rFont val="FreeSans"/>
        <family val="2"/>
      </rPr>
      <t xml:space="preserve">วันที่ </t>
    </r>
    <r>
      <rPr>
        <sz val="9"/>
        <rFont val="Tahoma"/>
        <family val="0"/>
        <charset val="1"/>
      </rPr>
      <t xml:space="preserve">........../........../..........</t>
    </r>
  </si>
  <si>
    <r>
      <rPr>
        <b val="true"/>
        <sz val="16"/>
        <color rgb="FF1F3864"/>
        <rFont val="FreeSans"/>
        <family val="2"/>
      </rPr>
      <t xml:space="preserve">งวดงานตามสัญญา </t>
    </r>
    <r>
      <rPr>
        <b val="true"/>
        <sz val="16"/>
        <color rgb="FF1F3864"/>
        <rFont val="Tahoma"/>
        <family val="0"/>
        <charset val="1"/>
      </rPr>
      <t xml:space="preserve">/ Contract Payment Installments</t>
    </r>
  </si>
  <si>
    <r>
      <rPr>
        <i val="true"/>
        <sz val="9"/>
        <color rgb="FF595959"/>
        <rFont val="FreeSans"/>
        <family val="2"/>
      </rPr>
      <t xml:space="preserve">กรอกตามงวดงานที่ระบุในสัญญา</t>
    </r>
    <r>
      <rPr>
        <i val="true"/>
        <sz val="9"/>
        <color rgb="FF595959"/>
        <rFont val="Tahoma"/>
        <family val="0"/>
        <charset val="1"/>
      </rPr>
      <t xml:space="preserve">/TOR • </t>
    </r>
    <r>
      <rPr>
        <i val="true"/>
        <sz val="9"/>
        <color rgb="FF595959"/>
        <rFont val="FreeSans"/>
        <family val="2"/>
      </rPr>
      <t xml:space="preserve">ระบบแสดงสถานะ ความล่าช้า และเช็คว่าผลงานถึงเกณฑ์ของงวดแล้วหรือยัง</t>
    </r>
  </si>
  <si>
    <r>
      <rPr>
        <i val="true"/>
        <sz val="9"/>
        <color rgb="FF808080"/>
        <rFont val="FreeSans"/>
        <family val="2"/>
      </rPr>
      <t xml:space="preserve">ตัวอย่างการกรอก</t>
    </r>
    <r>
      <rPr>
        <i val="true"/>
        <sz val="9"/>
        <color rgb="FF808080"/>
        <rFont val="Tahoma"/>
        <family val="0"/>
        <charset val="1"/>
      </rPr>
      <t xml:space="preserve">: 1 | </t>
    </r>
    <r>
      <rPr>
        <i val="true"/>
        <sz val="9"/>
        <color rgb="FF808080"/>
        <rFont val="FreeSans"/>
        <family val="2"/>
      </rPr>
      <t xml:space="preserve">งานฐานรากและโครงสร้างชั้น </t>
    </r>
    <r>
      <rPr>
        <i val="true"/>
        <sz val="9"/>
        <color rgb="FF808080"/>
        <rFont val="Tahoma"/>
        <family val="0"/>
        <charset val="1"/>
      </rPr>
      <t xml:space="preserve">1 </t>
    </r>
    <r>
      <rPr>
        <i val="true"/>
        <sz val="9"/>
        <color rgb="FF808080"/>
        <rFont val="FreeSans"/>
        <family val="2"/>
      </rPr>
      <t xml:space="preserve">แล้วเสร็จ </t>
    </r>
    <r>
      <rPr>
        <i val="true"/>
        <sz val="9"/>
        <color rgb="FF808080"/>
        <rFont val="Tahoma"/>
        <family val="0"/>
        <charset val="1"/>
      </rPr>
      <t xml:space="preserve">| 25% | 30-Apr-26 | 3,000,000 | </t>
    </r>
    <r>
      <rPr>
        <i val="true"/>
        <sz val="9"/>
        <color rgb="FF808080"/>
        <rFont val="FreeSans"/>
        <family val="2"/>
      </rPr>
      <t xml:space="preserve">ส่งมอบ </t>
    </r>
    <r>
      <rPr>
        <i val="true"/>
        <sz val="9"/>
        <color rgb="FF808080"/>
        <rFont val="Tahoma"/>
        <family val="0"/>
        <charset val="1"/>
      </rPr>
      <t xml:space="preserve">28-Apr-26 | </t>
    </r>
    <r>
      <rPr>
        <i val="true"/>
        <sz val="9"/>
        <color rgb="FF808080"/>
        <rFont val="FreeSans"/>
        <family val="2"/>
      </rPr>
      <t xml:space="preserve">ตรวจรับ </t>
    </r>
    <r>
      <rPr>
        <i val="true"/>
        <sz val="9"/>
        <color rgb="FF808080"/>
        <rFont val="Tahoma"/>
        <family val="0"/>
        <charset val="1"/>
      </rPr>
      <t xml:space="preserve">5-May-26</t>
    </r>
  </si>
  <si>
    <r>
      <rPr>
        <b val="true"/>
        <sz val="9"/>
        <color rgb="FFFFFFFF"/>
        <rFont val="FreeSans"/>
        <family val="2"/>
      </rPr>
      <t xml:space="preserve">งวดที่
</t>
    </r>
    <r>
      <rPr>
        <b val="true"/>
        <sz val="9"/>
        <color rgb="FFFFFFFF"/>
        <rFont val="Tahoma"/>
        <family val="0"/>
        <charset val="1"/>
      </rPr>
      <t xml:space="preserve">No.</t>
    </r>
  </si>
  <si>
    <r>
      <rPr>
        <b val="true"/>
        <sz val="9"/>
        <color rgb="FFFFFFFF"/>
        <rFont val="FreeSans"/>
        <family val="2"/>
      </rPr>
      <t xml:space="preserve">เนื้องานที่ต้องแล้วเสร็จในงวด
</t>
    </r>
    <r>
      <rPr>
        <b val="true"/>
        <sz val="9"/>
        <color rgb="FFFFFFFF"/>
        <rFont val="Tahoma"/>
        <family val="0"/>
        <charset val="1"/>
      </rPr>
      <t xml:space="preserve">Scope of Installment</t>
    </r>
  </si>
  <si>
    <r>
      <rPr>
        <b val="true"/>
        <sz val="9"/>
        <color rgb="FFFFFFFF"/>
        <rFont val="FreeSans"/>
        <family val="2"/>
      </rPr>
      <t xml:space="preserve">ผลงานสะสม
ที่กำหนด </t>
    </r>
    <r>
      <rPr>
        <b val="true"/>
        <sz val="9"/>
        <color rgb="FFFFFFFF"/>
        <rFont val="Tahoma"/>
        <family val="0"/>
        <charset val="1"/>
      </rPr>
      <t xml:space="preserve">(%)</t>
    </r>
  </si>
  <si>
    <r>
      <rPr>
        <b val="true"/>
        <sz val="9"/>
        <color rgb="FFFFFFFF"/>
        <rFont val="FreeSans"/>
        <family val="2"/>
      </rPr>
      <t xml:space="preserve">กำหนดแล้วเสร็จ
</t>
    </r>
    <r>
      <rPr>
        <b val="true"/>
        <sz val="9"/>
        <color rgb="FFFFFFFF"/>
        <rFont val="Tahoma"/>
        <family val="0"/>
        <charset val="1"/>
      </rPr>
      <t xml:space="preserve">Due Date</t>
    </r>
  </si>
  <si>
    <r>
      <rPr>
        <b val="true"/>
        <sz val="9"/>
        <color rgb="FFFFFFFF"/>
        <rFont val="FreeSans"/>
        <family val="2"/>
      </rPr>
      <t xml:space="preserve">จำนวนเงิน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
Amount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</si>
  <si>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ของ
ค่าจ้าง</t>
    </r>
  </si>
  <si>
    <r>
      <rPr>
        <b val="true"/>
        <sz val="9"/>
        <color rgb="FFFFFFFF"/>
        <rFont val="FreeSans"/>
        <family val="2"/>
      </rPr>
      <t xml:space="preserve">วันที่ส่งมอบงาน
</t>
    </r>
    <r>
      <rPr>
        <b val="true"/>
        <sz val="9"/>
        <color rgb="FFFFFFFF"/>
        <rFont val="Tahoma"/>
        <family val="0"/>
        <charset val="1"/>
      </rPr>
      <t xml:space="preserve">Submitted</t>
    </r>
  </si>
  <si>
    <r>
      <rPr>
        <b val="true"/>
        <sz val="9"/>
        <color rgb="FFFFFFFF"/>
        <rFont val="FreeSans"/>
        <family val="2"/>
      </rPr>
      <t xml:space="preserve">วันที่ตรวจรับ
</t>
    </r>
    <r>
      <rPr>
        <b val="true"/>
        <sz val="9"/>
        <color rgb="FFFFFFFF"/>
        <rFont val="Tahoma"/>
        <family val="0"/>
        <charset val="1"/>
      </rPr>
      <t xml:space="preserve">Accepted</t>
    </r>
  </si>
  <si>
    <r>
      <rPr>
        <b val="true"/>
        <sz val="9"/>
        <color rgb="FFFFFFFF"/>
        <rFont val="FreeSans"/>
        <family val="2"/>
      </rPr>
      <t xml:space="preserve">เบิกจ่ายแล้ว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</si>
  <si>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ผลงานปัจจุบัน
เทียบเกณฑ์</t>
  </si>
  <si>
    <r>
      <rPr>
        <b val="true"/>
        <sz val="9"/>
        <color rgb="FFFFFFFF"/>
        <rFont val="FreeSans"/>
        <family val="2"/>
      </rPr>
      <t xml:space="preserve">สถานะ
</t>
    </r>
    <r>
      <rPr>
        <b val="true"/>
        <sz val="9"/>
        <color rgb="FFFFFFFF"/>
        <rFont val="Tahoma"/>
        <family val="0"/>
        <charset val="1"/>
      </rPr>
      <t xml:space="preserve">Status</t>
    </r>
  </si>
  <si>
    <r>
      <rPr>
        <b val="true"/>
        <sz val="9"/>
        <color rgb="FFFFFFFF"/>
        <rFont val="FreeSans"/>
        <family val="2"/>
      </rPr>
      <t xml:space="preserve">ล่าช้า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</si>
  <si>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หมายเหตุ
</t>
    </r>
    <r>
      <rPr>
        <b val="true"/>
        <sz val="9"/>
        <color rgb="FFFFFFFF"/>
        <rFont val="Tahoma"/>
        <family val="0"/>
        <charset val="1"/>
      </rPr>
      <t xml:space="preserve">Remarks</t>
    </r>
  </si>
  <si>
    <r>
      <rPr>
        <b val="true"/>
        <sz val="10"/>
        <rFont val="FreeSans"/>
        <family val="2"/>
      </rPr>
      <t xml:space="preserve">รวม </t>
    </r>
    <r>
      <rPr>
        <b val="true"/>
        <sz val="10"/>
        <rFont val="Tahoma"/>
        <family val="0"/>
        <charset val="1"/>
      </rPr>
      <t xml:space="preserve">/ TOTAL</t>
    </r>
  </si>
  <si>
    <r>
      <rPr>
        <b val="true"/>
        <sz val="16"/>
        <color rgb="FF1F3864"/>
        <rFont val="FreeSans"/>
        <family val="2"/>
      </rPr>
      <t xml:space="preserve">บันทึกผลการปฏิบัติงานประจำสัปดาห์ </t>
    </r>
    <r>
      <rPr>
        <b val="true"/>
        <sz val="16"/>
        <color rgb="FF1F3864"/>
        <rFont val="Tahoma"/>
        <family val="0"/>
        <charset val="1"/>
      </rPr>
      <t xml:space="preserve">/ Weekly Site Log</t>
    </r>
  </si>
  <si>
    <r>
      <rPr>
        <i val="true"/>
        <sz val="9"/>
        <color rgb="FF595959"/>
        <rFont val="FreeSans"/>
        <family val="2"/>
      </rPr>
      <t xml:space="preserve">กรอกทุกสัปดาห์ </t>
    </r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</rPr>
      <t xml:space="preserve">แถว • ข้อมูลในแถวของสัปดาห์ที่เลือกจะไปแสดงในชีต รายงานกรรมการ </t>
    </r>
    <r>
      <rPr>
        <i val="true"/>
        <sz val="9"/>
        <color rgb="FF595959"/>
        <rFont val="Tahoma"/>
        <family val="0"/>
        <charset val="1"/>
      </rPr>
      <t xml:space="preserve">Weekly </t>
    </r>
    <r>
      <rPr>
        <i val="true"/>
        <sz val="9"/>
        <color rgb="FF595959"/>
        <rFont val="FreeSans"/>
        <family val="2"/>
      </rPr>
      <t xml:space="preserve">อัตโนมัติ</t>
    </r>
  </si>
  <si>
    <r>
      <rPr>
        <b val="true"/>
        <sz val="9"/>
        <color rgb="FFFFFFFF"/>
        <rFont val="FreeSans"/>
        <family val="2"/>
      </rPr>
      <t xml:space="preserve">ข้อมูลสำหรับหนังสือรายงาน </t>
    </r>
    <r>
      <rPr>
        <b val="true"/>
        <sz val="9"/>
        <color rgb="FFFFFFFF"/>
        <rFont val="Tahoma"/>
        <family val="0"/>
        <charset val="1"/>
      </rPr>
      <t xml:space="preserve">/ Memo Details</t>
    </r>
  </si>
  <si>
    <r>
      <rPr>
        <sz val="10"/>
        <rFont val="FreeSans"/>
        <family val="2"/>
      </rPr>
      <t xml:space="preserve">ส่วนราชการ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หน่วยงาน</t>
    </r>
  </si>
  <si>
    <r>
      <rPr>
        <sz val="10"/>
        <rFont val="FreeSans"/>
        <family val="2"/>
      </rPr>
      <t xml:space="preserve">เลขที่หนังสือ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ที่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</si>
  <si>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เช่น กท </t>
    </r>
    <r>
      <rPr>
        <i val="true"/>
        <sz val="9"/>
        <color rgb="FF595959"/>
        <rFont val="Tahoma"/>
        <family val="0"/>
        <charset val="1"/>
      </rPr>
      <t xml:space="preserve">1234/2569</t>
    </r>
  </si>
  <si>
    <t xml:space="preserve">วันที่ลงนามสัญญา</t>
  </si>
  <si>
    <t xml:space="preserve">ใช้ในย่อหน้าอ้างถึงสัญญา</t>
  </si>
  <si>
    <t xml:space="preserve">ชื่อผู้ควบคุมงาน</t>
  </si>
  <si>
    <t xml:space="preserve">ผู้ลงนามในรายงาน</t>
  </si>
  <si>
    <t xml:space="preserve">ตำแหน่งผู้ควบคุมงาน</t>
  </si>
  <si>
    <t xml:space="preserve">ผู้ควบคุมงาน</t>
  </si>
  <si>
    <t xml:space="preserve">ประธานกรรมการตรวจรับพัสดุ</t>
  </si>
  <si>
    <r>
      <rPr>
        <sz val="10"/>
        <rFont val="FreeSans"/>
        <family val="2"/>
      </rPr>
      <t xml:space="preserve">กรรมการตรวจรับพัสดุ คนที่ </t>
    </r>
    <r>
      <rPr>
        <sz val="10"/>
        <rFont val="Tahoma"/>
        <family val="0"/>
        <charset val="1"/>
      </rPr>
      <t xml:space="preserve">1</t>
    </r>
  </si>
  <si>
    <r>
      <rPr>
        <sz val="10"/>
        <rFont val="FreeSans"/>
        <family val="2"/>
      </rPr>
      <t xml:space="preserve">กรรมการตรวจรับพัสดุ คนที่ </t>
    </r>
    <r>
      <rPr>
        <sz val="10"/>
        <rFont val="Tahoma"/>
        <family val="0"/>
        <charset val="1"/>
      </rPr>
      <t xml:space="preserve">2</t>
    </r>
  </si>
  <si>
    <r>
      <rPr>
        <sz val="10"/>
        <rFont val="FreeSans"/>
        <family val="2"/>
      </rPr>
      <t xml:space="preserve">รายงานสัปดาห์ที่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เลือก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</si>
  <si>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ค่าเริ่มต้น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สัปดาห์ล่าสุดที่ครบ </t>
    </r>
    <r>
      <rPr>
        <i val="true"/>
        <sz val="9"/>
        <color rgb="FF595959"/>
        <rFont val="Tahoma"/>
        <family val="0"/>
        <charset val="1"/>
      </rPr>
      <t xml:space="preserve">7 </t>
    </r>
    <r>
      <rPr>
        <i val="true"/>
        <sz val="9"/>
        <color rgb="FF595959"/>
        <rFont val="FreeSans"/>
        <family val="2"/>
      </rPr>
      <t xml:space="preserve">วันแล้ว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พิมพ์ทับได้</t>
    </r>
    <r>
      <rPr>
        <i val="true"/>
        <sz val="9"/>
        <color rgb="FF595959"/>
        <rFont val="Tahoma"/>
        <family val="0"/>
        <charset val="1"/>
      </rPr>
      <t xml:space="preserve">)</t>
    </r>
  </si>
  <si>
    <t xml:space="preserve">วันที่ออกรายงาน</t>
  </si>
  <si>
    <r>
      <rPr>
        <i val="true"/>
        <sz val="9"/>
        <color rgb="FF595959"/>
        <rFont val="FreeSans"/>
        <family val="2"/>
      </rPr>
      <t xml:space="preserve">ค่าเริ่มต้น </t>
    </r>
    <r>
      <rPr>
        <i val="true"/>
        <sz val="9"/>
        <color rgb="FF595959"/>
        <rFont val="Tahoma"/>
        <family val="0"/>
        <charset val="1"/>
      </rPr>
      <t xml:space="preserve">= Status Date (</t>
    </r>
    <r>
      <rPr>
        <i val="true"/>
        <sz val="9"/>
        <color rgb="FF595959"/>
        <rFont val="FreeSans"/>
        <family val="2"/>
      </rPr>
      <t xml:space="preserve">พิมพ์ทับได้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</si>
  <si>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1F3864"/>
        <rFont val="FreeSans"/>
        <family val="2"/>
      </rPr>
      <t xml:space="preserve">ตารางบันทึกรายสัปดาห์ </t>
    </r>
    <r>
      <rPr>
        <b val="true"/>
        <sz val="9"/>
        <color rgb="FF1F3864"/>
        <rFont val="Tahoma"/>
        <family val="0"/>
        <charset val="1"/>
      </rPr>
      <t xml:space="preserve">(</t>
    </r>
    <r>
      <rPr>
        <b val="true"/>
        <sz val="9"/>
        <color rgb="FF1F3864"/>
        <rFont val="FreeSans"/>
        <family val="2"/>
      </rPr>
      <t xml:space="preserve">แถวสีส้ม </t>
    </r>
    <r>
      <rPr>
        <b val="true"/>
        <sz val="9"/>
        <color rgb="FF1F3864"/>
        <rFont val="Tahoma"/>
        <family val="0"/>
        <charset val="1"/>
      </rPr>
      <t xml:space="preserve">= </t>
    </r>
    <r>
      <rPr>
        <b val="true"/>
        <sz val="9"/>
        <color rgb="FF1F3864"/>
        <rFont val="FreeSans"/>
        <family val="2"/>
      </rPr>
      <t xml:space="preserve">สัปดาห์ที่เลือกรายงาน</t>
    </r>
    <r>
      <rPr>
        <b val="true"/>
        <sz val="9"/>
        <color rgb="FF1F3864"/>
        <rFont val="Tahoma"/>
        <family val="0"/>
        <charset val="1"/>
      </rPr>
      <t xml:space="preserve">) • </t>
    </r>
    <r>
      <rPr>
        <b val="true"/>
        <sz val="9"/>
        <color rgb="FF1F3864"/>
        <rFont val="FreeSans"/>
        <family val="2"/>
      </rPr>
      <t xml:space="preserve">ช่วงวันที่คำนวณจากวันเริ่มสัญญา ทุก </t>
    </r>
    <r>
      <rPr>
        <b val="true"/>
        <sz val="9"/>
        <color rgb="FF1F3864"/>
        <rFont val="Tahoma"/>
        <family val="0"/>
        <charset val="1"/>
      </rPr>
      <t xml:space="preserve">7 </t>
    </r>
    <r>
      <rPr>
        <b val="true"/>
        <sz val="9"/>
        <color rgb="FF1F3864"/>
        <rFont val="FreeSans"/>
        <family val="2"/>
      </rPr>
      <t xml:space="preserve">วัน</t>
    </r>
  </si>
  <si>
    <t xml:space="preserve">สัปดาห์
ที่</t>
  </si>
  <si>
    <r>
      <rPr>
        <b val="true"/>
        <sz val="9"/>
        <color rgb="FFFFFFFF"/>
        <rFont val="FreeSans"/>
        <family val="2"/>
      </rPr>
      <t xml:space="preserve">จาก
</t>
    </r>
    <r>
      <rPr>
        <b val="true"/>
        <sz val="9"/>
        <color rgb="FFFFFFFF"/>
        <rFont val="Tahoma"/>
        <family val="0"/>
        <charset val="1"/>
      </rPr>
      <t xml:space="preserve">From</t>
    </r>
  </si>
  <si>
    <r>
      <rPr>
        <b val="true"/>
        <sz val="9"/>
        <color rgb="FFFFFFFF"/>
        <rFont val="FreeSans"/>
        <family val="2"/>
      </rPr>
      <t xml:space="preserve">ถึง
</t>
    </r>
    <r>
      <rPr>
        <b val="true"/>
        <sz val="9"/>
        <color rgb="FFFFFFFF"/>
        <rFont val="Tahoma"/>
        <family val="0"/>
        <charset val="1"/>
      </rPr>
      <t xml:space="preserve">To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</si>
  <si>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แผน
สะสม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</si>
  <si>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จริง
สะสม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กรอก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</si>
  <si>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ผลงาน
สัปดาห์นี้</t>
  </si>
  <si>
    <r>
      <rPr>
        <b val="true"/>
        <sz val="9"/>
        <color rgb="FFFFFFFF"/>
        <rFont val="FreeSans"/>
        <family val="2"/>
      </rPr>
      <t xml:space="preserve">ผลต่าง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จริง−แผน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</si>
  <si>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คนงานเฉลี่ย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คน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</si>
  <si>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เครื่องจักรหลัก
</t>
    </r>
    <r>
      <rPr>
        <b val="true"/>
        <sz val="9"/>
        <color rgb="FFFFFFFF"/>
        <rFont val="Tahoma"/>
        <family val="0"/>
        <charset val="1"/>
      </rPr>
      <t xml:space="preserve">Machinery</t>
    </r>
  </si>
  <si>
    <r>
      <rPr>
        <b val="true"/>
        <sz val="9"/>
        <color rgb="FFFFFFFF"/>
        <rFont val="FreeSans"/>
        <family val="2"/>
      </rPr>
      <t xml:space="preserve">วันทำงาน </t>
    </r>
    <r>
      <rPr>
        <b val="true"/>
        <sz val="9"/>
        <color rgb="FFFFFFFF"/>
        <rFont val="Tahoma"/>
        <family val="0"/>
        <charset val="1"/>
      </rPr>
      <t xml:space="preserve">/
</t>
    </r>
    <r>
      <rPr>
        <b val="true"/>
        <sz val="9"/>
        <color rgb="FFFFFFFF"/>
        <rFont val="FreeSans"/>
        <family val="2"/>
      </rPr>
      <t xml:space="preserve">หยุด</t>
    </r>
    <r>
      <rPr>
        <b val="true"/>
        <sz val="9"/>
        <color rgb="FFFFFFFF"/>
        <rFont val="Tahoma"/>
        <family val="0"/>
        <charset val="1"/>
      </rPr>
      <t xml:space="preserve">-</t>
    </r>
    <r>
      <rPr>
        <b val="true"/>
        <sz val="9"/>
        <color rgb="FFFFFFFF"/>
        <rFont val="FreeSans"/>
        <family val="2"/>
      </rPr>
      <t xml:space="preserve">ฝนตก</t>
    </r>
  </si>
  <si>
    <r>
      <rPr>
        <b val="true"/>
        <sz val="9"/>
        <color rgb="FFFFFFFF"/>
        <rFont val="FreeSans"/>
        <family val="2"/>
      </rPr>
      <t xml:space="preserve">งานที่ดำเนินการในสัปดาห์นี้
</t>
    </r>
    <r>
      <rPr>
        <b val="true"/>
        <sz val="9"/>
        <color rgb="FFFFFFFF"/>
        <rFont val="Tahoma"/>
        <family val="0"/>
        <charset val="1"/>
      </rPr>
      <t xml:space="preserve">Work Done This Week</t>
    </r>
  </si>
  <si>
    <r>
      <rPr>
        <b val="true"/>
        <sz val="9"/>
        <color rgb="FFFFFFFF"/>
        <rFont val="FreeSans"/>
        <family val="2"/>
      </rPr>
      <t xml:space="preserve">แผนงานสัปดาห์หน้า
</t>
    </r>
    <r>
      <rPr>
        <b val="true"/>
        <sz val="9"/>
        <color rgb="FFFFFFFF"/>
        <rFont val="Tahoma"/>
        <family val="0"/>
        <charset val="1"/>
      </rPr>
      <t xml:space="preserve">Plan Next Week</t>
    </r>
  </si>
  <si>
    <r>
      <rPr>
        <b val="true"/>
        <sz val="9"/>
        <color rgb="FFFFFFFF"/>
        <rFont val="FreeSans"/>
        <family val="2"/>
      </rPr>
      <t xml:space="preserve">วัสดุเข้าหน่วยงาน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การทดสอบ
</t>
    </r>
    <r>
      <rPr>
        <b val="true"/>
        <sz val="9"/>
        <color rgb="FFFFFFFF"/>
        <rFont val="Tahoma"/>
        <family val="0"/>
        <charset val="1"/>
      </rPr>
      <t xml:space="preserve">Materials &amp; Tests</t>
    </r>
  </si>
  <si>
    <r>
      <rPr>
        <b val="true"/>
        <sz val="9"/>
        <color rgb="FFFFFFFF"/>
        <rFont val="FreeSans"/>
        <family val="2"/>
      </rPr>
      <t xml:space="preserve">ปัญหา อุปสรรค
</t>
    </r>
    <r>
      <rPr>
        <b val="true"/>
        <sz val="9"/>
        <color rgb="FFFFFFFF"/>
        <rFont val="Tahoma"/>
        <family val="0"/>
        <charset val="1"/>
      </rPr>
      <t xml:space="preserve">Issues</t>
    </r>
  </si>
  <si>
    <r>
      <rPr>
        <b val="true"/>
        <sz val="9"/>
        <color rgb="FFFFFFFF"/>
        <rFont val="FreeSans"/>
        <family val="2"/>
      </rPr>
      <t xml:space="preserve">ความเห็นผู้ควบคุมงาน
</t>
    </r>
    <r>
      <rPr>
        <b val="true"/>
        <sz val="9"/>
        <color rgb="FFFFFFFF"/>
        <rFont val="Tahoma"/>
        <family val="0"/>
        <charset val="1"/>
      </rPr>
      <t xml:space="preserve">Supervisor's Opinion</t>
    </r>
  </si>
  <si>
    <t xml:space="preserve">บันทึกข้อความ</t>
  </si>
  <si>
    <t xml:space="preserve">ส่วนราชการ</t>
  </si>
  <si>
    <t xml:space="preserve">ที่</t>
  </si>
  <si>
    <t xml:space="preserve">วันที่</t>
  </si>
  <si>
    <t xml:space="preserve">เรื่อง</t>
  </si>
  <si>
    <t xml:space="preserve">เรียน</t>
  </si>
  <si>
    <r>
      <rPr>
        <b val="true"/>
        <sz val="10"/>
        <color rgb="FFFFFFFF"/>
        <rFont val="Tahoma"/>
        <family val="0"/>
        <charset val="1"/>
      </rPr>
      <t xml:space="preserve">1. </t>
    </r>
    <r>
      <rPr>
        <b val="true"/>
        <sz val="10"/>
        <color rgb="FFFFFFFF"/>
        <rFont val="FreeSans"/>
        <family val="2"/>
      </rPr>
      <t xml:space="preserve">ความก้าวหน้าของงาน ณ สิ้นสัปดาห์</t>
    </r>
  </si>
  <si>
    <t xml:space="preserve">ผลงานตามแผนสะสม</t>
  </si>
  <si>
    <t xml:space="preserve">ผลงานจริงสะสม</t>
  </si>
  <si>
    <r>
      <rPr>
        <sz val="10"/>
        <rFont val="FreeSans"/>
        <family val="2"/>
      </rPr>
      <t xml:space="preserve">ผลงานเร็ว </t>
    </r>
    <r>
      <rPr>
        <sz val="10"/>
        <rFont val="Tahoma"/>
        <family val="0"/>
        <charset val="1"/>
      </rPr>
      <t xml:space="preserve">(+) / </t>
    </r>
    <r>
      <rPr>
        <sz val="10"/>
        <rFont val="FreeSans"/>
        <family val="2"/>
      </rPr>
      <t xml:space="preserve">ช้า </t>
    </r>
    <r>
      <rPr>
        <sz val="10"/>
        <rFont val="Tahoma"/>
        <family val="0"/>
        <charset val="1"/>
      </rPr>
      <t xml:space="preserve">(−) </t>
    </r>
    <r>
      <rPr>
        <sz val="10"/>
        <rFont val="FreeSans"/>
        <family val="2"/>
      </rPr>
      <t xml:space="preserve">กว่าแผน</t>
    </r>
  </si>
  <si>
    <t xml:space="preserve">คิดเป็นจำนวนวัน</t>
  </si>
  <si>
    <t xml:space="preserve">ผลงานที่ทำได้ในสัปดาห์นี้</t>
  </si>
  <si>
    <t xml:space="preserve">ผลงานสัปดาห์ที่แล้ว</t>
  </si>
  <si>
    <t xml:space="preserve">ระยะเวลาดำเนินการแล้ว</t>
  </si>
  <si>
    <t xml:space="preserve">ระยะเวลาคงเหลือตามสัญญา</t>
  </si>
  <si>
    <t xml:space="preserve">สถานะ</t>
  </si>
  <si>
    <r>
      <rPr>
        <b val="true"/>
        <sz val="10"/>
        <color rgb="FFFFFFFF"/>
        <rFont val="Tahoma"/>
        <family val="0"/>
        <charset val="1"/>
      </rPr>
      <t xml:space="preserve">2. </t>
    </r>
    <r>
      <rPr>
        <b val="true"/>
        <sz val="10"/>
        <color rgb="FFFFFFFF"/>
        <rFont val="FreeSans"/>
        <family val="2"/>
      </rPr>
      <t xml:space="preserve">ความก้าวหน้าตามงวดงานในสัญญา</t>
    </r>
  </si>
  <si>
    <t xml:space="preserve">งวด</t>
  </si>
  <si>
    <t xml:space="preserve">เนื้องาน</t>
  </si>
  <si>
    <t xml:space="preserve">กำหนดเสร็จ</t>
  </si>
  <si>
    <r>
      <rPr>
        <b val="true"/>
        <sz val="9"/>
        <color rgb="FFFFFFFF"/>
        <rFont val="FreeSans"/>
        <family val="2"/>
      </rPr>
      <t xml:space="preserve">จำนวนเงิน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</si>
  <si>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เกณฑ์ผลงาน</t>
  </si>
  <si>
    <r>
      <rPr>
        <b val="true"/>
        <sz val="9"/>
        <color rgb="FFFFFFFF"/>
        <rFont val="FreeSans"/>
        <family val="2"/>
      </rPr>
      <t xml:space="preserve">ล่าช้า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</si>
  <si>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10"/>
        <color rgb="FFFFFFFF"/>
        <rFont val="Tahoma"/>
        <family val="0"/>
        <charset val="1"/>
      </rPr>
      <t xml:space="preserve">3. </t>
    </r>
    <r>
      <rPr>
        <b val="true"/>
        <sz val="10"/>
        <color rgb="FFFFFFFF"/>
        <rFont val="FreeSans"/>
        <family val="2"/>
      </rPr>
      <t xml:space="preserve">ผลการดำเนินงาน</t>
    </r>
  </si>
  <si>
    <r>
      <rPr>
        <b val="true"/>
        <sz val="10"/>
        <rFont val="Tahoma"/>
        <family val="0"/>
        <charset val="1"/>
      </rPr>
      <t xml:space="preserve">3.1 </t>
    </r>
    <r>
      <rPr>
        <b val="true"/>
        <sz val="10"/>
        <rFont val="FreeSans"/>
        <family val="2"/>
      </rPr>
      <t xml:space="preserve">งานที่ดำเนินการในสัปดาห์นี้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</si>
  <si>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ผลงาน</t>
    </r>
  </si>
  <si>
    <t xml:space="preserve">คาดว่าเสร็จ</t>
  </si>
  <si>
    <r>
      <rPr>
        <b val="true"/>
        <sz val="10"/>
        <rFont val="Tahoma"/>
        <family val="0"/>
        <charset val="1"/>
      </rPr>
      <t xml:space="preserve">3.3 </t>
    </r>
    <r>
      <rPr>
        <b val="true"/>
        <sz val="10"/>
        <rFont val="FreeSans"/>
        <family val="2"/>
      </rPr>
      <t xml:space="preserve">แผนงานสัปดาห์หน้า</t>
    </r>
  </si>
  <si>
    <r>
      <rPr>
        <b val="true"/>
        <sz val="10"/>
        <color rgb="FFFFFFFF"/>
        <rFont val="Tahoma"/>
        <family val="0"/>
        <charset val="1"/>
      </rPr>
      <t xml:space="preserve">4. </t>
    </r>
    <r>
      <rPr>
        <b val="true"/>
        <sz val="10"/>
        <color rgb="FFFFFFFF"/>
        <rFont val="FreeSans"/>
        <family val="2"/>
      </rPr>
      <t xml:space="preserve">ข้อมูลการปฏิบัติงานในหน่วยงาน</t>
    </r>
  </si>
  <si>
    <t xml:space="preserve">จำนวนคนงานเฉลี่ย</t>
  </si>
  <si>
    <r>
      <rPr>
        <sz val="10"/>
        <rFont val="FreeSans"/>
        <family val="2"/>
      </rPr>
      <t xml:space="preserve">เครื่องจักร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เครื่องมือหลัก</t>
    </r>
  </si>
  <si>
    <r>
      <rPr>
        <sz val="10"/>
        <rFont val="FreeSans"/>
        <family val="2"/>
      </rPr>
      <t xml:space="preserve">วันทำงาน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วันหยุด</t>
    </r>
    <r>
      <rPr>
        <sz val="10"/>
        <rFont val="Tahoma"/>
        <family val="0"/>
        <charset val="1"/>
      </rPr>
      <t xml:space="preserve">-</t>
    </r>
    <r>
      <rPr>
        <sz val="10"/>
        <rFont val="FreeSans"/>
        <family val="2"/>
      </rPr>
      <t xml:space="preserve">ฝนตก</t>
    </r>
  </si>
  <si>
    <r>
      <rPr>
        <sz val="10"/>
        <rFont val="FreeSans"/>
        <family val="2"/>
      </rPr>
      <t xml:space="preserve">วัสดุเข้าหน่วยงาน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การทดสอบ</t>
    </r>
  </si>
  <si>
    <r>
      <rPr>
        <b val="true"/>
        <sz val="10"/>
        <color rgb="FFFFFFFF"/>
        <rFont val="Tahoma"/>
        <family val="0"/>
        <charset val="1"/>
      </rPr>
      <t xml:space="preserve">5. </t>
    </r>
    <r>
      <rPr>
        <b val="true"/>
        <sz val="10"/>
        <color rgb="FFFFFFFF"/>
        <rFont val="FreeSans"/>
        <family val="2"/>
      </rPr>
      <t xml:space="preserve">ปัญหา อุปสรรค และการขยายเวลา</t>
    </r>
  </si>
  <si>
    <r>
      <rPr>
        <b val="true"/>
        <sz val="10"/>
        <color rgb="FFFFFFFF"/>
        <rFont val="Tahoma"/>
        <family val="0"/>
        <charset val="1"/>
      </rPr>
      <t xml:space="preserve">6. </t>
    </r>
    <r>
      <rPr>
        <b val="true"/>
        <sz val="10"/>
        <color rgb="FFFFFFFF"/>
        <rFont val="FreeSans"/>
        <family val="2"/>
      </rPr>
      <t xml:space="preserve">ความเห็นของผู้ควบคุมงาน</t>
    </r>
  </si>
  <si>
    <t xml:space="preserve">          จึงเรียนมาเพื่อโปรดทราบ</t>
  </si>
  <si>
    <r>
      <rPr>
        <sz val="10"/>
        <rFont val="FreeSans"/>
        <family val="2"/>
      </rPr>
      <t xml:space="preserve">ลงชื่อ </t>
    </r>
    <r>
      <rPr>
        <sz val="10"/>
        <rFont val="Tahoma"/>
        <family val="0"/>
        <charset val="1"/>
      </rPr>
      <t xml:space="preserve">..........................................</t>
    </r>
  </si>
  <si>
    <r>
      <rPr>
        <b val="true"/>
        <sz val="10"/>
        <color rgb="FFFFFFFF"/>
        <rFont val="Tahoma"/>
        <family val="0"/>
        <charset val="1"/>
      </rPr>
      <t xml:space="preserve">7. </t>
    </r>
    <r>
      <rPr>
        <b val="true"/>
        <sz val="10"/>
        <color rgb="FFFFFFFF"/>
        <rFont val="FreeSans"/>
        <family val="2"/>
      </rPr>
      <t xml:space="preserve">ความเห็นของคณะกรรมการตรวจรับพัสดุ</t>
    </r>
  </si>
  <si>
    <r>
      <rPr>
        <sz val="10"/>
        <rFont val="FreeSans"/>
        <family val="2"/>
      </rPr>
      <t xml:space="preserve">☐ รับทราบ   ☐ ให้ผู้รับจ้างเร่งรัดงาน   ☐ อื่นๆ </t>
    </r>
    <r>
      <rPr>
        <sz val="10"/>
        <rFont val="Tahoma"/>
        <family val="0"/>
        <charset val="1"/>
      </rPr>
      <t xml:space="preserve">......................................................................................</t>
    </r>
  </si>
  <si>
    <r>
      <rPr>
        <sz val="9"/>
        <rFont val="FreeSans"/>
        <family val="2"/>
      </rPr>
      <t xml:space="preserve">ลงชื่อ </t>
    </r>
    <r>
      <rPr>
        <sz val="9"/>
        <rFont val="Tahoma"/>
        <family val="0"/>
        <charset val="1"/>
      </rPr>
      <t xml:space="preserve">.............................</t>
    </r>
  </si>
  <si>
    <t xml:space="preserve">ประธานกรรมการ</t>
  </si>
  <si>
    <t xml:space="preserve">กรรมการ</t>
  </si>
  <si>
    <r>
      <rPr>
        <sz val="9"/>
        <rFont val="FreeSans"/>
        <family val="2"/>
      </rPr>
      <t xml:space="preserve">วันที่ </t>
    </r>
    <r>
      <rPr>
        <sz val="9"/>
        <rFont val="Tahoma"/>
        <family val="0"/>
        <charset val="1"/>
      </rPr>
      <t xml:space="preserve">......./......./.......</t>
    </r>
  </si>
  <si>
    <r>
      <rPr>
        <i val="true"/>
        <sz val="8"/>
        <color rgb="FF808080"/>
        <rFont val="FreeSans"/>
        <family val="2"/>
      </rPr>
      <t xml:space="preserve">วิธีใส่รูป</t>
    </r>
    <r>
      <rPr>
        <i val="true"/>
        <sz val="8"/>
        <color rgb="FF808080"/>
        <rFont val="Tahoma"/>
        <family val="0"/>
        <charset val="1"/>
      </rPr>
      <t xml:space="preserve">: </t>
    </r>
    <r>
      <rPr>
        <i val="true"/>
        <sz val="8"/>
        <color rgb="FF808080"/>
        <rFont val="FreeSans"/>
        <family val="2"/>
      </rPr>
      <t xml:space="preserve">คลิกที่กรอบ → แทรก </t>
    </r>
    <r>
      <rPr>
        <i val="true"/>
        <sz val="8"/>
        <color rgb="FF808080"/>
        <rFont val="Tahoma"/>
        <family val="0"/>
        <charset val="1"/>
      </rPr>
      <t xml:space="preserve">(Insert) → </t>
    </r>
    <r>
      <rPr>
        <i val="true"/>
        <sz val="8"/>
        <color rgb="FF808080"/>
        <rFont val="FreeSans"/>
        <family val="2"/>
      </rPr>
      <t xml:space="preserve">รูปภาพ → ย่อขนาดให้พอดีกรอบ • พิมพ์คำอธิบายใต้รูปในช่องสีเหลือง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</si>
  <si>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1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</si>
  <si>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2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</si>
  <si>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3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</si>
  <si>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4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</si>
  <si>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5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</si>
  <si>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6</t>
    </r>
  </si>
  <si>
    <r>
      <rPr>
        <b val="true"/>
        <sz val="16"/>
        <color rgb="FF1F3864"/>
        <rFont val="FreeSans"/>
        <family val="2"/>
      </rPr>
      <t xml:space="preserve">ทะเบียนงานเพิ่ม</t>
    </r>
    <r>
      <rPr>
        <b val="true"/>
        <sz val="16"/>
        <color rgb="FF1F3864"/>
        <rFont val="Tahoma"/>
        <family val="0"/>
        <charset val="1"/>
      </rPr>
      <t xml:space="preserve">-</t>
    </r>
    <r>
      <rPr>
        <b val="true"/>
        <sz val="16"/>
        <color rgb="FF1F3864"/>
        <rFont val="FreeSans"/>
        <family val="2"/>
      </rPr>
      <t xml:space="preserve">ลด </t>
    </r>
    <r>
      <rPr>
        <b val="true"/>
        <sz val="16"/>
        <color rgb="FF1F3864"/>
        <rFont val="Tahoma"/>
        <family val="0"/>
        <charset val="1"/>
      </rPr>
      <t xml:space="preserve">/ Variation Order (VO) Register</t>
    </r>
  </si>
  <si>
    <r>
      <rPr>
        <i val="true"/>
        <sz val="9"/>
        <color rgb="FF595959"/>
        <rFont val="FreeSans"/>
        <family val="2"/>
      </rPr>
      <t xml:space="preserve">บันทึกการแก้ไขเปลี่ยนแปลงสัญญา • เฉพาะรายการ </t>
    </r>
    <r>
      <rPr>
        <i val="true"/>
        <sz val="9"/>
        <color rgb="FF595959"/>
        <rFont val="Tahoma"/>
        <family val="0"/>
        <charset val="1"/>
      </rPr>
      <t xml:space="preserve">'</t>
    </r>
    <r>
      <rPr>
        <i val="true"/>
        <sz val="9"/>
        <color rgb="FF595959"/>
        <rFont val="FreeSans"/>
        <family val="2"/>
      </rPr>
      <t xml:space="preserve">อนุมัติ</t>
    </r>
    <r>
      <rPr>
        <i val="true"/>
        <sz val="9"/>
        <color rgb="FF595959"/>
        <rFont val="Tahoma"/>
        <family val="0"/>
        <charset val="1"/>
      </rPr>
      <t xml:space="preserve">' </t>
    </r>
    <r>
      <rPr>
        <i val="true"/>
        <sz val="9"/>
        <color rgb="FF595959"/>
        <rFont val="FreeSans"/>
        <family val="2"/>
      </rPr>
      <t xml:space="preserve">จึงนำไปปรับมูลค่าสัญญา • มูลค่าสัญญาเดิม </t>
    </r>
    <r>
      <rPr>
        <i val="true"/>
        <sz val="9"/>
        <color rgb="FF595959"/>
        <rFont val="Tahoma"/>
        <family val="0"/>
        <charset val="1"/>
      </rPr>
      <t xml:space="preserve">(Baseline) </t>
    </r>
    <r>
      <rPr>
        <i val="true"/>
        <sz val="9"/>
        <color rgb="FF595959"/>
        <rFont val="FreeSans"/>
        <family val="2"/>
      </rPr>
      <t xml:space="preserve">ในชีตตั้งค่ายังคงไว้เพื่อวัดผล</t>
    </r>
  </si>
  <si>
    <r>
      <rPr>
        <b val="true"/>
        <sz val="9"/>
        <rFont val="FreeSans"/>
        <family val="2"/>
      </rPr>
      <t xml:space="preserve">มูลค่าสัญญาเดิม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บาท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</si>
  <si>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รอพิจารณา</t>
    </r>
    <r>
      <rPr>
        <b val="true"/>
        <sz val="9"/>
        <rFont val="Tahoma"/>
        <family val="0"/>
        <charset val="1"/>
      </rPr>
      <t xml:space="preserve">:</t>
    </r>
  </si>
  <si>
    <r>
      <rPr>
        <b val="true"/>
        <sz val="9"/>
        <rFont val="FreeSans"/>
        <family val="2"/>
      </rPr>
      <t xml:space="preserve">งานเพิ่มที่อนุมัติ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บาท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</si>
  <si>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ข้อควรทราบ</t>
    </r>
    <r>
      <rPr>
        <b val="true"/>
        <sz val="9"/>
        <rFont val="Tahoma"/>
        <family val="0"/>
        <charset val="1"/>
      </rPr>
      <t xml:space="preserve">:</t>
    </r>
  </si>
  <si>
    <r>
      <rPr>
        <i val="true"/>
        <sz val="8"/>
        <color rgb="FF595959"/>
        <rFont val="FreeSans"/>
        <family val="2"/>
      </rPr>
      <t xml:space="preserve">งานเพิ่มที่อนุมัติ ควรเพิ่มเป็นรายการใหม่ในชีตแผนงาน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พร้อมมูลค่า </t>
    </r>
    <r>
      <rPr>
        <i val="true"/>
        <sz val="8"/>
        <color rgb="FF595959"/>
        <rFont val="Tahoma"/>
        <family val="0"/>
        <charset val="1"/>
      </rPr>
      <t xml:space="preserve">BOQ </t>
    </r>
    <r>
      <rPr>
        <i val="true"/>
        <sz val="8"/>
        <color rgb="FF595959"/>
        <rFont val="FreeSans"/>
        <family val="2"/>
      </rPr>
      <t xml:space="preserve">และวันแผน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เพื่อให้ </t>
    </r>
    <r>
      <rPr>
        <i val="true"/>
        <sz val="8"/>
        <color rgb="FF595959"/>
        <rFont val="Tahoma"/>
        <family val="0"/>
        <charset val="1"/>
      </rPr>
      <t xml:space="preserve">S-Curve </t>
    </r>
    <r>
      <rPr>
        <i val="true"/>
        <sz val="8"/>
        <color rgb="FF595959"/>
        <rFont val="FreeSans"/>
        <family val="2"/>
      </rPr>
      <t xml:space="preserve">และผลงานรวมงานเพิ่มด้วย</t>
    </r>
  </si>
  <si>
    <r>
      <rPr>
        <b val="true"/>
        <sz val="9"/>
        <rFont val="FreeSans"/>
        <family val="2"/>
      </rPr>
      <t xml:space="preserve">งานลดที่อนุมัติ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บาท</t>
    </r>
    <r>
      <rPr>
        <b val="true"/>
        <sz val="9"/>
        <rFont val="Tahoma"/>
        <family val="0"/>
        <charset val="1"/>
      </rPr>
      <t xml:space="preserve">)</t>
    </r>
  </si>
  <si>
    <r>
      <rPr>
        <i val="true"/>
        <sz val="8"/>
        <color rgb="FF595959"/>
        <rFont val="FreeSans"/>
        <family val="2"/>
      </rPr>
      <t xml:space="preserve">ผลกระทบต่อระยะเวลา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ถ้ามี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ให้บันทึกขอขยายเวลาในชีต ขยายเวลา </t>
    </r>
    <r>
      <rPr>
        <i val="true"/>
        <sz val="8"/>
        <color rgb="FF595959"/>
        <rFont val="Tahoma"/>
        <family val="0"/>
        <charset val="1"/>
      </rPr>
      <t xml:space="preserve">EOT</t>
    </r>
  </si>
  <si>
    <r>
      <rPr>
        <b val="true"/>
        <sz val="9"/>
        <rFont val="FreeSans"/>
        <family val="2"/>
      </rPr>
      <t xml:space="preserve">มูลค่าสัญญาปัจจุบัน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บาท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</si>
  <si>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เปลี่ยนแปลงสุทธิ</t>
    </r>
  </si>
  <si>
    <r>
      <rPr>
        <b val="true"/>
        <sz val="9"/>
        <color rgb="FFFFFFFF"/>
        <rFont val="FreeSans"/>
        <family val="2"/>
      </rPr>
      <t xml:space="preserve">เลขที่ </t>
    </r>
    <r>
      <rPr>
        <b val="true"/>
        <sz val="9"/>
        <color rgb="FFFFFFFF"/>
        <rFont val="Tahoma"/>
        <family val="0"/>
        <charset val="1"/>
      </rPr>
      <t xml:space="preserve">VO /
</t>
    </r>
    <r>
      <rPr>
        <b val="true"/>
        <sz val="9"/>
        <color rgb="FFFFFFFF"/>
        <rFont val="FreeSans"/>
        <family val="2"/>
      </rPr>
      <t xml:space="preserve">หนังสือ</t>
    </r>
  </si>
  <si>
    <t xml:space="preserve">รายละเอียดงานที่เปลี่ยนแปลง</t>
  </si>
  <si>
    <r>
      <rPr>
        <b val="true"/>
        <sz val="9"/>
        <color rgb="FFFFFFFF"/>
        <rFont val="Tahoma"/>
        <family val="0"/>
        <charset val="1"/>
      </rPr>
      <t xml:space="preserve">WBS </t>
    </r>
    <r>
      <rPr>
        <b val="true"/>
        <sz val="9"/>
        <color rgb="FFFFFFFF"/>
        <rFont val="FreeSans"/>
        <family val="2"/>
      </rPr>
      <t xml:space="preserve">ที่
เกี่ยวข้อง</t>
    </r>
  </si>
  <si>
    <t xml:space="preserve">ประเภท</t>
  </si>
  <si>
    <r>
      <rPr>
        <b val="true"/>
        <sz val="9"/>
        <color rgb="FFFFFFFF"/>
        <rFont val="FreeSans"/>
        <family val="2"/>
      </rPr>
      <t xml:space="preserve">จำนวนเงินที่เสนอ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</si>
  <si>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ผลพิจารณา</t>
  </si>
  <si>
    <r>
      <rPr>
        <b val="true"/>
        <sz val="9"/>
        <color rgb="FFFFFFFF"/>
        <rFont val="FreeSans"/>
        <family val="2"/>
      </rPr>
      <t xml:space="preserve">จำนวนเงิน
ที่อนุมัติ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</si>
  <si>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วันที่
อนุมัติ</t>
  </si>
  <si>
    <r>
      <rPr>
        <b val="true"/>
        <sz val="9"/>
        <color rgb="FFFFFFFF"/>
        <rFont val="FreeSans"/>
        <family val="2"/>
      </rPr>
      <t xml:space="preserve">ผลต่อเวลา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</si>
  <si>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มูลค่าสุทธิ
เข้าสัญญา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</si>
  <si>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16"/>
        <color rgb="FF1F3864"/>
        <rFont val="FreeSans"/>
        <family val="2"/>
      </rPr>
      <t xml:space="preserve">คำนวณเงินงวด </t>
    </r>
    <r>
      <rPr>
        <b val="true"/>
        <sz val="16"/>
        <color rgb="FF1F3864"/>
        <rFont val="Tahoma"/>
        <family val="0"/>
        <charset val="1"/>
      </rPr>
      <t xml:space="preserve">/ Payment Certificate: </t>
    </r>
    <r>
      <rPr>
        <b val="true"/>
        <sz val="16"/>
        <color rgb="FF1F3864"/>
        <rFont val="FreeSans"/>
        <family val="2"/>
      </rPr>
      <t xml:space="preserve">เงินล่วงหน้า • เงินประกันผลงาน • ค่า </t>
    </r>
    <r>
      <rPr>
        <b val="true"/>
        <sz val="16"/>
        <color rgb="FF1F3864"/>
        <rFont val="Tahoma"/>
        <family val="0"/>
        <charset val="1"/>
      </rPr>
      <t xml:space="preserve">K</t>
    </r>
  </si>
  <si>
    <r>
      <rPr>
        <i val="true"/>
        <sz val="9"/>
        <color rgb="FF595959"/>
        <rFont val="FreeSans"/>
        <family val="2"/>
      </rPr>
      <t xml:space="preserve">ดึงงวดงานจากชีต งวดงาน </t>
    </r>
    <r>
      <rPr>
        <i val="true"/>
        <sz val="9"/>
        <color rgb="FF595959"/>
        <rFont val="Tahoma"/>
        <family val="0"/>
        <charset val="1"/>
      </rPr>
      <t xml:space="preserve">Installments • </t>
    </r>
    <r>
      <rPr>
        <i val="true"/>
        <sz val="9"/>
        <color rgb="FF595959"/>
        <rFont val="FreeSans"/>
        <family val="2"/>
      </rPr>
      <t xml:space="preserve">กรอกดัชนีราคาเดือนส่งมอบงาน </t>
    </r>
    <r>
      <rPr>
        <i val="true"/>
        <sz val="9"/>
        <color rgb="FF595959"/>
        <rFont val="Tahoma"/>
        <family val="0"/>
        <charset val="1"/>
      </rPr>
      <t xml:space="preserve">(It) </t>
    </r>
    <r>
      <rPr>
        <i val="true"/>
        <sz val="9"/>
        <color rgb="FF595959"/>
        <rFont val="FreeSans"/>
        <family val="2"/>
      </rPr>
      <t xml:space="preserve">เพื่อคำนวณค่า </t>
    </r>
    <r>
      <rPr>
        <i val="true"/>
        <sz val="9"/>
        <color rgb="FF595959"/>
        <rFont val="Tahoma"/>
        <family val="0"/>
        <charset val="1"/>
      </rPr>
      <t xml:space="preserve">K • </t>
    </r>
    <r>
      <rPr>
        <i val="true"/>
        <sz val="9"/>
        <color rgb="FF595959"/>
        <rFont val="FreeSans"/>
        <family val="2"/>
      </rPr>
      <t xml:space="preserve">ตรวจสอบอัตราทั้งหมดกับเงื่อนไขในสัญญา</t>
    </r>
  </si>
  <si>
    <t xml:space="preserve">เงื่อนไขสัญญา</t>
  </si>
  <si>
    <t xml:space="preserve">ค่า</t>
  </si>
  <si>
    <r>
      <rPr>
        <b val="true"/>
        <sz val="9"/>
        <color rgb="FFFFFFFF"/>
        <rFont val="FreeSans"/>
        <family val="2"/>
      </rPr>
      <t xml:space="preserve">สูตรค่า </t>
    </r>
    <r>
      <rPr>
        <b val="true"/>
        <sz val="9"/>
        <color rgb="FFFFFFFF"/>
        <rFont val="Tahoma"/>
        <family val="0"/>
        <charset val="1"/>
      </rPr>
      <t xml:space="preserve">K</t>
    </r>
  </si>
  <si>
    <t xml:space="preserve">สัมประสิทธิ์</t>
  </si>
  <si>
    <r>
      <rPr>
        <b val="true"/>
        <sz val="9"/>
        <color rgb="FFFFFFFF"/>
        <rFont val="Tahoma"/>
        <family val="0"/>
        <charset val="1"/>
      </rPr>
      <t xml:space="preserve">Io (</t>
    </r>
    <r>
      <rPr>
        <b val="true"/>
        <sz val="9"/>
        <color rgb="FFFFFFFF"/>
        <rFont val="FreeSans"/>
        <family val="2"/>
      </rPr>
      <t xml:space="preserve">ฐาน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</si>
  <si>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ดัชนี</t>
  </si>
  <si>
    <t xml:space="preserve">สรุป</t>
  </si>
  <si>
    <t xml:space="preserve">บาท</t>
  </si>
  <si>
    <r>
      <rPr>
        <sz val="9"/>
        <rFont val="FreeSans"/>
        <family val="2"/>
      </rPr>
      <t xml:space="preserve">มูลค่าสัญญาปัจจุบัน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รวม </t>
    </r>
    <r>
      <rPr>
        <sz val="9"/>
        <rFont val="Tahoma"/>
        <family val="0"/>
        <charset val="1"/>
      </rPr>
      <t xml:space="preserve">VO </t>
    </r>
    <r>
      <rPr>
        <sz val="9"/>
        <rFont val="FreeSans"/>
        <family val="2"/>
      </rPr>
      <t xml:space="preserve">อนุมัติ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</si>
  <si>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ค่าคงที่ </t>
    </r>
    <r>
      <rPr>
        <sz val="9"/>
        <rFont val="Tahoma"/>
        <family val="0"/>
        <charset val="1"/>
      </rPr>
      <t xml:space="preserve">a</t>
    </r>
  </si>
  <si>
    <r>
      <rPr>
        <sz val="9"/>
        <rFont val="FreeSans"/>
        <family val="2"/>
      </rPr>
      <t xml:space="preserve">เงินล่วงหน้าคงเหลือ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หลังงวดที่ตรวจรับแล้ว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</si>
  <si>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เงินล่วงหน้า </t>
    </r>
    <r>
      <rPr>
        <sz val="9"/>
        <rFont val="Tahoma"/>
        <family val="0"/>
        <charset val="1"/>
      </rPr>
      <t xml:space="preserve">(% </t>
    </r>
    <r>
      <rPr>
        <sz val="9"/>
        <rFont val="FreeSans"/>
        <family val="2"/>
      </rPr>
      <t xml:space="preserve">ของสัญญาเดิม</t>
    </r>
    <r>
      <rPr>
        <sz val="9"/>
        <rFont val="Tahoma"/>
        <family val="0"/>
        <charset val="1"/>
      </rPr>
      <t xml:space="preserve">)</t>
    </r>
  </si>
  <si>
    <t xml:space="preserve">It/Io</t>
  </si>
  <si>
    <t xml:space="preserve">ดัชนีราคาผู้บริโภคทั่วไป</t>
  </si>
  <si>
    <r>
      <rPr>
        <sz val="9"/>
        <rFont val="FreeSans"/>
        <family val="2"/>
      </rPr>
      <t xml:space="preserve">เงินประกันผลงานที่ถูกหักแล้ว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งวดที่ตรวจรับแล้ว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</si>
  <si>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จำนวนเงินล่วงหน้าที่รับ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)</t>
    </r>
  </si>
  <si>
    <t xml:space="preserve">Ct/Co</t>
  </si>
  <si>
    <t xml:space="preserve">ดัชนีราคาซีเมนต์</t>
  </si>
  <si>
    <r>
      <rPr>
        <sz val="9"/>
        <rFont val="FreeSans"/>
        <family val="2"/>
      </rPr>
      <t xml:space="preserve">ยอดจ่ายสุทธิสะสม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งวดที่ตรวจรับแล้ว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</si>
  <si>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หักเงินประกันผลงาน </t>
    </r>
    <r>
      <rPr>
        <sz val="9"/>
        <rFont val="Tahoma"/>
        <family val="0"/>
        <charset val="1"/>
      </rPr>
      <t xml:space="preserve">(% </t>
    </r>
    <r>
      <rPr>
        <sz val="9"/>
        <rFont val="FreeSans"/>
        <family val="2"/>
      </rPr>
      <t xml:space="preserve">ต่องวด</t>
    </r>
    <r>
      <rPr>
        <sz val="9"/>
        <rFont val="Tahoma"/>
        <family val="0"/>
        <charset val="1"/>
      </rPr>
      <t xml:space="preserve">)</t>
    </r>
  </si>
  <si>
    <t xml:space="preserve">Mt/Mo</t>
  </si>
  <si>
    <t xml:space="preserve">ดัชนีราคาวัสดุก่อสร้าง</t>
  </si>
  <si>
    <r>
      <rPr>
        <sz val="9"/>
        <rFont val="FreeSans"/>
        <family val="2"/>
      </rPr>
      <t xml:space="preserve">เกณฑ์ค่า </t>
    </r>
    <r>
      <rPr>
        <sz val="9"/>
        <rFont val="Tahoma"/>
        <family val="0"/>
        <charset val="1"/>
      </rPr>
      <t xml:space="preserve">K (</t>
    </r>
    <r>
      <rPr>
        <sz val="9"/>
        <rFont val="FreeSans"/>
        <family val="2"/>
      </rPr>
      <t xml:space="preserve">คิดเฉพาะส่วนที่เกิน </t>
    </r>
    <r>
      <rPr>
        <sz val="9"/>
        <rFont val="Tahoma"/>
        <family val="0"/>
        <charset val="1"/>
      </rPr>
      <t xml:space="preserve">±)</t>
    </r>
  </si>
  <si>
    <t xml:space="preserve">St/So</t>
  </si>
  <si>
    <t xml:space="preserve">ดัชนีราคาเหล็ก</t>
  </si>
  <si>
    <r>
      <rPr>
        <sz val="9"/>
        <rFont val="FreeSans"/>
        <family val="2"/>
      </rPr>
      <t xml:space="preserve">ใช้ค่า </t>
    </r>
    <r>
      <rPr>
        <sz val="9"/>
        <rFont val="Tahoma"/>
        <family val="0"/>
        <charset val="1"/>
      </rPr>
      <t xml:space="preserve">K </t>
    </r>
    <r>
      <rPr>
        <sz val="9"/>
        <rFont val="FreeSans"/>
        <family val="2"/>
      </rPr>
      <t xml:space="preserve">ในสัญญานี้หรือไม่</t>
    </r>
  </si>
  <si>
    <t xml:space="preserve">ใช้</t>
  </si>
  <si>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ว่าง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</si>
  <si>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ผลรวมสัมประสิทธิ์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ต้อง </t>
    </r>
    <r>
      <rPr>
        <sz val="9"/>
        <rFont val="Tahoma"/>
        <family val="0"/>
        <charset val="1"/>
      </rPr>
      <t xml:space="preserve">= 1.00)</t>
    </r>
  </si>
  <si>
    <r>
      <rPr>
        <i val="true"/>
        <sz val="8"/>
        <color rgb="FFC00000"/>
        <rFont val="FreeSans"/>
        <family val="2"/>
      </rPr>
      <t xml:space="preserve">ตัวอย่างสูตรงานอาคาร </t>
    </r>
    <r>
      <rPr>
        <i val="true"/>
        <sz val="8"/>
        <color rgb="FFC00000"/>
        <rFont val="Tahoma"/>
        <family val="0"/>
        <charset val="1"/>
      </rPr>
      <t xml:space="preserve">K = 0.25 + 0.15It/Io + 0.10Ct/Co + 0.40Mt/Mo + 0.10St/So • Io = </t>
    </r>
    <r>
      <rPr>
        <i val="true"/>
        <sz val="8"/>
        <color rgb="FFC00000"/>
        <rFont val="FreeSans"/>
        <family val="2"/>
      </rPr>
      <t xml:space="preserve">ดัชนีเดือนเปิดซอง • ต้องใช้สูตรตามที่ระบุในสัญญา</t>
    </r>
  </si>
  <si>
    <r>
      <rPr>
        <b val="true"/>
        <sz val="9"/>
        <color rgb="FFFFFFFF"/>
        <rFont val="FreeSans"/>
        <family val="2"/>
      </rPr>
      <t xml:space="preserve">วันที่ส่งมอบ
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ตรวจรับ</t>
    </r>
  </si>
  <si>
    <t xml:space="preserve">จำนวนเงิน
ตามสัญญา</t>
  </si>
  <si>
    <r>
      <rPr>
        <b val="true"/>
        <sz val="9"/>
        <color rgb="FFFFFFFF"/>
        <rFont val="Tahoma"/>
        <family val="0"/>
        <charset val="1"/>
      </rPr>
      <t xml:space="preserve">VO </t>
    </r>
    <r>
      <rPr>
        <b val="true"/>
        <sz val="9"/>
        <color rgb="FFFFFFFF"/>
        <rFont val="FreeSans"/>
        <family val="2"/>
      </rPr>
      <t xml:space="preserve">ที่รวม
ในงวดนี้</t>
    </r>
  </si>
  <si>
    <t xml:space="preserve">มูลค่างานงวด</t>
  </si>
  <si>
    <t xml:space="preserve">It1</t>
  </si>
  <si>
    <t xml:space="preserve">It2</t>
  </si>
  <si>
    <t xml:space="preserve">It3</t>
  </si>
  <si>
    <t xml:space="preserve">It4</t>
  </si>
  <si>
    <t xml:space="preserve">It5</t>
  </si>
  <si>
    <r>
      <rPr>
        <b val="true"/>
        <sz val="9"/>
        <color rgb="FFFFFFFF"/>
        <rFont val="FreeSans"/>
        <family val="2"/>
      </rPr>
      <t xml:space="preserve">ค่า </t>
    </r>
    <r>
      <rPr>
        <b val="true"/>
        <sz val="9"/>
        <color rgb="FFFFFFFF"/>
        <rFont val="Tahoma"/>
        <family val="0"/>
        <charset val="1"/>
      </rPr>
      <t xml:space="preserve">K</t>
    </r>
  </si>
  <si>
    <r>
      <rPr>
        <b val="true"/>
        <sz val="9"/>
        <color rgb="FFFFFFFF"/>
        <rFont val="FreeSans"/>
        <family val="2"/>
      </rPr>
      <t xml:space="preserve">เงินเพิ่ม</t>
    </r>
    <r>
      <rPr>
        <b val="true"/>
        <sz val="9"/>
        <color rgb="FFFFFFFF"/>
        <rFont val="Tahoma"/>
        <family val="0"/>
        <charset val="1"/>
      </rPr>
      <t xml:space="preserve">(+)/</t>
    </r>
    <r>
      <rPr>
        <b val="true"/>
        <sz val="9"/>
        <color rgb="FFFFFFFF"/>
        <rFont val="FreeSans"/>
        <family val="2"/>
      </rPr>
      <t xml:space="preserve">ลด</t>
    </r>
    <r>
      <rPr>
        <b val="true"/>
        <sz val="9"/>
        <color rgb="FFFFFFFF"/>
        <rFont val="Tahoma"/>
        <family val="0"/>
        <charset val="1"/>
      </rPr>
      <t xml:space="preserve">(−)
</t>
    </r>
    <r>
      <rPr>
        <b val="true"/>
        <sz val="9"/>
        <color rgb="FFFFFFFF"/>
        <rFont val="FreeSans"/>
        <family val="2"/>
      </rPr>
      <t xml:space="preserve">ค่า </t>
    </r>
    <r>
      <rPr>
        <b val="true"/>
        <sz val="9"/>
        <color rgb="FFFFFFFF"/>
        <rFont val="Tahoma"/>
        <family val="0"/>
        <charset val="1"/>
      </rPr>
      <t xml:space="preserve">K</t>
    </r>
  </si>
  <si>
    <t xml:space="preserve">หักเงิน
ล่วงหน้า</t>
  </si>
  <si>
    <t xml:space="preserve">หักเงินประกัน
ผลงาน</t>
  </si>
  <si>
    <t xml:space="preserve">หักค่าปรับ</t>
  </si>
  <si>
    <t xml:space="preserve">ยอดจ่ายสุทธิ</t>
  </si>
  <si>
    <t xml:space="preserve">สถานะงวด</t>
  </si>
  <si>
    <t xml:space="preserve">รวม</t>
  </si>
  <si>
    <r>
      <rPr>
        <i val="true"/>
        <sz val="8"/>
        <color rgb="FF808080"/>
        <rFont val="FreeSans"/>
        <family val="2"/>
      </rPr>
      <t xml:space="preserve">สูตร</t>
    </r>
    <r>
      <rPr>
        <i val="true"/>
        <sz val="8"/>
        <color rgb="FF808080"/>
        <rFont val="Tahoma"/>
        <family val="0"/>
        <charset val="1"/>
      </rPr>
      <t xml:space="preserve">: </t>
    </r>
    <r>
      <rPr>
        <i val="true"/>
        <sz val="8"/>
        <color rgb="FF808080"/>
        <rFont val="FreeSans"/>
        <family val="2"/>
      </rPr>
      <t xml:space="preserve">ค่า </t>
    </r>
    <r>
      <rPr>
        <i val="true"/>
        <sz val="8"/>
        <color rgb="FF808080"/>
        <rFont val="Tahoma"/>
        <family val="0"/>
        <charset val="1"/>
      </rPr>
      <t xml:space="preserve">K </t>
    </r>
    <r>
      <rPr>
        <i val="true"/>
        <sz val="8"/>
        <color rgb="FF808080"/>
        <rFont val="FreeSans"/>
        <family val="2"/>
      </rPr>
      <t xml:space="preserve">เงินเพิ่ม</t>
    </r>
    <r>
      <rPr>
        <i val="true"/>
        <sz val="8"/>
        <color rgb="FF808080"/>
        <rFont val="Tahoma"/>
        <family val="0"/>
        <charset val="1"/>
      </rPr>
      <t xml:space="preserve">/</t>
    </r>
    <r>
      <rPr>
        <i val="true"/>
        <sz val="8"/>
        <color rgb="FF808080"/>
        <rFont val="FreeSans"/>
        <family val="2"/>
      </rPr>
      <t xml:space="preserve">ลด </t>
    </r>
    <r>
      <rPr>
        <i val="true"/>
        <sz val="8"/>
        <color rgb="FF808080"/>
        <rFont val="Tahoma"/>
        <family val="0"/>
        <charset val="1"/>
      </rPr>
      <t xml:space="preserve">= </t>
    </r>
    <r>
      <rPr>
        <i val="true"/>
        <sz val="8"/>
        <color rgb="FF808080"/>
        <rFont val="FreeSans"/>
        <family val="2"/>
      </rPr>
      <t xml:space="preserve">มูลค่างานงวด </t>
    </r>
    <r>
      <rPr>
        <i val="true"/>
        <sz val="8"/>
        <color rgb="FF808080"/>
        <rFont val="Tahoma"/>
        <family val="0"/>
        <charset val="1"/>
      </rPr>
      <t xml:space="preserve">× (K − 1 ∓ </t>
    </r>
    <r>
      <rPr>
        <i val="true"/>
        <sz val="8"/>
        <color rgb="FF808080"/>
        <rFont val="FreeSans"/>
        <family val="2"/>
      </rPr>
      <t xml:space="preserve">เกณฑ์</t>
    </r>
    <r>
      <rPr>
        <i val="true"/>
        <sz val="8"/>
        <color rgb="FF808080"/>
        <rFont val="Tahoma"/>
        <family val="0"/>
        <charset val="1"/>
      </rPr>
      <t xml:space="preserve">) </t>
    </r>
    <r>
      <rPr>
        <i val="true"/>
        <sz val="8"/>
        <color rgb="FF808080"/>
        <rFont val="FreeSans"/>
        <family val="2"/>
      </rPr>
      <t xml:space="preserve">เฉพาะเมื่อ </t>
    </r>
    <r>
      <rPr>
        <i val="true"/>
        <sz val="8"/>
        <color rgb="FF808080"/>
        <rFont val="Tahoma"/>
        <family val="0"/>
        <charset val="1"/>
      </rPr>
      <t xml:space="preserve">K </t>
    </r>
    <r>
      <rPr>
        <i val="true"/>
        <sz val="8"/>
        <color rgb="FF808080"/>
        <rFont val="FreeSans"/>
        <family val="2"/>
      </rPr>
      <t xml:space="preserve">เปลี่ยนเกินเกณฑ์ • หักเงินล่วงหน้าตามสัดส่วน </t>
    </r>
    <r>
      <rPr>
        <i val="true"/>
        <sz val="8"/>
        <color rgb="FF808080"/>
        <rFont val="Tahoma"/>
        <family val="0"/>
        <charset val="1"/>
      </rPr>
      <t xml:space="preserve">= </t>
    </r>
    <r>
      <rPr>
        <i val="true"/>
        <sz val="8"/>
        <color rgb="FF808080"/>
        <rFont val="FreeSans"/>
        <family val="2"/>
      </rPr>
      <t xml:space="preserve">มูลค่างานงวด </t>
    </r>
    <r>
      <rPr>
        <i val="true"/>
        <sz val="8"/>
        <color rgb="FF808080"/>
        <rFont val="Tahoma"/>
        <family val="0"/>
        <charset val="1"/>
      </rPr>
      <t xml:space="preserve">× % </t>
    </r>
    <r>
      <rPr>
        <i val="true"/>
        <sz val="8"/>
        <color rgb="FF808080"/>
        <rFont val="FreeSans"/>
        <family val="2"/>
      </rPr>
      <t xml:space="preserve">เงินล่วงหน้า • ยอดสุทธิยังไม่รวมภาษีมูลค่าเพิ่ม</t>
    </r>
    <r>
      <rPr>
        <i val="true"/>
        <sz val="8"/>
        <color rgb="FF808080"/>
        <rFont val="Tahoma"/>
        <family val="0"/>
        <charset val="1"/>
      </rPr>
      <t xml:space="preserve">/</t>
    </r>
    <r>
      <rPr>
        <i val="true"/>
        <sz val="8"/>
        <color rgb="FF808080"/>
        <rFont val="FreeSans"/>
        <family val="2"/>
      </rPr>
      <t xml:space="preserve">ภาษีหัก ณ ที่จ่าย – ปรับตามสัญญาและระเบียบของหน่วยงาน</t>
    </r>
  </si>
  <si>
    <r>
      <rPr>
        <b val="true"/>
        <sz val="16"/>
        <color rgb="FF1F3864"/>
        <rFont val="FreeSans"/>
        <family val="2"/>
      </rPr>
      <t xml:space="preserve">ทะเบียนขออนุมัติวัสดุ </t>
    </r>
    <r>
      <rPr>
        <b val="true"/>
        <sz val="16"/>
        <color rgb="FF1F3864"/>
        <rFont val="Tahoma"/>
        <family val="0"/>
        <charset val="1"/>
      </rPr>
      <t xml:space="preserve">/ Material Submittal Register (</t>
    </r>
    <r>
      <rPr>
        <b val="true"/>
        <sz val="16"/>
        <color rgb="FF1F3864"/>
        <rFont val="FreeSans"/>
        <family val="2"/>
      </rPr>
      <t xml:space="preserve">เชื่อมกับแผนงาน</t>
    </r>
    <r>
      <rPr>
        <b val="true"/>
        <sz val="16"/>
        <color rgb="FF1F3864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</si>
  <si>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เลือก </t>
    </r>
    <r>
      <rPr>
        <i val="true"/>
        <sz val="9"/>
        <color rgb="FF595959"/>
        <rFont val="Tahoma"/>
        <family val="0"/>
        <charset val="1"/>
      </rPr>
      <t xml:space="preserve">WBS </t>
    </r>
    <r>
      <rPr>
        <i val="true"/>
        <sz val="9"/>
        <color rgb="FF595959"/>
        <rFont val="FreeSans"/>
        <family val="2"/>
      </rPr>
      <t xml:space="preserve">ที่ใช้วัสดุ → ระบบดึงวันเริ่มงาน แล้วคำนวณวันที่ต้องได้รับอนุมัติ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วันเริ่มงาน − ระยะเวลาสั่งผลิต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</rPr>
      <t xml:space="preserve">จัดส่ง • ผลตรวจจากแอปเช็คลิสต์วัสดุ กฟภ</t>
    </r>
    <r>
      <rPr>
        <i val="true"/>
        <sz val="9"/>
        <color rgb="FF595959"/>
        <rFont val="Tahoma"/>
        <family val="0"/>
        <charset val="1"/>
      </rPr>
      <t xml:space="preserve">. </t>
    </r>
    <r>
      <rPr>
        <i val="true"/>
        <sz val="9"/>
        <color rgb="FF595959"/>
        <rFont val="FreeSans"/>
        <family val="2"/>
      </rPr>
      <t xml:space="preserve">ใส่ในคอลัมน์ผลตรวจ </t>
    </r>
    <r>
      <rPr>
        <i val="true"/>
        <sz val="9"/>
        <color rgb="FF595959"/>
        <rFont val="Tahoma"/>
        <family val="0"/>
        <charset val="1"/>
      </rPr>
      <t xml:space="preserve">AI</t>
    </r>
  </si>
  <si>
    <t xml:space="preserve">ทั้งหมด</t>
  </si>
  <si>
    <t xml:space="preserve">อนุมัติ</t>
  </si>
  <si>
    <r>
      <rPr>
        <b val="true"/>
        <sz val="9"/>
        <color rgb="FF595959"/>
        <rFont val="FreeSans"/>
        <family val="2"/>
      </rPr>
      <t xml:space="preserve">รอพิจารณา </t>
    </r>
    <r>
      <rPr>
        <b val="true"/>
        <sz val="9"/>
        <color rgb="FF595959"/>
        <rFont val="Tahoma"/>
        <family val="0"/>
        <charset val="1"/>
      </rPr>
      <t xml:space="preserve">/ </t>
    </r>
    <r>
      <rPr>
        <b val="true"/>
        <sz val="9"/>
        <color rgb="FF595959"/>
        <rFont val="FreeSans"/>
        <family val="2"/>
      </rPr>
      <t xml:space="preserve">ขอเอกสารเพิ่ม</t>
    </r>
  </si>
  <si>
    <t xml:space="preserve">ไม่อนุมัติ</t>
  </si>
  <si>
    <t xml:space="preserve">⚠ เสี่ยงกระทบแผนงาน</t>
  </si>
  <si>
    <r>
      <rPr>
        <i val="true"/>
        <sz val="9"/>
        <color rgb="FF595959"/>
        <rFont val="FreeSans"/>
        <family val="2"/>
      </rPr>
      <t xml:space="preserve">ลำดับการใช้งาน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ตรวจสเปกด้วยแอปเช็คลิสต์วัสดุ กฟภ</t>
    </r>
    <r>
      <rPr>
        <i val="true"/>
        <sz val="9"/>
        <color rgb="FF595959"/>
        <rFont val="Tahoma"/>
        <family val="0"/>
        <charset val="1"/>
      </rPr>
      <t xml:space="preserve">. → </t>
    </r>
    <r>
      <rPr>
        <i val="true"/>
        <sz val="9"/>
        <color rgb="FF595959"/>
        <rFont val="FreeSans"/>
        <family val="2"/>
      </rPr>
      <t xml:space="preserve">บันทึกผลลงทะเบียนนี้ → ติดตามจนได้รับอนุมัติก่อนวันที่กำหนด</t>
    </r>
  </si>
  <si>
    <t xml:space="preserve">เลขที่เอกสาร
ขออนุมัติ</t>
  </si>
  <si>
    <t xml:space="preserve">หมวดตามรายการ
ประกอบแบบ</t>
  </si>
  <si>
    <t xml:space="preserve">รายการวัสดุ</t>
  </si>
  <si>
    <r>
      <rPr>
        <b val="true"/>
        <sz val="9"/>
        <color rgb="FFFFFFFF"/>
        <rFont val="FreeSans"/>
        <family val="2"/>
      </rPr>
      <t xml:space="preserve">ยี่ห้อ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รุ่น
ที่เสนอ</t>
    </r>
  </si>
  <si>
    <r>
      <rPr>
        <b val="true"/>
        <sz val="9"/>
        <color rgb="FFFFFFFF"/>
        <rFont val="Tahoma"/>
        <family val="0"/>
        <charset val="1"/>
      </rPr>
      <t xml:space="preserve">WBS
</t>
    </r>
    <r>
      <rPr>
        <b val="true"/>
        <sz val="9"/>
        <color rgb="FFFFFFFF"/>
        <rFont val="FreeSans"/>
        <family val="2"/>
      </rPr>
      <t xml:space="preserve">ที่ใช้วัสดุ</t>
    </r>
  </si>
  <si>
    <t xml:space="preserve">เริ่มงาน
ตามแผน</t>
  </si>
  <si>
    <r>
      <rPr>
        <b val="true"/>
        <sz val="9"/>
        <color rgb="FFFFFFFF"/>
        <rFont val="FreeSans"/>
        <family val="2"/>
      </rPr>
      <t xml:space="preserve">ระยะเวลา
สั่งผลิต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</si>
  <si>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ต้องอนุมัติ
ภายใน</t>
  </si>
  <si>
    <t xml:space="preserve">วันที่ยื่น</t>
  </si>
  <si>
    <r>
      <rPr>
        <b val="true"/>
        <sz val="9"/>
        <color rgb="FFFFFFFF"/>
        <rFont val="FreeSans"/>
        <family val="2"/>
      </rPr>
      <t xml:space="preserve">ผลตรวจ </t>
    </r>
    <r>
      <rPr>
        <b val="true"/>
        <sz val="9"/>
        <color rgb="FFFFFFFF"/>
        <rFont val="Tahoma"/>
        <family val="0"/>
        <charset val="1"/>
      </rPr>
      <t xml:space="preserve">AI
(</t>
    </r>
    <r>
      <rPr>
        <b val="true"/>
        <sz val="9"/>
        <color rgb="FFFFFFFF"/>
        <rFont val="FreeSans"/>
        <family val="2"/>
      </rPr>
      <t xml:space="preserve">จากแอป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</si>
  <si>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สถานะความเสี่ยง</t>
  </si>
  <si>
    <r>
      <rPr>
        <b val="true"/>
        <sz val="16"/>
        <color rgb="FF1F3864"/>
        <rFont val="FreeSans"/>
        <family val="2"/>
      </rPr>
      <t xml:space="preserve">แผนงานและผลการดำเนินงาน </t>
    </r>
    <r>
      <rPr>
        <b val="true"/>
        <sz val="16"/>
        <color rgb="FF1F3864"/>
        <rFont val="Tahoma"/>
        <family val="0"/>
        <charset val="1"/>
      </rPr>
      <t xml:space="preserve">/ Schedule &amp; Progress (WBS)</t>
    </r>
  </si>
  <si>
    <r>
      <rPr>
        <i val="true"/>
        <sz val="9"/>
        <color rgb="FF595959"/>
        <rFont val="Tahoma"/>
        <family val="0"/>
        <charset val="1"/>
      </rPr>
      <t xml:space="preserve">Baseline = </t>
    </r>
    <r>
      <rPr>
        <i val="true"/>
        <sz val="9"/>
        <color rgb="FF595959"/>
        <rFont val="FreeSans"/>
        <family val="2"/>
      </rPr>
      <t xml:space="preserve">แผนตามสัญญา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ห้ามแก้หลังอนุมัติ</t>
    </r>
    <r>
      <rPr>
        <i val="true"/>
        <sz val="9"/>
        <color rgb="FF595959"/>
        <rFont val="Tahoma"/>
        <family val="0"/>
        <charset val="1"/>
      </rPr>
      <t xml:space="preserve">) • Revised = </t>
    </r>
    <r>
      <rPr>
        <i val="true"/>
        <sz val="9"/>
        <color rgb="FF595959"/>
        <rFont val="FreeSans"/>
        <family val="2"/>
      </rPr>
      <t xml:space="preserve">แผนเร่งรัด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ไม่บังคับ</t>
    </r>
    <r>
      <rPr>
        <i val="true"/>
        <sz val="9"/>
        <color rgb="FF595959"/>
        <rFont val="Tahoma"/>
        <family val="0"/>
        <charset val="1"/>
      </rPr>
      <t xml:space="preserve">) • Actual = </t>
    </r>
    <r>
      <rPr>
        <i val="true"/>
        <sz val="9"/>
        <color rgb="FF595959"/>
        <rFont val="FreeSans"/>
        <family val="2"/>
      </rPr>
      <t xml:space="preserve">ผลงานจริง • </t>
    </r>
    <r>
      <rPr>
        <i val="true"/>
        <sz val="9"/>
        <color rgb="FF595959"/>
        <rFont val="Tahoma"/>
        <family val="0"/>
        <charset val="1"/>
      </rPr>
      <t xml:space="preserve">Gantt: </t>
    </r>
    <r>
      <rPr>
        <i val="true"/>
        <sz val="9"/>
        <color rgb="FF595959"/>
        <rFont val="FreeSans"/>
        <family val="2"/>
      </rPr>
      <t xml:space="preserve">ฟ้า</t>
    </r>
    <r>
      <rPr>
        <i val="true"/>
        <sz val="9"/>
        <color rgb="FF595959"/>
        <rFont val="Tahoma"/>
        <family val="0"/>
        <charset val="1"/>
      </rPr>
      <t xml:space="preserve">=Baseline  </t>
    </r>
    <r>
      <rPr>
        <i val="true"/>
        <sz val="9"/>
        <color rgb="FF595959"/>
        <rFont val="FreeSans"/>
        <family val="2"/>
      </rPr>
      <t xml:space="preserve">ส้ม</t>
    </r>
    <r>
      <rPr>
        <i val="true"/>
        <sz val="9"/>
        <color rgb="FF595959"/>
        <rFont val="Tahoma"/>
        <family val="0"/>
        <charset val="1"/>
      </rPr>
      <t xml:space="preserve">=Actual  </t>
    </r>
    <r>
      <rPr>
        <i val="true"/>
        <sz val="9"/>
        <color rgb="FF595959"/>
        <rFont val="FreeSans"/>
        <family val="2"/>
      </rPr>
      <t xml:space="preserve">เขียว</t>
    </r>
    <r>
      <rPr>
        <i val="true"/>
        <sz val="9"/>
        <color rgb="FF595959"/>
        <rFont val="Tahoma"/>
        <family val="0"/>
        <charset val="1"/>
      </rPr>
      <t xml:space="preserve">=Actual </t>
    </r>
    <r>
      <rPr>
        <i val="true"/>
        <sz val="9"/>
        <color rgb="FF595959"/>
        <rFont val="FreeSans"/>
        <family val="2"/>
      </rPr>
      <t xml:space="preserve">ตรงช่วง </t>
    </r>
    <r>
      <rPr>
        <i val="true"/>
        <sz val="9"/>
        <color rgb="FF595959"/>
        <rFont val="Tahoma"/>
        <family val="0"/>
        <charset val="1"/>
      </rPr>
      <t xml:space="preserve">Baseline</t>
    </r>
  </si>
  <si>
    <t xml:space="preserve">Status Date:</t>
  </si>
  <si>
    <r>
      <rPr>
        <b val="true"/>
        <sz val="9"/>
        <color rgb="FFFFFFFF"/>
        <rFont val="FreeSans"/>
        <family val="2"/>
      </rPr>
      <t xml:space="preserve">รายการงาน </t>
    </r>
    <r>
      <rPr>
        <b val="true"/>
        <sz val="9"/>
        <color rgb="FFFFFFFF"/>
        <rFont val="Tahoma"/>
        <family val="0"/>
        <charset val="1"/>
      </rPr>
      <t xml:space="preserve">/ WORK ITEMS</t>
    </r>
  </si>
  <si>
    <r>
      <rPr>
        <b val="true"/>
        <sz val="9"/>
        <color rgb="FFFFFFFF"/>
        <rFont val="FreeSans"/>
        <family val="2"/>
      </rPr>
      <t xml:space="preserve">น้ำหนัก </t>
    </r>
    <r>
      <rPr>
        <b val="true"/>
        <sz val="9"/>
        <color rgb="FFFFFFFF"/>
        <rFont val="Tahoma"/>
        <family val="0"/>
        <charset val="1"/>
      </rPr>
      <t xml:space="preserve">/ WEIGHT</t>
    </r>
  </si>
  <si>
    <r>
      <rPr>
        <b val="true"/>
        <sz val="9"/>
        <color rgb="FFFFFFFF"/>
        <rFont val="Tahoma"/>
        <family val="0"/>
        <charset val="1"/>
      </rPr>
      <t xml:space="preserve">BASELINE </t>
    </r>
    <r>
      <rPr>
        <b val="true"/>
        <sz val="9"/>
        <color rgb="FFFFFFFF"/>
        <rFont val="FreeSans"/>
        <family val="2"/>
      </rPr>
      <t xml:space="preserve">แผนเดิม</t>
    </r>
  </si>
  <si>
    <r>
      <rPr>
        <b val="true"/>
        <sz val="9"/>
        <color rgb="FFFFFFFF"/>
        <rFont val="Tahoma"/>
        <family val="0"/>
        <charset val="1"/>
      </rPr>
      <t xml:space="preserve">REVISED </t>
    </r>
    <r>
      <rPr>
        <b val="true"/>
        <sz val="9"/>
        <color rgb="FFFFFFFF"/>
        <rFont val="FreeSans"/>
        <family val="2"/>
      </rPr>
      <t xml:space="preserve">แผนเร่งรัด</t>
    </r>
  </si>
  <si>
    <r>
      <rPr>
        <b val="true"/>
        <sz val="9"/>
        <color rgb="FFFFFFFF"/>
        <rFont val="Tahoma"/>
        <family val="0"/>
        <charset val="1"/>
      </rPr>
      <t xml:space="preserve">ACTUAL </t>
    </r>
    <r>
      <rPr>
        <b val="true"/>
        <sz val="9"/>
        <color rgb="FFFFFFFF"/>
        <rFont val="FreeSans"/>
        <family val="2"/>
      </rPr>
      <t xml:space="preserve">ผลงานจริง</t>
    </r>
  </si>
  <si>
    <r>
      <rPr>
        <b val="true"/>
        <sz val="9"/>
        <color rgb="FFFFFFFF"/>
        <rFont val="Tahoma"/>
        <family val="0"/>
        <charset val="1"/>
      </rPr>
      <t xml:space="preserve">ANALYSIS </t>
    </r>
    <r>
      <rPr>
        <b val="true"/>
        <sz val="9"/>
        <color rgb="FFFFFFFF"/>
        <rFont val="FreeSans"/>
        <family val="2"/>
      </rPr>
      <t xml:space="preserve">การวิเคราะห์</t>
    </r>
  </si>
  <si>
    <r>
      <rPr>
        <b val="true"/>
        <sz val="9"/>
        <color rgb="FFFFFFFF"/>
        <rFont val="FreeSans"/>
        <family val="2"/>
      </rPr>
      <t xml:space="preserve">หมวดงาน
</t>
    </r>
    <r>
      <rPr>
        <b val="true"/>
        <sz val="9"/>
        <color rgb="FFFFFFFF"/>
        <rFont val="Tahoma"/>
        <family val="0"/>
        <charset val="1"/>
      </rPr>
      <t xml:space="preserve">Category</t>
    </r>
  </si>
  <si>
    <r>
      <rPr>
        <b val="true"/>
        <sz val="9"/>
        <color rgb="FFFFFFFF"/>
        <rFont val="FreeSans"/>
        <family val="2"/>
      </rPr>
      <t xml:space="preserve">รายการงาน
</t>
    </r>
    <r>
      <rPr>
        <b val="true"/>
        <sz val="9"/>
        <color rgb="FFFFFFFF"/>
        <rFont val="Tahoma"/>
        <family val="0"/>
        <charset val="1"/>
      </rPr>
      <t xml:space="preserve">Description</t>
    </r>
  </si>
  <si>
    <r>
      <rPr>
        <b val="true"/>
        <sz val="9"/>
        <color rgb="FFFFFFFF"/>
        <rFont val="FreeSans"/>
        <family val="2"/>
      </rPr>
      <t xml:space="preserve">มูลค่า </t>
    </r>
    <r>
      <rPr>
        <b val="true"/>
        <sz val="9"/>
        <color rgb="FFFFFFFF"/>
        <rFont val="Tahoma"/>
        <family val="0"/>
        <charset val="1"/>
      </rPr>
      <t xml:space="preserve">BOQ
BOQ Value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</si>
  <si>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น้ำหนักกำหนดเอง
</t>
    </r>
    <r>
      <rPr>
        <b val="true"/>
        <sz val="9"/>
        <color rgb="FFFFFFFF"/>
        <rFont val="Tahoma"/>
        <family val="0"/>
        <charset val="1"/>
      </rPr>
      <t xml:space="preserve">Manual Weight</t>
    </r>
  </si>
  <si>
    <r>
      <rPr>
        <b val="true"/>
        <sz val="9"/>
        <color rgb="FFFFFFFF"/>
        <rFont val="FreeSans"/>
        <family val="2"/>
      </rPr>
      <t xml:space="preserve">น้ำหนักที่ใช้
</t>
    </r>
    <r>
      <rPr>
        <b val="true"/>
        <sz val="9"/>
        <color rgb="FFFFFFFF"/>
        <rFont val="Tahoma"/>
        <family val="0"/>
        <charset val="1"/>
      </rPr>
      <t xml:space="preserve">Weight Used</t>
    </r>
  </si>
  <si>
    <r>
      <rPr>
        <b val="true"/>
        <sz val="9"/>
        <color rgb="FFFFFFFF"/>
        <rFont val="FreeSans"/>
        <family val="2"/>
      </rPr>
      <t xml:space="preserve">งบประมาณ
</t>
    </r>
    <r>
      <rPr>
        <b val="true"/>
        <sz val="9"/>
        <color rgb="FFFFFFFF"/>
        <rFont val="Tahoma"/>
        <family val="0"/>
        <charset val="1"/>
      </rPr>
      <t xml:space="preserve">Budget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</si>
  <si>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เริ่ม
</t>
    </r>
    <r>
      <rPr>
        <b val="true"/>
        <sz val="9"/>
        <color rgb="FFFFFFFF"/>
        <rFont val="Tahoma"/>
        <family val="0"/>
        <charset val="1"/>
      </rPr>
      <t xml:space="preserve">Start</t>
    </r>
  </si>
  <si>
    <r>
      <rPr>
        <b val="true"/>
        <sz val="9"/>
        <color rgb="FFFFFFFF"/>
        <rFont val="FreeSans"/>
        <family val="2"/>
      </rPr>
      <t xml:space="preserve">เสร็จ
</t>
    </r>
    <r>
      <rPr>
        <b val="true"/>
        <sz val="9"/>
        <color rgb="FFFFFFFF"/>
        <rFont val="Tahoma"/>
        <family val="0"/>
        <charset val="1"/>
      </rPr>
      <t xml:space="preserve">Finish</t>
    </r>
  </si>
  <si>
    <r>
      <rPr>
        <b val="true"/>
        <sz val="9"/>
        <color rgb="FFFFFFFF"/>
        <rFont val="FreeSans"/>
        <family val="2"/>
      </rPr>
      <t xml:space="preserve">วัน
</t>
    </r>
    <r>
      <rPr>
        <b val="true"/>
        <sz val="9"/>
        <color rgb="FFFFFFFF"/>
        <rFont val="Tahoma"/>
        <family val="0"/>
        <charset val="1"/>
      </rPr>
      <t xml:space="preserve">Days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</si>
  <si>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งานนี้
</t>
    </r>
    <r>
      <rPr>
        <b val="true"/>
        <sz val="9"/>
        <color rgb="FFFFFFFF"/>
        <rFont val="Tahoma"/>
        <family val="0"/>
        <charset val="1"/>
      </rPr>
      <t xml:space="preserve">% Complete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</si>
  <si>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แผน ณ
</t>
    </r>
    <r>
      <rPr>
        <b val="true"/>
        <sz val="9"/>
        <color rgb="FFFFFFFF"/>
        <rFont val="Tahoma"/>
        <family val="0"/>
        <charset val="1"/>
      </rPr>
      <t xml:space="preserve">Status (BL)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</si>
  <si>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แผนเร่งรัด
ณ </t>
    </r>
    <r>
      <rPr>
        <b val="true"/>
        <sz val="9"/>
        <color rgb="FFFFFFFF"/>
        <rFont val="Tahoma"/>
        <family val="0"/>
        <charset val="1"/>
      </rPr>
      <t xml:space="preserve">Status</t>
    </r>
  </si>
  <si>
    <r>
      <rPr>
        <b val="true"/>
        <sz val="9"/>
        <color rgb="FFFFFFFF"/>
        <rFont val="Tahoma"/>
        <family val="0"/>
        <charset val="1"/>
      </rPr>
      <t xml:space="preserve">PV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</si>
  <si>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EV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</si>
  <si>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SV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</si>
  <si>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คาดว่าเสร็จ
</t>
    </r>
    <r>
      <rPr>
        <b val="true"/>
        <sz val="9"/>
        <color rgb="FFFFFFFF"/>
        <rFont val="Tahoma"/>
        <family val="0"/>
        <charset val="1"/>
      </rPr>
      <t xml:space="preserve">Forecast Finish</t>
    </r>
  </si>
  <si>
    <r>
      <rPr>
        <b val="true"/>
        <sz val="9"/>
        <color rgb="FFFFFFFF"/>
        <rFont val="FreeSans"/>
        <family val="2"/>
      </rPr>
      <t xml:space="preserve">ล่าช้า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
Delay vs BL</t>
    </r>
  </si>
  <si>
    <r>
      <rPr>
        <b val="true"/>
        <sz val="9"/>
        <color rgb="FFFFFFFF"/>
        <rFont val="FreeSans"/>
        <family val="2"/>
      </rPr>
      <t xml:space="preserve">หมายเหตุ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ปัญหา
</t>
    </r>
    <r>
      <rPr>
        <b val="true"/>
        <sz val="9"/>
        <color rgb="FFFFFFFF"/>
        <rFont val="Tahoma"/>
        <family val="0"/>
        <charset val="1"/>
      </rPr>
      <t xml:space="preserve">Remarks / Issues</t>
    </r>
  </si>
  <si>
    <t xml:space="preserve">RS</t>
  </si>
  <si>
    <t xml:space="preserve">RF</t>
  </si>
  <si>
    <t xml:space="preserve">key</t>
  </si>
  <si>
    <t xml:space="preserve">LA</t>
  </si>
  <si>
    <t xml:space="preserve">LAi</t>
  </si>
  <si>
    <t xml:space="preserve">งานเตรียมการ ติดตั้งป้ายโครงการ และรื้อถอนระบบเดิม</t>
  </si>
  <si>
    <t xml:space="preserve">ก่อสร้างสำนักงานชั่วคราวและจัดเตรียมอุปกรณ์สำนักงาน</t>
  </si>
  <si>
    <t xml:space="preserve">งานรื้อถอนโครงสร้างเดิมและเตรียมพื้นที่ติดตั้งใหม่</t>
  </si>
  <si>
    <r>
      <rPr>
        <sz val="10"/>
        <color rgb="FF0000FF"/>
        <rFont val="FreeSans"/>
        <family val="2"/>
      </rPr>
      <t xml:space="preserve">งานฐานราก คานคอดิน พื้นชั้น </t>
    </r>
    <r>
      <rPr>
        <sz val="10"/>
        <color rgb="FF0000FF"/>
        <rFont val="Tahoma"/>
        <family val="0"/>
        <charset val="1"/>
      </rPr>
      <t xml:space="preserve">1 </t>
    </r>
    <r>
      <rPr>
        <sz val="10"/>
        <color rgb="FF0000FF"/>
        <rFont val="FreeSans"/>
        <family val="2"/>
      </rPr>
      <t xml:space="preserve">และเสาชั้น </t>
    </r>
    <r>
      <rPr>
        <sz val="10"/>
        <color rgb="FF0000FF"/>
        <rFont val="Tahoma"/>
        <family val="0"/>
        <charset val="1"/>
      </rPr>
      <t xml:space="preserve">1</t>
    </r>
  </si>
  <si>
    <r>
      <rPr>
        <sz val="10"/>
        <color rgb="FF0000FF"/>
        <rFont val="FreeSans"/>
        <family val="2"/>
      </rPr>
      <t xml:space="preserve">งานวาง </t>
    </r>
    <r>
      <rPr>
        <sz val="10"/>
        <color rgb="FF0000FF"/>
        <rFont val="Tahoma"/>
        <family val="0"/>
        <charset val="1"/>
      </rPr>
      <t xml:space="preserve">SLEEVE/</t>
    </r>
    <r>
      <rPr>
        <sz val="10"/>
        <color rgb="FF0000FF"/>
        <rFont val="FreeSans"/>
        <family val="2"/>
      </rPr>
      <t xml:space="preserve">เดินท่อฝังในโครงสร้าง และโครงสร้างชั้น </t>
    </r>
    <r>
      <rPr>
        <sz val="10"/>
        <color rgb="FF0000FF"/>
        <rFont val="Tahoma"/>
        <family val="0"/>
        <charset val="1"/>
      </rPr>
      <t xml:space="preserve">1–2</t>
    </r>
  </si>
  <si>
    <r>
      <rPr>
        <sz val="10"/>
        <color rgb="FF0000FF"/>
        <rFont val="FreeSans"/>
        <family val="2"/>
      </rPr>
      <t xml:space="preserve">งานคานและพื้นชั้น </t>
    </r>
    <r>
      <rPr>
        <sz val="10"/>
        <color rgb="FF0000FF"/>
        <rFont val="Tahoma"/>
        <family val="0"/>
        <charset val="1"/>
      </rPr>
      <t xml:space="preserve">2 </t>
    </r>
    <r>
      <rPr>
        <sz val="10"/>
        <color rgb="FF0000FF"/>
        <rFont val="FreeSans"/>
        <family val="2"/>
      </rPr>
      <t xml:space="preserve">พร้อมวาง </t>
    </r>
    <r>
      <rPr>
        <sz val="10"/>
        <color rgb="FF0000FF"/>
        <rFont val="Tahoma"/>
        <family val="0"/>
        <charset val="1"/>
      </rPr>
      <t xml:space="preserve">SLEEVE </t>
    </r>
    <r>
      <rPr>
        <sz val="10"/>
        <color rgb="FF0000FF"/>
        <rFont val="FreeSans"/>
        <family val="2"/>
      </rPr>
      <t xml:space="preserve">ชั้น </t>
    </r>
    <r>
      <rPr>
        <sz val="10"/>
        <color rgb="FF0000FF"/>
        <rFont val="Tahoma"/>
        <family val="0"/>
        <charset val="1"/>
      </rPr>
      <t xml:space="preserve">2</t>
    </r>
  </si>
  <si>
    <t xml:space="preserve">งานโครงสร้างหลังคาและมุงหลังคา</t>
  </si>
  <si>
    <r>
      <rPr>
        <sz val="10"/>
        <color rgb="FF0000FF"/>
        <rFont val="FreeSans"/>
        <family val="2"/>
      </rPr>
      <t xml:space="preserve">งานผนัง</t>
    </r>
    <r>
      <rPr>
        <sz val="10"/>
        <color rgb="FF0000FF"/>
        <rFont val="Tahoma"/>
        <family val="0"/>
        <charset val="1"/>
      </rPr>
      <t xml:space="preserve">/</t>
    </r>
    <r>
      <rPr>
        <sz val="10"/>
        <color rgb="FF0000FF"/>
        <rFont val="FreeSans"/>
        <family val="2"/>
      </rPr>
      <t xml:space="preserve">โครงเคร่า ติดตั้งฉนวน </t>
    </r>
    <r>
      <rPr>
        <sz val="10"/>
        <color rgb="FF0000FF"/>
        <rFont val="Tahoma"/>
        <family val="0"/>
        <charset val="1"/>
      </rPr>
      <t xml:space="preserve">PU Foam </t>
    </r>
    <r>
      <rPr>
        <sz val="10"/>
        <color rgb="FF0000FF"/>
        <rFont val="FreeSans"/>
        <family val="2"/>
      </rPr>
      <t xml:space="preserve">และรางน้ำ</t>
    </r>
  </si>
  <si>
    <t xml:space="preserve">งานเดินท่อประปา ท่อน้ำทิ้ง และงานระบบในผนัง</t>
  </si>
  <si>
    <r>
      <rPr>
        <sz val="10"/>
        <color rgb="FF0000FF"/>
        <rFont val="FreeSans"/>
        <family val="2"/>
      </rPr>
      <t xml:space="preserve">งานฉาบปูน ฝ้าเพดาน ปูพื้น และทาสีภายใน</t>
    </r>
    <r>
      <rPr>
        <sz val="10"/>
        <color rgb="FF0000FF"/>
        <rFont val="Tahoma"/>
        <family val="0"/>
        <charset val="1"/>
      </rPr>
      <t xml:space="preserve">-</t>
    </r>
    <r>
      <rPr>
        <sz val="10"/>
        <color rgb="FF0000FF"/>
        <rFont val="FreeSans"/>
        <family val="2"/>
      </rPr>
      <t xml:space="preserve">ภายนอก</t>
    </r>
  </si>
  <si>
    <r>
      <rPr>
        <sz val="10"/>
        <color rgb="FF0000FF"/>
        <rFont val="FreeSans"/>
        <family val="2"/>
      </rPr>
      <t xml:space="preserve">งานติดตั้งวงกบและบานประตู</t>
    </r>
    <r>
      <rPr>
        <sz val="10"/>
        <color rgb="FF0000FF"/>
        <rFont val="Tahoma"/>
        <family val="0"/>
        <charset val="1"/>
      </rPr>
      <t xml:space="preserve">-</t>
    </r>
    <r>
      <rPr>
        <sz val="10"/>
        <color rgb="FF0000FF"/>
        <rFont val="FreeSans"/>
        <family val="2"/>
      </rPr>
      <t xml:space="preserve">หน้าต่าง</t>
    </r>
  </si>
  <si>
    <r>
      <rPr>
        <sz val="10"/>
        <color rgb="FF0000FF"/>
        <rFont val="FreeSans"/>
        <family val="2"/>
      </rPr>
      <t xml:space="preserve">งานติดตั้งอุปกรณ์ประตู</t>
    </r>
    <r>
      <rPr>
        <sz val="10"/>
        <color rgb="FF0000FF"/>
        <rFont val="Tahoma"/>
        <family val="0"/>
        <charset val="1"/>
      </rPr>
      <t xml:space="preserve">-</t>
    </r>
    <r>
      <rPr>
        <sz val="10"/>
        <color rgb="FF0000FF"/>
        <rFont val="FreeSans"/>
        <family val="2"/>
      </rPr>
      <t xml:space="preserve">หน้าต่าง และงานตกแต่ง</t>
    </r>
  </si>
  <si>
    <t xml:space="preserve">งานติดตั้งสุขภัณฑ์และอุปกรณ์ระบบประปา</t>
  </si>
  <si>
    <t xml:space="preserve">งานติดตั้งระบบไฟฟ้าและเครื่องปรับอากาศ</t>
  </si>
  <si>
    <t xml:space="preserve">งานระบบไฟฟ้า ระบบสัญญาณ และอุปกรณ์</t>
  </si>
  <si>
    <t xml:space="preserve">งานภายนอกอาคารและงานส่วนที่เหลือ</t>
  </si>
  <si>
    <r>
      <rPr>
        <sz val="10"/>
        <color rgb="FF0000FF"/>
        <rFont val="FreeSans"/>
        <family val="2"/>
      </rPr>
      <t xml:space="preserve">ทดสอบระบบไฟฟ้า</t>
    </r>
    <r>
      <rPr>
        <sz val="10"/>
        <color rgb="FF0000FF"/>
        <rFont val="Tahoma"/>
        <family val="0"/>
        <charset val="1"/>
      </rPr>
      <t xml:space="preserve">-</t>
    </r>
    <r>
      <rPr>
        <sz val="10"/>
        <color rgb="FF0000FF"/>
        <rFont val="FreeSans"/>
        <family val="2"/>
      </rPr>
      <t xml:space="preserve">ประปา และเก็บงานทั้งหมด</t>
    </r>
  </si>
  <si>
    <r>
      <rPr>
        <b val="true"/>
        <sz val="16"/>
        <color rgb="FF1F3864"/>
        <rFont val="Tahoma"/>
        <family val="0"/>
        <charset val="1"/>
      </rPr>
      <t xml:space="preserve">S-Curve </t>
    </r>
    <r>
      <rPr>
        <b val="true"/>
        <sz val="16"/>
        <color rgb="FF1F3864"/>
        <rFont val="FreeSans"/>
        <family val="2"/>
      </rPr>
      <t xml:space="preserve">และ </t>
    </r>
    <r>
      <rPr>
        <b val="true"/>
        <sz val="16"/>
        <color rgb="FF1F3864"/>
        <rFont val="Tahoma"/>
        <family val="0"/>
        <charset val="1"/>
      </rPr>
      <t xml:space="preserve">Earned Value </t>
    </r>
    <r>
      <rPr>
        <b val="true"/>
        <sz val="16"/>
        <color rgb="FF1F3864"/>
        <rFont val="FreeSans"/>
        <family val="2"/>
      </rPr>
      <t xml:space="preserve">รายงวด </t>
    </r>
    <r>
      <rPr>
        <b val="true"/>
        <sz val="16"/>
        <color rgb="FF1F3864"/>
        <rFont val="Tahoma"/>
        <family val="0"/>
        <charset val="1"/>
      </rPr>
      <t xml:space="preserve">/ Period S-Curve &amp; Earned Value</t>
    </r>
  </si>
  <si>
    <r>
      <rPr>
        <i val="true"/>
        <sz val="9"/>
        <color rgb="FF595959"/>
        <rFont val="FreeSans"/>
        <family val="2"/>
      </rPr>
      <t xml:space="preserve">กรอกช่องสีเหลือง</t>
    </r>
    <r>
      <rPr>
        <i val="true"/>
        <sz val="9"/>
        <color rgb="FF595959"/>
        <rFont val="Tahoma"/>
        <family val="0"/>
        <charset val="1"/>
      </rPr>
      <t xml:space="preserve">: Actual % </t>
    </r>
    <r>
      <rPr>
        <i val="true"/>
        <sz val="9"/>
        <color rgb="FF595959"/>
        <rFont val="FreeSans"/>
        <family val="2"/>
      </rPr>
      <t xml:space="preserve">สะสม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ณ วันสิ้นงวด</t>
    </r>
    <r>
      <rPr>
        <i val="true"/>
        <sz val="9"/>
        <color rgb="FF595959"/>
        <rFont val="Tahoma"/>
        <family val="0"/>
        <charset val="1"/>
      </rPr>
      <t xml:space="preserve">), AC </t>
    </r>
    <r>
      <rPr>
        <i val="true"/>
        <sz val="9"/>
        <color rgb="FF595959"/>
        <rFont val="FreeSans"/>
        <family val="2"/>
      </rPr>
      <t xml:space="preserve">ต้นทุนจริงในงวด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เงินเบิกจ่ายในงวด • แถวสีส้ม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งวดของวันตรวจวัด</t>
    </r>
  </si>
  <si>
    <r>
      <rPr>
        <b val="true"/>
        <sz val="9"/>
        <color rgb="FFFFFFFF"/>
        <rFont val="FreeSans"/>
        <family val="2"/>
      </rPr>
      <t xml:space="preserve">งวด </t>
    </r>
    <r>
      <rPr>
        <b val="true"/>
        <sz val="9"/>
        <color rgb="FFFFFFFF"/>
        <rFont val="Tahoma"/>
        <family val="0"/>
        <charset val="1"/>
      </rPr>
      <t xml:space="preserve">/ PERIOD</t>
    </r>
  </si>
  <si>
    <r>
      <rPr>
        <b val="true"/>
        <sz val="9"/>
        <color rgb="FFFFFFFF"/>
        <rFont val="FreeSans"/>
        <family val="2"/>
      </rPr>
      <t xml:space="preserve">ความก้าวหน้าสะสม </t>
    </r>
    <r>
      <rPr>
        <b val="true"/>
        <sz val="9"/>
        <color rgb="FFFFFFFF"/>
        <rFont val="Tahoma"/>
        <family val="0"/>
        <charset val="1"/>
      </rPr>
      <t xml:space="preserve">/ CUMULATIVE PROGRESS (%)</t>
    </r>
  </si>
  <si>
    <r>
      <rPr>
        <b val="true"/>
        <sz val="9"/>
        <color rgb="FFFFFFFF"/>
        <rFont val="Tahoma"/>
        <family val="0"/>
        <charset val="1"/>
      </rPr>
      <t xml:space="preserve">EARNED VALUE (</t>
    </r>
    <r>
      <rPr>
        <b val="true"/>
        <sz val="9"/>
        <color rgb="FFFFFFFF"/>
        <rFont val="FreeSans"/>
        <family val="2"/>
      </rPr>
      <t xml:space="preserve">บาท </t>
    </r>
    <r>
      <rPr>
        <b val="true"/>
        <sz val="9"/>
        <color rgb="FFFFFFFF"/>
        <rFont val="Tahoma"/>
        <family val="0"/>
        <charset val="1"/>
      </rPr>
      <t xml:space="preserve">/ THB)</t>
    </r>
  </si>
  <si>
    <r>
      <rPr>
        <b val="true"/>
        <sz val="9"/>
        <color rgb="FFFFFFFF"/>
        <rFont val="FreeSans"/>
        <family val="2"/>
      </rPr>
      <t xml:space="preserve">เบิกจ่าย </t>
    </r>
    <r>
      <rPr>
        <b val="true"/>
        <sz val="9"/>
        <color rgb="FFFFFFFF"/>
        <rFont val="Tahoma"/>
        <family val="0"/>
        <charset val="1"/>
      </rPr>
      <t xml:space="preserve">/ PAYMENT</t>
    </r>
  </si>
  <si>
    <r>
      <rPr>
        <b val="true"/>
        <sz val="9"/>
        <color rgb="FFFFFFFF"/>
        <rFont val="FreeSans"/>
        <family val="2"/>
      </rPr>
      <t xml:space="preserve">งวด
</t>
    </r>
    <r>
      <rPr>
        <b val="true"/>
        <sz val="9"/>
        <color rgb="FFFFFFFF"/>
        <rFont val="Tahoma"/>
        <family val="0"/>
        <charset val="1"/>
      </rPr>
      <t xml:space="preserve">No.</t>
    </r>
  </si>
  <si>
    <r>
      <rPr>
        <b val="true"/>
        <sz val="9"/>
        <color rgb="FFFFFFFF"/>
        <rFont val="FreeSans"/>
        <family val="2"/>
      </rPr>
      <t xml:space="preserve">เริ่มงวด
</t>
    </r>
    <r>
      <rPr>
        <b val="true"/>
        <sz val="9"/>
        <color rgb="FFFFFFFF"/>
        <rFont val="Tahoma"/>
        <family val="0"/>
        <charset val="1"/>
      </rPr>
      <t xml:space="preserve">From</t>
    </r>
  </si>
  <si>
    <r>
      <rPr>
        <b val="true"/>
        <sz val="9"/>
        <color rgb="FFFFFFFF"/>
        <rFont val="FreeSans"/>
        <family val="2"/>
      </rPr>
      <t xml:space="preserve">สิ้นงวด
</t>
    </r>
    <r>
      <rPr>
        <b val="true"/>
        <sz val="9"/>
        <color rgb="FFFFFFFF"/>
        <rFont val="Tahoma"/>
        <family val="0"/>
        <charset val="1"/>
      </rPr>
      <t xml:space="preserve">To</t>
    </r>
  </si>
  <si>
    <r>
      <rPr>
        <b val="true"/>
        <sz val="9"/>
        <color rgb="FFFFFFFF"/>
        <rFont val="Tahoma"/>
        <family val="0"/>
        <charset val="1"/>
      </rPr>
      <t xml:space="preserve">Baseline
</t>
    </r>
    <r>
      <rPr>
        <b val="true"/>
        <sz val="9"/>
        <color rgb="FFFFFFFF"/>
        <rFont val="FreeSans"/>
        <family val="2"/>
      </rPr>
      <t xml:space="preserve">แผนเดิม</t>
    </r>
  </si>
  <si>
    <r>
      <rPr>
        <b val="true"/>
        <sz val="9"/>
        <color rgb="FFFFFFFF"/>
        <rFont val="Tahoma"/>
        <family val="0"/>
        <charset val="1"/>
      </rPr>
      <t xml:space="preserve">Revised
</t>
    </r>
    <r>
      <rPr>
        <b val="true"/>
        <sz val="9"/>
        <color rgb="FFFFFFFF"/>
        <rFont val="FreeSans"/>
        <family val="2"/>
      </rPr>
      <t xml:space="preserve">แผนเร่งรัด</t>
    </r>
  </si>
  <si>
    <r>
      <rPr>
        <b val="true"/>
        <sz val="9"/>
        <color rgb="FFFFFFFF"/>
        <rFont val="Tahoma"/>
        <family val="0"/>
        <charset val="1"/>
      </rPr>
      <t xml:space="preserve">Actual
</t>
    </r>
    <r>
      <rPr>
        <b val="true"/>
        <sz val="9"/>
        <color rgb="FFFFFFFF"/>
        <rFont val="FreeSans"/>
        <family val="2"/>
      </rPr>
      <t xml:space="preserve">จริง</t>
    </r>
  </si>
  <si>
    <r>
      <rPr>
        <b val="true"/>
        <sz val="9"/>
        <color rgb="FFFFFFFF"/>
        <rFont val="Tahoma"/>
        <family val="0"/>
        <charset val="1"/>
      </rPr>
      <t xml:space="preserve">Forecast
</t>
    </r>
    <r>
      <rPr>
        <b val="true"/>
        <sz val="9"/>
        <color rgb="FFFFFFFF"/>
        <rFont val="FreeSans"/>
        <family val="2"/>
      </rPr>
      <t xml:space="preserve">คาดการณ์</t>
    </r>
  </si>
  <si>
    <r>
      <rPr>
        <b val="true"/>
        <sz val="9"/>
        <color rgb="FFFFFFFF"/>
        <rFont val="FreeSans"/>
        <family val="2"/>
      </rPr>
      <t xml:space="preserve">ผลต่าง
</t>
    </r>
    <r>
      <rPr>
        <b val="true"/>
        <sz val="9"/>
        <color rgb="FFFFFFFF"/>
        <rFont val="Tahoma"/>
        <family val="0"/>
        <charset val="1"/>
      </rPr>
      <t xml:space="preserve">Act−BL</t>
    </r>
  </si>
  <si>
    <r>
      <rPr>
        <b val="true"/>
        <sz val="9"/>
        <color rgb="FFFFFFFF"/>
        <rFont val="Tahoma"/>
        <family val="0"/>
        <charset val="1"/>
      </rPr>
      <t xml:space="preserve">PV </t>
    </r>
    <r>
      <rPr>
        <b val="true"/>
        <sz val="9"/>
        <color rgb="FFFFFFFF"/>
        <rFont val="FreeSans"/>
        <family val="2"/>
      </rPr>
      <t xml:space="preserve">สะสม</t>
    </r>
  </si>
  <si>
    <r>
      <rPr>
        <b val="true"/>
        <sz val="9"/>
        <color rgb="FFFFFFFF"/>
        <rFont val="Tahoma"/>
        <family val="0"/>
        <charset val="1"/>
      </rPr>
      <t xml:space="preserve">EV </t>
    </r>
    <r>
      <rPr>
        <b val="true"/>
        <sz val="9"/>
        <color rgb="FFFFFFFF"/>
        <rFont val="FreeSans"/>
        <family val="2"/>
      </rPr>
      <t xml:space="preserve">สะสม</t>
    </r>
  </si>
  <si>
    <r>
      <rPr>
        <b val="true"/>
        <sz val="9"/>
        <color rgb="FFFFFFFF"/>
        <rFont val="Tahoma"/>
        <family val="0"/>
        <charset val="1"/>
      </rPr>
      <t xml:space="preserve">AC </t>
    </r>
    <r>
      <rPr>
        <b val="true"/>
        <sz val="9"/>
        <color rgb="FFFFFFFF"/>
        <rFont val="FreeSans"/>
        <family val="2"/>
      </rPr>
      <t xml:space="preserve">ในงวด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กรอก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</si>
  <si>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AC </t>
    </r>
    <r>
      <rPr>
        <b val="true"/>
        <sz val="9"/>
        <color rgb="FFFFFFFF"/>
        <rFont val="FreeSans"/>
        <family val="2"/>
      </rPr>
      <t xml:space="preserve">สะสม</t>
    </r>
  </si>
  <si>
    <r>
      <rPr>
        <b val="true"/>
        <sz val="9"/>
        <color rgb="FFFFFFFF"/>
        <rFont val="FreeSans"/>
        <family val="2"/>
      </rPr>
      <t xml:space="preserve">เบิกจ่ายในงวด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กรอก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</si>
  <si>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เบิกจ่ายสะสม</t>
  </si>
  <si>
    <t xml:space="preserve">xBL</t>
  </si>
  <si>
    <r>
      <rPr>
        <sz val="8"/>
        <color rgb="FF808080"/>
        <rFont val="Tahoma"/>
        <family val="0"/>
        <charset val="1"/>
      </rPr>
      <t xml:space="preserve">Baseline </t>
    </r>
    <r>
      <rPr>
        <sz val="8"/>
        <color rgb="FF808080"/>
        <rFont val="FreeSans"/>
        <family val="2"/>
      </rPr>
      <t xml:space="preserve">แผนเดิม</t>
    </r>
  </si>
  <si>
    <t xml:space="preserve">xRev</t>
  </si>
  <si>
    <r>
      <rPr>
        <sz val="8"/>
        <color rgb="FF808080"/>
        <rFont val="Tahoma"/>
        <family val="0"/>
        <charset val="1"/>
      </rPr>
      <t xml:space="preserve">Revised </t>
    </r>
    <r>
      <rPr>
        <sz val="8"/>
        <color rgb="FF808080"/>
        <rFont val="FreeSans"/>
        <family val="2"/>
      </rPr>
      <t xml:space="preserve">แผนเร่งรัด</t>
    </r>
  </si>
  <si>
    <t xml:space="preserve">xAct</t>
  </si>
  <si>
    <r>
      <rPr>
        <sz val="8"/>
        <color rgb="FF808080"/>
        <rFont val="Tahoma"/>
        <family val="0"/>
        <charset val="1"/>
      </rPr>
      <t xml:space="preserve">Actual </t>
    </r>
    <r>
      <rPr>
        <sz val="8"/>
        <color rgb="FF808080"/>
        <rFont val="FreeSans"/>
        <family val="2"/>
      </rPr>
      <t xml:space="preserve">ผลงานจริง</t>
    </r>
  </si>
  <si>
    <t xml:space="preserve">xFc</t>
  </si>
  <si>
    <r>
      <rPr>
        <sz val="8"/>
        <color rgb="FF808080"/>
        <rFont val="Tahoma"/>
        <family val="0"/>
        <charset val="1"/>
      </rPr>
      <t xml:space="preserve">Forecast </t>
    </r>
    <r>
      <rPr>
        <sz val="8"/>
        <color rgb="FF808080"/>
        <rFont val="FreeSans"/>
        <family val="2"/>
      </rPr>
      <t xml:space="preserve">คาดการณ์</t>
    </r>
  </si>
  <si>
    <t xml:space="preserve">PV</t>
  </si>
  <si>
    <t xml:space="preserve">EV</t>
  </si>
  <si>
    <t xml:space="preserve">xAC</t>
  </si>
  <si>
    <t xml:space="preserve">AC</t>
  </si>
  <si>
    <t xml:space="preserve">Status Date</t>
  </si>
  <si>
    <t xml:space="preserve">y%</t>
  </si>
  <si>
    <r>
      <rPr>
        <sz val="8"/>
        <color rgb="FF808080"/>
        <rFont val="Tahoma"/>
        <family val="0"/>
        <charset val="1"/>
      </rPr>
      <t xml:space="preserve">y</t>
    </r>
    <r>
      <rPr>
        <sz val="8"/>
        <color rgb="FF808080"/>
        <rFont val="FreeSans"/>
        <family val="2"/>
      </rPr>
      <t xml:space="preserve">฿</t>
    </r>
  </si>
  <si>
    <r>
      <rPr>
        <b val="true"/>
        <sz val="16"/>
        <color rgb="FF1F3864"/>
        <rFont val="FreeSans"/>
        <family val="2"/>
      </rPr>
      <t xml:space="preserve">ทะเบียนความล่าช้าและการขอขยายเวลา </t>
    </r>
    <r>
      <rPr>
        <b val="true"/>
        <sz val="16"/>
        <color rgb="FF1F3864"/>
        <rFont val="Tahoma"/>
        <family val="0"/>
        <charset val="1"/>
      </rPr>
      <t xml:space="preserve">/ Delay &amp; Extension of Time (EOT) Register</t>
    </r>
  </si>
  <si>
    <t xml:space="preserve">บันทึกทุกเหตุการณ์ที่ทำให้งานล่าช้า พร้อมเลขที่หนังสือ – ใช้เป็นหลักฐานขอขยายเวลาและงดหรือลดค่าปรับ</t>
  </si>
  <si>
    <r>
      <rPr>
        <b val="true"/>
        <sz val="9"/>
        <color rgb="FF595959"/>
        <rFont val="FreeSans"/>
        <family val="2"/>
      </rPr>
      <t xml:space="preserve">ขอขยายเวลารวม </t>
    </r>
    <r>
      <rPr>
        <b val="true"/>
        <sz val="9"/>
        <color rgb="FF595959"/>
        <rFont val="Tahoma"/>
        <family val="0"/>
        <charset val="1"/>
      </rPr>
      <t xml:space="preserve">/ Total Claimed (</t>
    </r>
    <r>
      <rPr>
        <b val="true"/>
        <sz val="9"/>
        <color rgb="FF595959"/>
        <rFont val="FreeSans"/>
        <family val="2"/>
      </rPr>
      <t xml:space="preserve">วัน</t>
    </r>
    <r>
      <rPr>
        <b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</si>
  <si>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595959"/>
        <rFont val="FreeSans"/>
        <family val="2"/>
      </rPr>
      <t xml:space="preserve">อนุมัติแล้ว </t>
    </r>
    <r>
      <rPr>
        <b val="true"/>
        <sz val="9"/>
        <color rgb="FF595959"/>
        <rFont val="Tahoma"/>
        <family val="0"/>
        <charset val="1"/>
      </rPr>
      <t xml:space="preserve">/ Approved (</t>
    </r>
    <r>
      <rPr>
        <b val="true"/>
        <sz val="9"/>
        <color rgb="FF595959"/>
        <rFont val="FreeSans"/>
        <family val="2"/>
      </rPr>
      <t xml:space="preserve">วัน</t>
    </r>
    <r>
      <rPr>
        <b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</si>
  <si>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595959"/>
        <rFont val="FreeSans"/>
        <family val="2"/>
      </rPr>
      <t xml:space="preserve">รอพิจารณา </t>
    </r>
    <r>
      <rPr>
        <b val="true"/>
        <sz val="9"/>
        <color rgb="FF595959"/>
        <rFont val="Tahoma"/>
        <family val="0"/>
        <charset val="1"/>
      </rPr>
      <t xml:space="preserve">/ Pending (</t>
    </r>
    <r>
      <rPr>
        <b val="true"/>
        <sz val="9"/>
        <color rgb="FF595959"/>
        <rFont val="FreeSans"/>
        <family val="2"/>
      </rPr>
      <t xml:space="preserve">วัน</t>
    </r>
    <r>
      <rPr>
        <b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</si>
  <si>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595959"/>
        <rFont val="FreeSans"/>
        <family val="2"/>
      </rPr>
      <t xml:space="preserve">จากผู้ว่าจ้าง </t>
    </r>
    <r>
      <rPr>
        <b val="true"/>
        <sz val="9"/>
        <color rgb="FF595959"/>
        <rFont val="Tahoma"/>
        <family val="0"/>
        <charset val="1"/>
      </rPr>
      <t xml:space="preserve">/ Employer-caused (</t>
    </r>
    <r>
      <rPr>
        <b val="true"/>
        <sz val="9"/>
        <color rgb="FF595959"/>
        <rFont val="FreeSans"/>
        <family val="2"/>
      </rPr>
      <t xml:space="preserve">วัน</t>
    </r>
    <r>
      <rPr>
        <b val="true"/>
        <sz val="9"/>
        <color rgb="FF595959"/>
        <rFont val="Tahoma"/>
        <family val="0"/>
        <charset val="1"/>
      </rPr>
      <t xml:space="preserve">)</t>
    </r>
  </si>
  <si>
    <r>
      <rPr>
        <i val="true"/>
        <sz val="9"/>
        <color rgb="FF808080"/>
        <rFont val="FreeSans"/>
        <family val="2"/>
      </rPr>
      <t xml:space="preserve">ตัวอย่างการกรอก</t>
    </r>
    <r>
      <rPr>
        <i val="true"/>
        <sz val="9"/>
        <color rgb="FF808080"/>
        <rFont val="Tahoma"/>
        <family val="0"/>
        <charset val="1"/>
      </rPr>
      <t xml:space="preserve">: 15-Jun-26 | </t>
    </r>
    <r>
      <rPr>
        <i val="true"/>
        <sz val="9"/>
        <color rgb="FF808080"/>
        <rFont val="FreeSans"/>
        <family val="2"/>
      </rPr>
      <t xml:space="preserve">ฝนตกหนักต่อเนื่อง </t>
    </r>
    <r>
      <rPr>
        <i val="true"/>
        <sz val="9"/>
        <color rgb="FF808080"/>
        <rFont val="Tahoma"/>
        <family val="0"/>
        <charset val="1"/>
      </rPr>
      <t xml:space="preserve">5 </t>
    </r>
    <r>
      <rPr>
        <i val="true"/>
        <sz val="9"/>
        <color rgb="FF808080"/>
        <rFont val="FreeSans"/>
        <family val="2"/>
      </rPr>
      <t xml:space="preserve">วัน ทำงานโครงสร้างหลังคาไม่ได้ </t>
    </r>
    <r>
      <rPr>
        <i val="true"/>
        <sz val="9"/>
        <color rgb="FF808080"/>
        <rFont val="Tahoma"/>
        <family val="0"/>
        <charset val="1"/>
      </rPr>
      <t xml:space="preserve">| 2.4 | </t>
    </r>
    <r>
      <rPr>
        <i val="true"/>
        <sz val="9"/>
        <color rgb="FF808080"/>
        <rFont val="FreeSans"/>
        <family val="2"/>
      </rPr>
      <t xml:space="preserve">เหตุสุดวิสัย </t>
    </r>
    <r>
      <rPr>
        <i val="true"/>
        <sz val="9"/>
        <color rgb="FF808080"/>
        <rFont val="Tahoma"/>
        <family val="0"/>
        <charset val="1"/>
      </rPr>
      <t xml:space="preserve">| 5 | </t>
    </r>
    <r>
      <rPr>
        <i val="true"/>
        <sz val="9"/>
        <color rgb="FF808080"/>
        <rFont val="FreeSans"/>
        <family val="2"/>
      </rPr>
      <t xml:space="preserve">สร</t>
    </r>
    <r>
      <rPr>
        <i val="true"/>
        <sz val="9"/>
        <color rgb="FF808080"/>
        <rFont val="Tahoma"/>
        <family val="0"/>
        <charset val="1"/>
      </rPr>
      <t xml:space="preserve">.001/2569 | 20-Jun-26 | </t>
    </r>
    <r>
      <rPr>
        <i val="true"/>
        <sz val="9"/>
        <color rgb="FF808080"/>
        <rFont val="FreeSans"/>
        <family val="2"/>
      </rPr>
      <t xml:space="preserve">อนุมัติ </t>
    </r>
    <r>
      <rPr>
        <i val="true"/>
        <sz val="9"/>
        <color rgb="FF808080"/>
        <rFont val="Tahoma"/>
        <family val="0"/>
        <charset val="1"/>
      </rPr>
      <t xml:space="preserve">| 5</t>
    </r>
  </si>
  <si>
    <r>
      <rPr>
        <b val="true"/>
        <sz val="9"/>
        <color rgb="FFFFFFFF"/>
        <rFont val="FreeSans"/>
        <family val="2"/>
      </rPr>
      <t xml:space="preserve">ลำดับ
</t>
    </r>
    <r>
      <rPr>
        <b val="true"/>
        <sz val="9"/>
        <color rgb="FFFFFFFF"/>
        <rFont val="Tahoma"/>
        <family val="0"/>
        <charset val="1"/>
      </rPr>
      <t xml:space="preserve">No.</t>
    </r>
  </si>
  <si>
    <r>
      <rPr>
        <b val="true"/>
        <sz val="9"/>
        <color rgb="FFFFFFFF"/>
        <rFont val="FreeSans"/>
        <family val="2"/>
      </rPr>
      <t xml:space="preserve">วันที่เกิดเหตุ
</t>
    </r>
    <r>
      <rPr>
        <b val="true"/>
        <sz val="9"/>
        <color rgb="FFFFFFFF"/>
        <rFont val="Tahoma"/>
        <family val="0"/>
        <charset val="1"/>
      </rPr>
      <t xml:space="preserve">Event Date</t>
    </r>
  </si>
  <si>
    <r>
      <rPr>
        <b val="true"/>
        <sz val="9"/>
        <color rgb="FFFFFFFF"/>
        <rFont val="FreeSans"/>
        <family val="2"/>
      </rPr>
      <t xml:space="preserve">รายละเอียดเหตุการณ์
</t>
    </r>
    <r>
      <rPr>
        <b val="true"/>
        <sz val="9"/>
        <color rgb="FFFFFFFF"/>
        <rFont val="Tahoma"/>
        <family val="0"/>
        <charset val="1"/>
      </rPr>
      <t xml:space="preserve">Description of Delay Event</t>
    </r>
  </si>
  <si>
    <r>
      <rPr>
        <b val="true"/>
        <sz val="9"/>
        <color rgb="FFFFFFFF"/>
        <rFont val="Tahoma"/>
        <family val="0"/>
        <charset val="1"/>
      </rPr>
      <t xml:space="preserve">WBS </t>
    </r>
    <r>
      <rPr>
        <b val="true"/>
        <sz val="9"/>
        <color rgb="FFFFFFFF"/>
        <rFont val="FreeSans"/>
        <family val="2"/>
      </rPr>
      <t xml:space="preserve">ที่กระทบ
</t>
    </r>
    <r>
      <rPr>
        <b val="true"/>
        <sz val="9"/>
        <color rgb="FFFFFFFF"/>
        <rFont val="Tahoma"/>
        <family val="0"/>
        <charset val="1"/>
      </rPr>
      <t xml:space="preserve">Affected WBS</t>
    </r>
  </si>
  <si>
    <r>
      <rPr>
        <b val="true"/>
        <sz val="9"/>
        <color rgb="FFFFFFFF"/>
        <rFont val="FreeSans"/>
        <family val="2"/>
      </rPr>
      <t xml:space="preserve">สาเหตุจาก
</t>
    </r>
    <r>
      <rPr>
        <b val="true"/>
        <sz val="9"/>
        <color rgb="FFFFFFFF"/>
        <rFont val="Tahoma"/>
        <family val="0"/>
        <charset val="1"/>
      </rPr>
      <t xml:space="preserve">Caused by</t>
    </r>
  </si>
  <si>
    <r>
      <rPr>
        <b val="true"/>
        <sz val="9"/>
        <color rgb="FFFFFFFF"/>
        <rFont val="FreeSans"/>
        <family val="2"/>
      </rPr>
      <t xml:space="preserve">วันที่ขอขยาย
</t>
    </r>
    <r>
      <rPr>
        <b val="true"/>
        <sz val="9"/>
        <color rgb="FFFFFFFF"/>
        <rFont val="Tahoma"/>
        <family val="0"/>
        <charset val="1"/>
      </rPr>
      <t xml:space="preserve">Days Claimed</t>
    </r>
  </si>
  <si>
    <r>
      <rPr>
        <b val="true"/>
        <sz val="9"/>
        <color rgb="FFFFFFFF"/>
        <rFont val="FreeSans"/>
        <family val="2"/>
      </rPr>
      <t xml:space="preserve">เลขที่หนังสือ
</t>
    </r>
    <r>
      <rPr>
        <b val="true"/>
        <sz val="9"/>
        <color rgb="FFFFFFFF"/>
        <rFont val="Tahoma"/>
        <family val="0"/>
        <charset val="1"/>
      </rPr>
      <t xml:space="preserve">Letter Ref.</t>
    </r>
  </si>
  <si>
    <r>
      <rPr>
        <b val="true"/>
        <sz val="9"/>
        <color rgb="FFFFFFFF"/>
        <rFont val="FreeSans"/>
        <family val="2"/>
      </rPr>
      <t xml:space="preserve">วันที่ยื่น
</t>
    </r>
    <r>
      <rPr>
        <b val="true"/>
        <sz val="9"/>
        <color rgb="FFFFFFFF"/>
        <rFont val="Tahoma"/>
        <family val="0"/>
        <charset val="1"/>
      </rPr>
      <t xml:space="preserve">Submitted</t>
    </r>
  </si>
  <si>
    <r>
      <rPr>
        <b val="true"/>
        <sz val="9"/>
        <color rgb="FFFFFFFF"/>
        <rFont val="FreeSans"/>
        <family val="2"/>
      </rPr>
      <t xml:space="preserve">ผลพิจารณา
</t>
    </r>
    <r>
      <rPr>
        <b val="true"/>
        <sz val="9"/>
        <color rgb="FFFFFFFF"/>
        <rFont val="Tahoma"/>
        <family val="0"/>
        <charset val="1"/>
      </rPr>
      <t xml:space="preserve">Status</t>
    </r>
  </si>
  <si>
    <r>
      <rPr>
        <b val="true"/>
        <sz val="9"/>
        <color rgb="FFFFFFFF"/>
        <rFont val="FreeSans"/>
        <family val="2"/>
      </rPr>
      <t xml:space="preserve">วันที่อนุมัติ
</t>
    </r>
    <r>
      <rPr>
        <b val="true"/>
        <sz val="9"/>
        <color rgb="FFFFFFFF"/>
        <rFont val="Tahoma"/>
        <family val="0"/>
        <charset val="1"/>
      </rPr>
      <t xml:space="preserve">Days Approved</t>
    </r>
  </si>
  <si>
    <r>
      <rPr>
        <b val="true"/>
        <sz val="9"/>
        <color rgb="FFFFFFFF"/>
        <rFont val="FreeSans"/>
        <family val="2"/>
      </rPr>
      <t xml:space="preserve">สิทธิ์ขยายเวลา
</t>
    </r>
    <r>
      <rPr>
        <b val="true"/>
        <sz val="9"/>
        <color rgb="FFFFFFFF"/>
        <rFont val="Tahoma"/>
        <family val="0"/>
        <charset val="1"/>
      </rPr>
      <t xml:space="preserve">Entitlement</t>
    </r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</si>
</sst>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#,##0;[RED]\(#,##0\);\-"/>
    <numFmt numFmtId="166" formatCode="dd\-mmm\-yy"/>
    <numFmt numFmtId="167" formatCode="#,##0"/>
    <numFmt numFmtId="168" formatCode="0.000%"/>
    <numFmt numFmtId="169" formatCode="0%"/>
    <numFmt numFmtId="170" formatCode="0"/>
    <numFmt numFmtId="171" formatCode="General"/>
    <numFmt numFmtId="172" formatCode="0.00%;\-0.00%;\-"/>
    <numFmt numFmtId="173" formatCode="#,##0;[RED]\-#,##0;0"/>
    <numFmt numFmtId="174" formatCode="0.00%;[RED]\-0.00%;\-"/>
    <numFmt numFmtId="175" formatCode="0.00"/>
    <numFmt numFmtId="176" formatCode="#,##0.0"/>
    <numFmt numFmtId="177" formatCode="#,##0.0;[RED]\-#,##0.0"/>
    <numFmt numFmtId="178" formatCode="0.0\x"/>
    <numFmt numFmtId="179" formatCode="0.0"/>
    <numFmt numFmtId="180" formatCode="mmm\-yy"/>
    <numFmt numFmtId="181" formatCode="#,##0.0,,&quot; M&quot;"/>
    <numFmt numFmtId="182" formatCode="\+#,##0;\-#,##0;0"/>
    <numFmt numFmtId="183" formatCode="#,##0&quot; วัน&quot;"/>
    <numFmt numFmtId="184" formatCode="#,##0.00;[RED]\(#,##0.00\);\-"/>
    <numFmt numFmtId="185" formatCode="#,##0;\-#,##0;\-"/>
    <numFmt numFmtId="186" formatCode="0.00%;[RED]\-0.00%;0.00%"/>
    <numFmt numFmtId="187" formatCode="\+#,##0&quot; วัน&quot;;[RED]\-#,##0&quot; วัน&quot;;0&quot; วัน&quot;"/>
    <numFmt numFmtId="188" formatCode="#,##0.00"/>
    <numFmt numFmtId="189" formatCode="#,##0;\-#,##0;0"/>
    <numFmt numFmtId="190" formatCode="#,##0.00;[RED]\-#,##0.00;\-"/>
    <numFmt numFmtId="191" formatCode="0.00%"/>
    <numFmt numFmtId="192" formatCode="0.0000"/>
    <numFmt numFmtId="193" formatCode=";;;"/>
    <numFmt numFmtId="194" formatCode="d/m/yy"/>
  </numFmts>
  <fonts count="6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FreeSans"/>
      <family val="2"/>
    </font>
    <font>
      <b val="true"/>
      <sz val="16"/>
      <color rgb="FF1F3864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b val="true"/>
      <sz val="11"/>
      <color rgb="FFFFFFFF"/>
      <name val="FreeSans"/>
      <family val="2"/>
    </font>
    <font>
      <sz val="9"/>
      <name val="FreeSans"/>
      <family val="2"/>
    </font>
    <font>
      <sz val="9"/>
      <name val="Tahoma"/>
      <family val="0"/>
      <charset val="1"/>
    </font>
    <font>
      <b val="true"/>
      <sz val="9"/>
      <color rgb="FF1F3864"/>
      <name val="FreeSans"/>
      <family val="2"/>
    </font>
    <font>
      <b val="true"/>
      <sz val="9"/>
      <color rgb="FF1F3864"/>
      <name val="Tahoma"/>
      <family val="0"/>
      <charset val="1"/>
    </font>
    <font>
      <b val="true"/>
      <sz val="9"/>
      <name val="FreeSans"/>
      <family val="2"/>
    </font>
    <font>
      <b val="true"/>
      <sz val="9"/>
      <name val="Tahoma"/>
      <family val="0"/>
      <charset val="1"/>
    </font>
    <font>
      <i val="true"/>
      <sz val="9"/>
      <color rgb="FF595959"/>
      <name val="FreeSans"/>
      <family val="2"/>
    </font>
    <font>
      <i val="true"/>
      <sz val="9"/>
      <color rgb="FF595959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9"/>
      <color rgb="FFFFFFFF"/>
      <name val="Tahoma"/>
      <family val="0"/>
      <charset val="1"/>
    </font>
    <font>
      <sz val="10"/>
      <name val="FreeSans"/>
      <family val="2"/>
    </font>
    <font>
      <sz val="10"/>
      <name val="Tahoma"/>
      <family val="0"/>
      <charset val="1"/>
    </font>
    <font>
      <sz val="10"/>
      <color rgb="FF0000FF"/>
      <name val="FreeSans"/>
      <family val="2"/>
    </font>
    <font>
      <sz val="10"/>
      <color rgb="FF0000FF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10"/>
      <name val="Tahoma"/>
      <family val="0"/>
      <charset val="1"/>
    </font>
    <font>
      <b val="true"/>
      <sz val="9"/>
      <color rgb="FF808080"/>
      <name val="FreeSans"/>
      <family val="2"/>
    </font>
    <font>
      <b val="true"/>
      <sz val="9"/>
      <color rgb="FF808080"/>
      <name val="Tahoma"/>
      <family val="0"/>
      <charset val="1"/>
    </font>
    <font>
      <sz val="9"/>
      <color rgb="FF808080"/>
      <name val="FreeSans"/>
      <family val="2"/>
    </font>
    <font>
      <sz val="9"/>
      <color rgb="FF808080"/>
      <name val="Tahoma"/>
      <family val="0"/>
      <charset val="1"/>
    </font>
    <font>
      <sz val="10"/>
      <name val="Arial"/>
      <family val="2"/>
      <charset val="1"/>
    </font>
    <font>
      <sz val="10"/>
      <name val="FreeSans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8"/>
      <color rgb="FF000000"/>
      <name val="FreeSans"/>
      <family val="2"/>
    </font>
    <font>
      <b val="true"/>
      <sz val="16"/>
      <color rgb="FFFFFFFF"/>
      <name val="FreeSans"/>
      <family val="2"/>
    </font>
    <font>
      <b val="true"/>
      <sz val="16"/>
      <color rgb="FFFFFFFF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FFFFFF"/>
      <name val="FreeSans"/>
      <family val="2"/>
    </font>
    <font>
      <i val="true"/>
      <sz val="8"/>
      <color rgb="FF808080"/>
      <name val="FreeSans"/>
      <family val="2"/>
    </font>
    <font>
      <i val="true"/>
      <sz val="8"/>
      <color rgb="FF808080"/>
      <name val="Tahoma"/>
      <family val="0"/>
      <charset val="1"/>
    </font>
    <font>
      <sz val="8"/>
      <color rgb="FFFFFFFF"/>
      <name val="Tahoma"/>
      <family val="0"/>
      <charset val="1"/>
    </font>
    <font>
      <sz val="8"/>
      <color rgb="FF808080"/>
      <name val="Tahoma"/>
      <family val="0"/>
      <charset val="1"/>
    </font>
    <font>
      <i val="true"/>
      <sz val="9"/>
      <color rgb="FF808080"/>
      <name val="FreeSans"/>
      <family val="2"/>
    </font>
    <font>
      <i val="true"/>
      <sz val="9"/>
      <color rgb="FF808080"/>
      <name val="Tahoma"/>
      <family val="0"/>
      <charset val="1"/>
    </font>
    <font>
      <b val="true"/>
      <sz val="10"/>
      <name val="FreeSans"/>
      <family val="2"/>
    </font>
    <font>
      <b val="true"/>
      <sz val="22"/>
      <name val="FreeSans"/>
      <family val="2"/>
    </font>
    <font>
      <b val="true"/>
      <sz val="11"/>
      <name val="FreeSans"/>
      <family val="2"/>
    </font>
    <font>
      <sz val="11"/>
      <name val="Tahoma"/>
      <family val="0"/>
      <charset val="1"/>
    </font>
    <font>
      <sz val="11"/>
      <name val="FreeSans"/>
      <family val="2"/>
    </font>
    <font>
      <i val="true"/>
      <sz val="8"/>
      <color rgb="FFC00000"/>
      <name val="Tahoma"/>
      <family val="0"/>
      <charset val="1"/>
    </font>
    <font>
      <b val="true"/>
      <sz val="14"/>
      <color rgb="FF1F3864"/>
      <name val="Tahoma"/>
      <family val="0"/>
      <charset val="1"/>
    </font>
    <font>
      <sz val="12"/>
      <color rgb="FFBFBFBF"/>
      <name val="FreeSans"/>
      <family val="2"/>
    </font>
    <font>
      <sz val="12"/>
      <color rgb="FFBFBFBF"/>
      <name val="Tahoma"/>
      <family val="0"/>
      <charset val="1"/>
    </font>
    <font>
      <sz val="9"/>
      <color rgb="FF0000FF"/>
      <name val="Tahoma"/>
      <family val="0"/>
      <charset val="1"/>
    </font>
    <font>
      <b val="true"/>
      <sz val="11"/>
      <color rgb="FF1F3864"/>
      <name val="Tahoma"/>
      <family val="0"/>
      <charset val="1"/>
    </font>
    <font>
      <i val="true"/>
      <sz val="8"/>
      <color rgb="FF595959"/>
      <name val="FreeSans"/>
      <family val="2"/>
    </font>
    <font>
      <i val="true"/>
      <sz val="8"/>
      <color rgb="FF595959"/>
      <name val="Tahoma"/>
      <family val="0"/>
      <charset val="1"/>
    </font>
    <font>
      <i val="true"/>
      <sz val="8"/>
      <color rgb="FFC00000"/>
      <name val="FreeSans"/>
      <family val="2"/>
    </font>
    <font>
      <b val="true"/>
      <sz val="9"/>
      <color rgb="FF595959"/>
      <name val="FreeSans"/>
      <family val="2"/>
    </font>
    <font>
      <b val="true"/>
      <sz val="9"/>
      <color rgb="FF595959"/>
      <name val="Tahoma"/>
      <family val="0"/>
      <charset val="1"/>
    </font>
    <font>
      <b val="true"/>
      <sz val="16"/>
      <color rgb="FFC00000"/>
      <name val="Tahoma"/>
      <family val="0"/>
      <charset val="1"/>
    </font>
    <font>
      <b val="true"/>
      <sz val="10"/>
      <color rgb="FF008000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8"/>
      <color rgb="FFA6A6A6"/>
      <name val="Tahoma"/>
      <family val="0"/>
      <charset val="1"/>
    </font>
    <font>
      <sz val="10"/>
      <name val="Arial"/>
      <family val="2"/>
    </font>
    <font>
      <sz val="8"/>
      <color rgb="FF808080"/>
      <name val="FreeSans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9BC2E6"/>
        <bgColor rgb="FFBFBFBF"/>
      </patternFill>
    </fill>
    <fill>
      <patternFill patternType="solid">
        <fgColor rgb="FFF4B084"/>
        <bgColor rgb="FFFFC7CE"/>
      </patternFill>
    </fill>
    <fill>
      <patternFill patternType="solid">
        <fgColor rgb="FF70AD47"/>
        <bgColor rgb="FF548235"/>
      </patternFill>
    </fill>
    <fill>
      <patternFill patternType="solid">
        <fgColor rgb="FFC00000"/>
        <bgColor rgb="FF9C0006"/>
      </patternFill>
    </fill>
    <fill>
      <patternFill patternType="solid">
        <fgColor rgb="FFFCE4D6"/>
        <bgColor rgb="FFFFF2CC"/>
      </patternFill>
    </fill>
    <fill>
      <patternFill patternType="solid">
        <fgColor rgb="FF7030A0"/>
        <bgColor rgb="FF800080"/>
      </patternFill>
    </fill>
    <fill>
      <patternFill patternType="solid">
        <fgColor rgb="FFC55A11"/>
        <bgColor rgb="FF9C5700"/>
      </patternFill>
    </fill>
    <fill>
      <patternFill patternType="solid">
        <fgColor rgb="FF2F5597"/>
        <bgColor rgb="FF1F3864"/>
      </patternFill>
    </fill>
    <fill>
      <patternFill patternType="solid">
        <fgColor rgb="FFE2EFDA"/>
        <bgColor rgb="FFD9E1F2"/>
      </patternFill>
    </fill>
    <fill>
      <patternFill patternType="solid">
        <fgColor rgb="FF548235"/>
        <bgColor rgb="FF59595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dotted">
        <color rgb="FF808080"/>
      </bottom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2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1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3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3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4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5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23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4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86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1" fontId="1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4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5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5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90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0" fontId="1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13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9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94" fontId="63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3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1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1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1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1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b val="1"/>
        <color rgb="FFFFFFFF"/>
      </font>
      <fill>
        <patternFill>
          <bgColor rgb="FFC00000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C00000"/>
      </font>
      <fill>
        <patternFill>
          <bgColor rgb="FFFFC7CE"/>
        </patternFill>
      </fill>
    </dxf>
    <dxf>
      <font>
        <b val="1"/>
        <color rgb="FFC00000"/>
      </font>
    </dxf>
    <dxf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</dxf>
    <dxf>
      <fill>
        <patternFill>
          <bgColor rgb="FFFCE4D6"/>
        </patternFill>
      </fill>
    </dxf>
    <dxf>
      <font>
        <color rgb="FFC00000"/>
      </font>
    </dxf>
    <dxf>
      <fill>
        <patternFill>
          <bgColor rgb="FF70AD47"/>
        </patternFill>
      </fill>
    </dxf>
    <dxf>
      <fill>
        <patternFill>
          <bgColor rgb="FFF4B084"/>
        </patternFill>
      </fill>
    </dxf>
    <dxf>
      <fill>
        <patternFill>
          <bgColor rgb="FF9BC2E6"/>
        </patternFill>
      </fill>
    </dxf>
    <dxf>
      <fill>
        <patternFill>
          <bgColor rgb="FFC00000"/>
        </patternFill>
      </fill>
    </dxf>
    <dxf>
      <font>
        <b val="1"/>
      </font>
      <fill>
        <patternFill>
          <bgColor rgb="FFFCE4D6"/>
        </patternFill>
      </fill>
    </dxf>
    <dxf>
      <font>
        <color rgb="FF9C000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08080"/>
      <rgbColor rgb="FFA6A6A6"/>
      <rgbColor rgb="FF7030A0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BC2E6"/>
      <rgbColor rgb="FFF4B084"/>
      <rgbColor rgb="FFFCE4D6"/>
      <rgbColor rgb="FFFFC7CE"/>
      <rgbColor rgb="FF7F7F7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70AD47"/>
      <rgbColor rgb="FF006100"/>
      <rgbColor rgb="FF333300"/>
      <rgbColor rgb="FF9C5700"/>
      <rgbColor rgb="FFC55A11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S-Curve: Baseline / Revised / Actual /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'S-Curve'!$Q$6</c:f>
              <c:strCache>
                <c:ptCount val="1"/>
                <c:pt idx="0">
                  <c:v>Baseline แผนเดิม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'S-Curve'!$P$7:$P$86</c:f>
              <c:numCache>
                <c:formatCode>dd\-mmm\-yy</c:formatCode>
                <c:ptCount val="80"/>
                <c:pt idx="0">
                  <c:v>46073</c:v>
                </c:pt>
                <c:pt idx="1">
                  <c:v>46081</c:v>
                </c:pt>
                <c:pt idx="2">
                  <c:v>46091</c:v>
                </c:pt>
                <c:pt idx="3">
                  <c:v>46101</c:v>
                </c:pt>
                <c:pt idx="4">
                  <c:v>46112</c:v>
                </c:pt>
                <c:pt idx="5">
                  <c:v>46122</c:v>
                </c:pt>
                <c:pt idx="6">
                  <c:v>46132</c:v>
                </c:pt>
                <c:pt idx="7">
                  <c:v>46142</c:v>
                </c:pt>
                <c:pt idx="8">
                  <c:v>46152</c:v>
                </c:pt>
                <c:pt idx="9">
                  <c:v>46162</c:v>
                </c:pt>
                <c:pt idx="10">
                  <c:v>46173</c:v>
                </c:pt>
                <c:pt idx="11">
                  <c:v>46183</c:v>
                </c:pt>
                <c:pt idx="12">
                  <c:v>46193</c:v>
                </c:pt>
                <c:pt idx="13">
                  <c:v>46203</c:v>
                </c:pt>
                <c:pt idx="14">
                  <c:v>46213</c:v>
                </c:pt>
                <c:pt idx="15">
                  <c:v>46223</c:v>
                </c:pt>
                <c:pt idx="16">
                  <c:v>46234</c:v>
                </c:pt>
                <c:pt idx="17">
                  <c:v>46244</c:v>
                </c:pt>
                <c:pt idx="18">
                  <c:v>46254</c:v>
                </c:pt>
                <c:pt idx="19">
                  <c:v>46265</c:v>
                </c:pt>
                <c:pt idx="20">
                  <c:v>46275</c:v>
                </c:pt>
                <c:pt idx="21">
                  <c:v>46285</c:v>
                </c:pt>
                <c:pt idx="22">
                  <c:v>46295</c:v>
                </c:pt>
                <c:pt idx="23">
                  <c:v>46305</c:v>
                </c:pt>
                <c:pt idx="24">
                  <c:v>46315</c:v>
                </c:pt>
                <c:pt idx="25">
                  <c:v>46326</c:v>
                </c:pt>
                <c:pt idx="26">
                  <c:v>46336</c:v>
                </c:pt>
                <c:pt idx="27">
                  <c:v>46346</c:v>
                </c:pt>
                <c:pt idx="28">
                  <c:v>46346</c:v>
                </c:pt>
                <c:pt idx="29">
                  <c:v>46346</c:v>
                </c:pt>
                <c:pt idx="30">
                  <c:v>46346</c:v>
                </c:pt>
                <c:pt idx="31">
                  <c:v>46346</c:v>
                </c:pt>
                <c:pt idx="32">
                  <c:v>46346</c:v>
                </c:pt>
                <c:pt idx="33">
                  <c:v>46346</c:v>
                </c:pt>
                <c:pt idx="34">
                  <c:v>46346</c:v>
                </c:pt>
                <c:pt idx="35">
                  <c:v>46346</c:v>
                </c:pt>
                <c:pt idx="36">
                  <c:v>46346</c:v>
                </c:pt>
                <c:pt idx="37">
                  <c:v>46346</c:v>
                </c:pt>
                <c:pt idx="38">
                  <c:v>46346</c:v>
                </c:pt>
                <c:pt idx="39">
                  <c:v>46346</c:v>
                </c:pt>
                <c:pt idx="40">
                  <c:v>46346</c:v>
                </c:pt>
                <c:pt idx="41">
                  <c:v>46346</c:v>
                </c:pt>
                <c:pt idx="42">
                  <c:v>46346</c:v>
                </c:pt>
                <c:pt idx="43">
                  <c:v>46346</c:v>
                </c:pt>
                <c:pt idx="44">
                  <c:v>46346</c:v>
                </c:pt>
                <c:pt idx="45">
                  <c:v>46346</c:v>
                </c:pt>
                <c:pt idx="46">
                  <c:v>46346</c:v>
                </c:pt>
                <c:pt idx="47">
                  <c:v>46346</c:v>
                </c:pt>
                <c:pt idx="48">
                  <c:v>46346</c:v>
                </c:pt>
                <c:pt idx="49">
                  <c:v>46346</c:v>
                </c:pt>
                <c:pt idx="50">
                  <c:v>46346</c:v>
                </c:pt>
                <c:pt idx="51">
                  <c:v>46346</c:v>
                </c:pt>
                <c:pt idx="52">
                  <c:v>46346</c:v>
                </c:pt>
                <c:pt idx="53">
                  <c:v>46346</c:v>
                </c:pt>
                <c:pt idx="54">
                  <c:v>46346</c:v>
                </c:pt>
                <c:pt idx="55">
                  <c:v>46346</c:v>
                </c:pt>
                <c:pt idx="56">
                  <c:v>46346</c:v>
                </c:pt>
                <c:pt idx="57">
                  <c:v>46346</c:v>
                </c:pt>
                <c:pt idx="58">
                  <c:v>46346</c:v>
                </c:pt>
                <c:pt idx="59">
                  <c:v>46346</c:v>
                </c:pt>
                <c:pt idx="60">
                  <c:v>46346</c:v>
                </c:pt>
                <c:pt idx="61">
                  <c:v>46346</c:v>
                </c:pt>
                <c:pt idx="62">
                  <c:v>46346</c:v>
                </c:pt>
                <c:pt idx="63">
                  <c:v>46346</c:v>
                </c:pt>
                <c:pt idx="64">
                  <c:v>46346</c:v>
                </c:pt>
                <c:pt idx="65">
                  <c:v>46346</c:v>
                </c:pt>
                <c:pt idx="66">
                  <c:v>46346</c:v>
                </c:pt>
                <c:pt idx="67">
                  <c:v>46346</c:v>
                </c:pt>
                <c:pt idx="68">
                  <c:v>46346</c:v>
                </c:pt>
                <c:pt idx="69">
                  <c:v>46346</c:v>
                </c:pt>
                <c:pt idx="70">
                  <c:v>46346</c:v>
                </c:pt>
                <c:pt idx="71">
                  <c:v>46346</c:v>
                </c:pt>
                <c:pt idx="72">
                  <c:v>46346</c:v>
                </c:pt>
                <c:pt idx="73">
                  <c:v>46346</c:v>
                </c:pt>
                <c:pt idx="74">
                  <c:v>46346</c:v>
                </c:pt>
                <c:pt idx="75">
                  <c:v>46346</c:v>
                </c:pt>
                <c:pt idx="76">
                  <c:v>46346</c:v>
                </c:pt>
                <c:pt idx="77">
                  <c:v>46346</c:v>
                </c:pt>
                <c:pt idx="78">
                  <c:v>46346</c:v>
                </c:pt>
                <c:pt idx="79">
                  <c:v>46346</c:v>
                </c:pt>
              </c:numCache>
            </c:numRef>
          </c:xVal>
          <c:yVal>
            <c:numRef>
              <c:f>'S-Curve'!$Q$7:$Q$86</c:f>
              <c:numCache>
                <c:formatCode>0.00%</c:formatCode>
                <c:ptCount val="80"/>
                <c:pt idx="0">
                  <c:v>0.0050375</c:v>
                </c:pt>
                <c:pt idx="1">
                  <c:v>0.0251875</c:v>
                </c:pt>
                <c:pt idx="2">
                  <c:v>0.0442</c:v>
                </c:pt>
                <c:pt idx="3">
                  <c:v>0.0658561148590209</c:v>
                </c:pt>
                <c:pt idx="4">
                  <c:v>0.0985714582252206</c:v>
                </c:pt>
                <c:pt idx="5">
                  <c:v>0.12831267946722</c:v>
                </c:pt>
                <c:pt idx="6">
                  <c:v>0.167925943719973</c:v>
                </c:pt>
                <c:pt idx="7">
                  <c:v>0.208203225806452</c:v>
                </c:pt>
                <c:pt idx="8">
                  <c:v>0.228267741935484</c:v>
                </c:pt>
                <c:pt idx="9">
                  <c:v>0.262876923076923</c:v>
                </c:pt>
                <c:pt idx="10">
                  <c:v>0.289911538461538</c:v>
                </c:pt>
                <c:pt idx="11">
                  <c:v>0.32776</c:v>
                </c:pt>
                <c:pt idx="12">
                  <c:v>0.365358709677419</c:v>
                </c:pt>
                <c:pt idx="13">
                  <c:v>0.398203225806452</c:v>
                </c:pt>
                <c:pt idx="14">
                  <c:v>0.438919915848527</c:v>
                </c:pt>
                <c:pt idx="15">
                  <c:v>0.523866847826087</c:v>
                </c:pt>
                <c:pt idx="16">
                  <c:v>0.612124025715801</c:v>
                </c:pt>
                <c:pt idx="17">
                  <c:v>0.672994187433722</c:v>
                </c:pt>
                <c:pt idx="18">
                  <c:v>0.716724057649667</c:v>
                </c:pt>
                <c:pt idx="19">
                  <c:v>0.769454545454545</c:v>
                </c:pt>
                <c:pt idx="20">
                  <c:v>0.8198</c:v>
                </c:pt>
                <c:pt idx="21">
                  <c:v>0.8411</c:v>
                </c:pt>
                <c:pt idx="22">
                  <c:v>0.8624</c:v>
                </c:pt>
                <c:pt idx="23">
                  <c:v>0.8837</c:v>
                </c:pt>
                <c:pt idx="24">
                  <c:v>0.897516216216216</c:v>
                </c:pt>
                <c:pt idx="25">
                  <c:v>0.922845945945946</c:v>
                </c:pt>
                <c:pt idx="26">
                  <c:v>0.965310472972973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'S-Curve'!$S$6</c:f>
              <c:strCache>
                <c:ptCount val="1"/>
                <c:pt idx="0">
                  <c:v>Revised แผนเร่งรัด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'S-Curve'!$R$7:$R$86</c:f>
              <c:numCache>
                <c:formatCode>dd\-mmm\-yy</c:formatCode>
                <c:ptCount val="80"/>
                <c:pt idx="0">
                  <c:v>46072</c:v>
                </c:pt>
                <c:pt idx="1">
                  <c:v>46072</c:v>
                </c:pt>
                <c:pt idx="2">
                  <c:v>46072</c:v>
                </c:pt>
                <c:pt idx="3">
                  <c:v>46072</c:v>
                </c:pt>
                <c:pt idx="4">
                  <c:v>46072</c:v>
                </c:pt>
                <c:pt idx="5">
                  <c:v>46072</c:v>
                </c:pt>
                <c:pt idx="6">
                  <c:v>46072</c:v>
                </c:pt>
                <c:pt idx="7">
                  <c:v>46072</c:v>
                </c:pt>
                <c:pt idx="8">
                  <c:v>46072</c:v>
                </c:pt>
                <c:pt idx="9">
                  <c:v>46072</c:v>
                </c:pt>
                <c:pt idx="10">
                  <c:v>46072</c:v>
                </c:pt>
                <c:pt idx="11">
                  <c:v>46072</c:v>
                </c:pt>
                <c:pt idx="12">
                  <c:v>46072</c:v>
                </c:pt>
                <c:pt idx="13">
                  <c:v>46072</c:v>
                </c:pt>
                <c:pt idx="14">
                  <c:v>46072</c:v>
                </c:pt>
                <c:pt idx="15">
                  <c:v>46072</c:v>
                </c:pt>
                <c:pt idx="16">
                  <c:v>46072</c:v>
                </c:pt>
                <c:pt idx="17">
                  <c:v>46072</c:v>
                </c:pt>
                <c:pt idx="18">
                  <c:v>46072</c:v>
                </c:pt>
                <c:pt idx="19">
                  <c:v>46072</c:v>
                </c:pt>
                <c:pt idx="20">
                  <c:v>46072</c:v>
                </c:pt>
                <c:pt idx="21">
                  <c:v>46072</c:v>
                </c:pt>
                <c:pt idx="22">
                  <c:v>46072</c:v>
                </c:pt>
                <c:pt idx="23">
                  <c:v>46072</c:v>
                </c:pt>
                <c:pt idx="24">
                  <c:v>46072</c:v>
                </c:pt>
                <c:pt idx="25">
                  <c:v>46072</c:v>
                </c:pt>
                <c:pt idx="26">
                  <c:v>46072</c:v>
                </c:pt>
                <c:pt idx="27">
                  <c:v>46072</c:v>
                </c:pt>
                <c:pt idx="28">
                  <c:v>46072</c:v>
                </c:pt>
                <c:pt idx="29">
                  <c:v>46072</c:v>
                </c:pt>
                <c:pt idx="30">
                  <c:v>46072</c:v>
                </c:pt>
                <c:pt idx="31">
                  <c:v>46072</c:v>
                </c:pt>
                <c:pt idx="32">
                  <c:v>46072</c:v>
                </c:pt>
                <c:pt idx="33">
                  <c:v>46072</c:v>
                </c:pt>
                <c:pt idx="34">
                  <c:v>46072</c:v>
                </c:pt>
                <c:pt idx="35">
                  <c:v>46072</c:v>
                </c:pt>
                <c:pt idx="36">
                  <c:v>46072</c:v>
                </c:pt>
                <c:pt idx="37">
                  <c:v>46072</c:v>
                </c:pt>
                <c:pt idx="38">
                  <c:v>46072</c:v>
                </c:pt>
                <c:pt idx="39">
                  <c:v>46072</c:v>
                </c:pt>
                <c:pt idx="40">
                  <c:v>46072</c:v>
                </c:pt>
                <c:pt idx="41">
                  <c:v>46072</c:v>
                </c:pt>
                <c:pt idx="42">
                  <c:v>46072</c:v>
                </c:pt>
                <c:pt idx="43">
                  <c:v>46072</c:v>
                </c:pt>
                <c:pt idx="44">
                  <c:v>46072</c:v>
                </c:pt>
                <c:pt idx="45">
                  <c:v>46072</c:v>
                </c:pt>
                <c:pt idx="46">
                  <c:v>46072</c:v>
                </c:pt>
                <c:pt idx="47">
                  <c:v>46072</c:v>
                </c:pt>
                <c:pt idx="48">
                  <c:v>46072</c:v>
                </c:pt>
                <c:pt idx="49">
                  <c:v>46072</c:v>
                </c:pt>
                <c:pt idx="50">
                  <c:v>46072</c:v>
                </c:pt>
                <c:pt idx="51">
                  <c:v>46072</c:v>
                </c:pt>
                <c:pt idx="52">
                  <c:v>46072</c:v>
                </c:pt>
                <c:pt idx="53">
                  <c:v>46072</c:v>
                </c:pt>
                <c:pt idx="54">
                  <c:v>46072</c:v>
                </c:pt>
                <c:pt idx="55">
                  <c:v>46072</c:v>
                </c:pt>
                <c:pt idx="56">
                  <c:v>46072</c:v>
                </c:pt>
                <c:pt idx="57">
                  <c:v>46072</c:v>
                </c:pt>
                <c:pt idx="58">
                  <c:v>46072</c:v>
                </c:pt>
                <c:pt idx="59">
                  <c:v>46072</c:v>
                </c:pt>
                <c:pt idx="60">
                  <c:v>46072</c:v>
                </c:pt>
                <c:pt idx="61">
                  <c:v>46072</c:v>
                </c:pt>
                <c:pt idx="62">
                  <c:v>46072</c:v>
                </c:pt>
                <c:pt idx="63">
                  <c:v>46072</c:v>
                </c:pt>
                <c:pt idx="64">
                  <c:v>46072</c:v>
                </c:pt>
                <c:pt idx="65">
                  <c:v>46072</c:v>
                </c:pt>
                <c:pt idx="66">
                  <c:v>46072</c:v>
                </c:pt>
                <c:pt idx="67">
                  <c:v>46072</c:v>
                </c:pt>
                <c:pt idx="68">
                  <c:v>46072</c:v>
                </c:pt>
                <c:pt idx="69">
                  <c:v>46072</c:v>
                </c:pt>
                <c:pt idx="70">
                  <c:v>46072</c:v>
                </c:pt>
                <c:pt idx="71">
                  <c:v>46072</c:v>
                </c:pt>
                <c:pt idx="72">
                  <c:v>46072</c:v>
                </c:pt>
                <c:pt idx="73">
                  <c:v>46072</c:v>
                </c:pt>
                <c:pt idx="74">
                  <c:v>46072</c:v>
                </c:pt>
                <c:pt idx="75">
                  <c:v>46072</c:v>
                </c:pt>
                <c:pt idx="76">
                  <c:v>46072</c:v>
                </c:pt>
                <c:pt idx="77">
                  <c:v>46072</c:v>
                </c:pt>
                <c:pt idx="78">
                  <c:v>46072</c:v>
                </c:pt>
                <c:pt idx="79">
                  <c:v>46072</c:v>
                </c:pt>
              </c:numCache>
            </c:numRef>
          </c:xVal>
          <c:yVal>
            <c:numRef>
              <c:f>'S-Curve'!$S$7:$S$86</c:f>
              <c:numCache>
                <c:formatCode>0.00%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'S-Curve'!$U$6</c:f>
              <c:strCache>
                <c:ptCount val="1"/>
                <c:pt idx="0">
                  <c:v>Actual ผลงานจริง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'S-Curve'!$T$7:$T$86</c:f>
              <c:numCache>
                <c:formatCode>dd\-mmm\-yy</c:formatCode>
                <c:ptCount val="80"/>
                <c:pt idx="0">
                  <c:v>46073</c:v>
                </c:pt>
                <c:pt idx="1">
                  <c:v>46081</c:v>
                </c:pt>
                <c:pt idx="2">
                  <c:v>46091</c:v>
                </c:pt>
                <c:pt idx="3">
                  <c:v>46101</c:v>
                </c:pt>
                <c:pt idx="4">
                  <c:v>46112</c:v>
                </c:pt>
                <c:pt idx="5">
                  <c:v>46122</c:v>
                </c:pt>
                <c:pt idx="6">
                  <c:v>46132</c:v>
                </c:pt>
                <c:pt idx="7">
                  <c:v>46142</c:v>
                </c:pt>
                <c:pt idx="8">
                  <c:v>46142</c:v>
                </c:pt>
                <c:pt idx="9">
                  <c:v>46142</c:v>
                </c:pt>
                <c:pt idx="10">
                  <c:v>46142</c:v>
                </c:pt>
                <c:pt idx="11">
                  <c:v>46142</c:v>
                </c:pt>
                <c:pt idx="12">
                  <c:v>46142</c:v>
                </c:pt>
                <c:pt idx="13">
                  <c:v>46142</c:v>
                </c:pt>
                <c:pt idx="14">
                  <c:v>46142</c:v>
                </c:pt>
                <c:pt idx="15">
                  <c:v>46142</c:v>
                </c:pt>
                <c:pt idx="16">
                  <c:v>46142</c:v>
                </c:pt>
                <c:pt idx="17">
                  <c:v>46142</c:v>
                </c:pt>
                <c:pt idx="18">
                  <c:v>46142</c:v>
                </c:pt>
                <c:pt idx="19">
                  <c:v>46142</c:v>
                </c:pt>
                <c:pt idx="20">
                  <c:v>46142</c:v>
                </c:pt>
                <c:pt idx="21">
                  <c:v>46142</c:v>
                </c:pt>
                <c:pt idx="22">
                  <c:v>46142</c:v>
                </c:pt>
                <c:pt idx="23">
                  <c:v>46142</c:v>
                </c:pt>
                <c:pt idx="24">
                  <c:v>46142</c:v>
                </c:pt>
                <c:pt idx="25">
                  <c:v>46142</c:v>
                </c:pt>
                <c:pt idx="26">
                  <c:v>46142</c:v>
                </c:pt>
                <c:pt idx="27">
                  <c:v>46142</c:v>
                </c:pt>
                <c:pt idx="28">
                  <c:v>46142</c:v>
                </c:pt>
                <c:pt idx="29">
                  <c:v>46142</c:v>
                </c:pt>
                <c:pt idx="30">
                  <c:v>46142</c:v>
                </c:pt>
                <c:pt idx="31">
                  <c:v>46142</c:v>
                </c:pt>
                <c:pt idx="32">
                  <c:v>46142</c:v>
                </c:pt>
                <c:pt idx="33">
                  <c:v>46142</c:v>
                </c:pt>
                <c:pt idx="34">
                  <c:v>46142</c:v>
                </c:pt>
                <c:pt idx="35">
                  <c:v>46142</c:v>
                </c:pt>
                <c:pt idx="36">
                  <c:v>46142</c:v>
                </c:pt>
                <c:pt idx="37">
                  <c:v>46142</c:v>
                </c:pt>
                <c:pt idx="38">
                  <c:v>46142</c:v>
                </c:pt>
                <c:pt idx="39">
                  <c:v>46142</c:v>
                </c:pt>
                <c:pt idx="40">
                  <c:v>46142</c:v>
                </c:pt>
                <c:pt idx="41">
                  <c:v>46142</c:v>
                </c:pt>
                <c:pt idx="42">
                  <c:v>46142</c:v>
                </c:pt>
                <c:pt idx="43">
                  <c:v>46142</c:v>
                </c:pt>
                <c:pt idx="44">
                  <c:v>46142</c:v>
                </c:pt>
                <c:pt idx="45">
                  <c:v>46142</c:v>
                </c:pt>
                <c:pt idx="46">
                  <c:v>46142</c:v>
                </c:pt>
                <c:pt idx="47">
                  <c:v>46142</c:v>
                </c:pt>
                <c:pt idx="48">
                  <c:v>46142</c:v>
                </c:pt>
                <c:pt idx="49">
                  <c:v>46142</c:v>
                </c:pt>
                <c:pt idx="50">
                  <c:v>46142</c:v>
                </c:pt>
                <c:pt idx="51">
                  <c:v>46142</c:v>
                </c:pt>
                <c:pt idx="52">
                  <c:v>46142</c:v>
                </c:pt>
                <c:pt idx="53">
                  <c:v>46142</c:v>
                </c:pt>
                <c:pt idx="54">
                  <c:v>46142</c:v>
                </c:pt>
                <c:pt idx="55">
                  <c:v>46142</c:v>
                </c:pt>
                <c:pt idx="56">
                  <c:v>46142</c:v>
                </c:pt>
                <c:pt idx="57">
                  <c:v>46142</c:v>
                </c:pt>
                <c:pt idx="58">
                  <c:v>46142</c:v>
                </c:pt>
                <c:pt idx="59">
                  <c:v>46142</c:v>
                </c:pt>
                <c:pt idx="60">
                  <c:v>46142</c:v>
                </c:pt>
                <c:pt idx="61">
                  <c:v>46142</c:v>
                </c:pt>
                <c:pt idx="62">
                  <c:v>46142</c:v>
                </c:pt>
                <c:pt idx="63">
                  <c:v>46142</c:v>
                </c:pt>
                <c:pt idx="64">
                  <c:v>46142</c:v>
                </c:pt>
                <c:pt idx="65">
                  <c:v>46142</c:v>
                </c:pt>
                <c:pt idx="66">
                  <c:v>46142</c:v>
                </c:pt>
                <c:pt idx="67">
                  <c:v>46142</c:v>
                </c:pt>
                <c:pt idx="68">
                  <c:v>46142</c:v>
                </c:pt>
                <c:pt idx="69">
                  <c:v>46142</c:v>
                </c:pt>
                <c:pt idx="70">
                  <c:v>46142</c:v>
                </c:pt>
                <c:pt idx="71">
                  <c:v>46142</c:v>
                </c:pt>
                <c:pt idx="72">
                  <c:v>46142</c:v>
                </c:pt>
                <c:pt idx="73">
                  <c:v>46142</c:v>
                </c:pt>
                <c:pt idx="74">
                  <c:v>46142</c:v>
                </c:pt>
                <c:pt idx="75">
                  <c:v>46142</c:v>
                </c:pt>
                <c:pt idx="76">
                  <c:v>46142</c:v>
                </c:pt>
                <c:pt idx="77">
                  <c:v>46142</c:v>
                </c:pt>
                <c:pt idx="78">
                  <c:v>46142</c:v>
                </c:pt>
                <c:pt idx="79">
                  <c:v>46142</c:v>
                </c:pt>
              </c:numCache>
            </c:numRef>
          </c:xVal>
          <c:yVal>
            <c:numRef>
              <c:f>'S-Curve'!$U$7:$U$86</c:f>
              <c:numCache>
                <c:formatCode>0.00%</c:formatCode>
                <c:ptCount val="80"/>
                <c:pt idx="0">
                  <c:v>0</c:v>
                </c:pt>
                <c:pt idx="1">
                  <c:v>0.0092</c:v>
                </c:pt>
                <c:pt idx="2">
                  <c:v>0.0282</c:v>
                </c:pt>
                <c:pt idx="3">
                  <c:v>0.0312</c:v>
                </c:pt>
                <c:pt idx="4">
                  <c:v>0.044</c:v>
                </c:pt>
                <c:pt idx="5">
                  <c:v>0.0483</c:v>
                </c:pt>
                <c:pt idx="6">
                  <c:v>0.0483</c:v>
                </c:pt>
                <c:pt idx="7">
                  <c:v>0.0513</c:v>
                </c:pt>
                <c:pt idx="8">
                  <c:v>0.0513</c:v>
                </c:pt>
                <c:pt idx="9">
                  <c:v>0.0513</c:v>
                </c:pt>
                <c:pt idx="10">
                  <c:v>0.0513</c:v>
                </c:pt>
                <c:pt idx="11">
                  <c:v>0.0513</c:v>
                </c:pt>
                <c:pt idx="12">
                  <c:v>0.0513</c:v>
                </c:pt>
                <c:pt idx="13">
                  <c:v>0.0513</c:v>
                </c:pt>
                <c:pt idx="14">
                  <c:v>0.0513</c:v>
                </c:pt>
                <c:pt idx="15">
                  <c:v>0.0513</c:v>
                </c:pt>
                <c:pt idx="16">
                  <c:v>0.0513</c:v>
                </c:pt>
                <c:pt idx="17">
                  <c:v>0.0513</c:v>
                </c:pt>
                <c:pt idx="18">
                  <c:v>0.0513</c:v>
                </c:pt>
                <c:pt idx="19">
                  <c:v>0.0513</c:v>
                </c:pt>
                <c:pt idx="20">
                  <c:v>0.0513</c:v>
                </c:pt>
                <c:pt idx="21">
                  <c:v>0.0513</c:v>
                </c:pt>
                <c:pt idx="22">
                  <c:v>0.0513</c:v>
                </c:pt>
                <c:pt idx="23">
                  <c:v>0.0513</c:v>
                </c:pt>
                <c:pt idx="24">
                  <c:v>0.0513</c:v>
                </c:pt>
                <c:pt idx="25">
                  <c:v>0.0513</c:v>
                </c:pt>
                <c:pt idx="26">
                  <c:v>0.0513</c:v>
                </c:pt>
                <c:pt idx="27">
                  <c:v>0.0513</c:v>
                </c:pt>
                <c:pt idx="28">
                  <c:v>0.0513</c:v>
                </c:pt>
                <c:pt idx="29">
                  <c:v>0.0513</c:v>
                </c:pt>
                <c:pt idx="30">
                  <c:v>0.0513</c:v>
                </c:pt>
                <c:pt idx="31">
                  <c:v>0.0513</c:v>
                </c:pt>
                <c:pt idx="32">
                  <c:v>0.0513</c:v>
                </c:pt>
                <c:pt idx="33">
                  <c:v>0.0513</c:v>
                </c:pt>
                <c:pt idx="34">
                  <c:v>0.0513</c:v>
                </c:pt>
                <c:pt idx="35">
                  <c:v>0.0513</c:v>
                </c:pt>
                <c:pt idx="36">
                  <c:v>0.0513</c:v>
                </c:pt>
                <c:pt idx="37">
                  <c:v>0.0513</c:v>
                </c:pt>
                <c:pt idx="38">
                  <c:v>0.0513</c:v>
                </c:pt>
                <c:pt idx="39">
                  <c:v>0.0513</c:v>
                </c:pt>
                <c:pt idx="40">
                  <c:v>0.0513</c:v>
                </c:pt>
                <c:pt idx="41">
                  <c:v>0.0513</c:v>
                </c:pt>
                <c:pt idx="42">
                  <c:v>0.0513</c:v>
                </c:pt>
                <c:pt idx="43">
                  <c:v>0.0513</c:v>
                </c:pt>
                <c:pt idx="44">
                  <c:v>0.0513</c:v>
                </c:pt>
                <c:pt idx="45">
                  <c:v>0.0513</c:v>
                </c:pt>
                <c:pt idx="46">
                  <c:v>0.0513</c:v>
                </c:pt>
                <c:pt idx="47">
                  <c:v>0.0513</c:v>
                </c:pt>
                <c:pt idx="48">
                  <c:v>0.0513</c:v>
                </c:pt>
                <c:pt idx="49">
                  <c:v>0.0513</c:v>
                </c:pt>
                <c:pt idx="50">
                  <c:v>0.0513</c:v>
                </c:pt>
                <c:pt idx="51">
                  <c:v>0.0513</c:v>
                </c:pt>
                <c:pt idx="52">
                  <c:v>0.0513</c:v>
                </c:pt>
                <c:pt idx="53">
                  <c:v>0.0513</c:v>
                </c:pt>
                <c:pt idx="54">
                  <c:v>0.0513</c:v>
                </c:pt>
                <c:pt idx="55">
                  <c:v>0.0513</c:v>
                </c:pt>
                <c:pt idx="56">
                  <c:v>0.0513</c:v>
                </c:pt>
                <c:pt idx="57">
                  <c:v>0.0513</c:v>
                </c:pt>
                <c:pt idx="58">
                  <c:v>0.0513</c:v>
                </c:pt>
                <c:pt idx="59">
                  <c:v>0.0513</c:v>
                </c:pt>
                <c:pt idx="60">
                  <c:v>0.0513</c:v>
                </c:pt>
                <c:pt idx="61">
                  <c:v>0.0513</c:v>
                </c:pt>
                <c:pt idx="62">
                  <c:v>0.0513</c:v>
                </c:pt>
                <c:pt idx="63">
                  <c:v>0.0513</c:v>
                </c:pt>
                <c:pt idx="64">
                  <c:v>0.0513</c:v>
                </c:pt>
                <c:pt idx="65">
                  <c:v>0.0513</c:v>
                </c:pt>
                <c:pt idx="66">
                  <c:v>0.0513</c:v>
                </c:pt>
                <c:pt idx="67">
                  <c:v>0.0513</c:v>
                </c:pt>
                <c:pt idx="68">
                  <c:v>0.0513</c:v>
                </c:pt>
                <c:pt idx="69">
                  <c:v>0.0513</c:v>
                </c:pt>
                <c:pt idx="70">
                  <c:v>0.0513</c:v>
                </c:pt>
                <c:pt idx="71">
                  <c:v>0.0513</c:v>
                </c:pt>
                <c:pt idx="72">
                  <c:v>0.0513</c:v>
                </c:pt>
                <c:pt idx="73">
                  <c:v>0.0513</c:v>
                </c:pt>
                <c:pt idx="74">
                  <c:v>0.0513</c:v>
                </c:pt>
                <c:pt idx="75">
                  <c:v>0.0513</c:v>
                </c:pt>
                <c:pt idx="76">
                  <c:v>0.0513</c:v>
                </c:pt>
                <c:pt idx="77">
                  <c:v>0.0513</c:v>
                </c:pt>
                <c:pt idx="78">
                  <c:v>0.0513</c:v>
                </c:pt>
                <c:pt idx="79">
                  <c:v>0.0513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'S-Curve'!$W$6</c:f>
              <c:strCache>
                <c:ptCount val="1"/>
                <c:pt idx="0">
                  <c:v>Forecast คาดการณ์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'S-Curve'!$V$7:$V$86</c:f>
              <c:numCache>
                <c:formatCode>dd\-mmm\-yy</c:formatCode>
                <c:ptCount val="80"/>
                <c:pt idx="0">
                  <c:v>46142</c:v>
                </c:pt>
                <c:pt idx="1">
                  <c:v>46142</c:v>
                </c:pt>
                <c:pt idx="2">
                  <c:v>46142</c:v>
                </c:pt>
                <c:pt idx="3">
                  <c:v>46142</c:v>
                </c:pt>
                <c:pt idx="4">
                  <c:v>46142</c:v>
                </c:pt>
                <c:pt idx="5">
                  <c:v>46142</c:v>
                </c:pt>
                <c:pt idx="6">
                  <c:v>46142</c:v>
                </c:pt>
                <c:pt idx="7">
                  <c:v>46142</c:v>
                </c:pt>
                <c:pt idx="8">
                  <c:v>46152</c:v>
                </c:pt>
                <c:pt idx="9">
                  <c:v>46162</c:v>
                </c:pt>
                <c:pt idx="10">
                  <c:v>46173</c:v>
                </c:pt>
                <c:pt idx="11">
                  <c:v>46183</c:v>
                </c:pt>
                <c:pt idx="12">
                  <c:v>46193</c:v>
                </c:pt>
                <c:pt idx="13">
                  <c:v>46203</c:v>
                </c:pt>
                <c:pt idx="14">
                  <c:v>46213</c:v>
                </c:pt>
                <c:pt idx="15">
                  <c:v>46223</c:v>
                </c:pt>
                <c:pt idx="16">
                  <c:v>46234</c:v>
                </c:pt>
                <c:pt idx="17">
                  <c:v>46244</c:v>
                </c:pt>
                <c:pt idx="18">
                  <c:v>46254</c:v>
                </c:pt>
                <c:pt idx="19">
                  <c:v>46265</c:v>
                </c:pt>
                <c:pt idx="20">
                  <c:v>46275</c:v>
                </c:pt>
                <c:pt idx="21">
                  <c:v>46285</c:v>
                </c:pt>
                <c:pt idx="22">
                  <c:v>46295</c:v>
                </c:pt>
                <c:pt idx="23">
                  <c:v>46305</c:v>
                </c:pt>
                <c:pt idx="24">
                  <c:v>46315</c:v>
                </c:pt>
                <c:pt idx="25">
                  <c:v>46326</c:v>
                </c:pt>
                <c:pt idx="26">
                  <c:v>46336</c:v>
                </c:pt>
                <c:pt idx="27">
                  <c:v>46346</c:v>
                </c:pt>
                <c:pt idx="28">
                  <c:v>46346</c:v>
                </c:pt>
                <c:pt idx="29">
                  <c:v>46346</c:v>
                </c:pt>
                <c:pt idx="30">
                  <c:v>46346</c:v>
                </c:pt>
                <c:pt idx="31">
                  <c:v>46346</c:v>
                </c:pt>
                <c:pt idx="32">
                  <c:v>46346</c:v>
                </c:pt>
                <c:pt idx="33">
                  <c:v>46346</c:v>
                </c:pt>
                <c:pt idx="34">
                  <c:v>46346</c:v>
                </c:pt>
                <c:pt idx="35">
                  <c:v>46346</c:v>
                </c:pt>
                <c:pt idx="36">
                  <c:v>46346</c:v>
                </c:pt>
                <c:pt idx="37">
                  <c:v>46346</c:v>
                </c:pt>
                <c:pt idx="38">
                  <c:v>46346</c:v>
                </c:pt>
                <c:pt idx="39">
                  <c:v>46346</c:v>
                </c:pt>
                <c:pt idx="40">
                  <c:v>46346</c:v>
                </c:pt>
                <c:pt idx="41">
                  <c:v>46346</c:v>
                </c:pt>
                <c:pt idx="42">
                  <c:v>46346</c:v>
                </c:pt>
                <c:pt idx="43">
                  <c:v>46346</c:v>
                </c:pt>
                <c:pt idx="44">
                  <c:v>46346</c:v>
                </c:pt>
                <c:pt idx="45">
                  <c:v>46346</c:v>
                </c:pt>
                <c:pt idx="46">
                  <c:v>46346</c:v>
                </c:pt>
                <c:pt idx="47">
                  <c:v>46346</c:v>
                </c:pt>
                <c:pt idx="48">
                  <c:v>46346</c:v>
                </c:pt>
                <c:pt idx="49">
                  <c:v>46346</c:v>
                </c:pt>
                <c:pt idx="50">
                  <c:v>46346</c:v>
                </c:pt>
                <c:pt idx="51">
                  <c:v>46346</c:v>
                </c:pt>
                <c:pt idx="52">
                  <c:v>46346</c:v>
                </c:pt>
                <c:pt idx="53">
                  <c:v>46346</c:v>
                </c:pt>
                <c:pt idx="54">
                  <c:v>46346</c:v>
                </c:pt>
                <c:pt idx="55">
                  <c:v>46346</c:v>
                </c:pt>
                <c:pt idx="56">
                  <c:v>46346</c:v>
                </c:pt>
                <c:pt idx="57">
                  <c:v>46346</c:v>
                </c:pt>
                <c:pt idx="58">
                  <c:v>46346</c:v>
                </c:pt>
                <c:pt idx="59">
                  <c:v>46346</c:v>
                </c:pt>
                <c:pt idx="60">
                  <c:v>46346</c:v>
                </c:pt>
                <c:pt idx="61">
                  <c:v>46346</c:v>
                </c:pt>
                <c:pt idx="62">
                  <c:v>46346</c:v>
                </c:pt>
                <c:pt idx="63">
                  <c:v>46346</c:v>
                </c:pt>
                <c:pt idx="64">
                  <c:v>46346</c:v>
                </c:pt>
                <c:pt idx="65">
                  <c:v>46346</c:v>
                </c:pt>
                <c:pt idx="66">
                  <c:v>46346</c:v>
                </c:pt>
                <c:pt idx="67">
                  <c:v>46346</c:v>
                </c:pt>
                <c:pt idx="68">
                  <c:v>46346</c:v>
                </c:pt>
                <c:pt idx="69">
                  <c:v>46346</c:v>
                </c:pt>
                <c:pt idx="70">
                  <c:v>46346</c:v>
                </c:pt>
                <c:pt idx="71">
                  <c:v>46346</c:v>
                </c:pt>
                <c:pt idx="72">
                  <c:v>46346</c:v>
                </c:pt>
                <c:pt idx="73">
                  <c:v>46346</c:v>
                </c:pt>
                <c:pt idx="74">
                  <c:v>46346</c:v>
                </c:pt>
                <c:pt idx="75">
                  <c:v>46346</c:v>
                </c:pt>
                <c:pt idx="76">
                  <c:v>46346</c:v>
                </c:pt>
                <c:pt idx="77">
                  <c:v>46346</c:v>
                </c:pt>
                <c:pt idx="78">
                  <c:v>46346</c:v>
                </c:pt>
                <c:pt idx="79">
                  <c:v>46346</c:v>
                </c:pt>
              </c:numCache>
            </c:numRef>
          </c:xVal>
          <c:yVal>
            <c:numRef>
              <c:f>'S-Curve'!$W$7:$W$86</c:f>
              <c:numCache>
                <c:formatCode>0.00%</c:formatCode>
                <c:ptCount val="80"/>
                <c:pt idx="0">
                  <c:v>0.0513</c:v>
                </c:pt>
                <c:pt idx="1">
                  <c:v>0.0513</c:v>
                </c:pt>
                <c:pt idx="2">
                  <c:v>0.0513</c:v>
                </c:pt>
                <c:pt idx="3">
                  <c:v>0.0513</c:v>
                </c:pt>
                <c:pt idx="4">
                  <c:v>0.0513</c:v>
                </c:pt>
                <c:pt idx="5">
                  <c:v>0.0513</c:v>
                </c:pt>
                <c:pt idx="6">
                  <c:v>0.0513</c:v>
                </c:pt>
                <c:pt idx="7">
                  <c:v>0.0513</c:v>
                </c:pt>
                <c:pt idx="8">
                  <c:v>0.063494087403599</c:v>
                </c:pt>
                <c:pt idx="9">
                  <c:v>0.0756881748071979</c:v>
                </c:pt>
                <c:pt idx="10">
                  <c:v>0.0891016709511568</c:v>
                </c:pt>
                <c:pt idx="11">
                  <c:v>0.101295758354756</c:v>
                </c:pt>
                <c:pt idx="12">
                  <c:v>0.113489845758355</c:v>
                </c:pt>
                <c:pt idx="13">
                  <c:v>0.125683933161954</c:v>
                </c:pt>
                <c:pt idx="14">
                  <c:v>0.137878020565553</c:v>
                </c:pt>
                <c:pt idx="15">
                  <c:v>0.150072107969152</c:v>
                </c:pt>
                <c:pt idx="16">
                  <c:v>0.163485604113111</c:v>
                </c:pt>
                <c:pt idx="17">
                  <c:v>0.17567969151671</c:v>
                </c:pt>
                <c:pt idx="18">
                  <c:v>0.187873778920309</c:v>
                </c:pt>
                <c:pt idx="19">
                  <c:v>0.201287275064267</c:v>
                </c:pt>
                <c:pt idx="20">
                  <c:v>0.213481362467866</c:v>
                </c:pt>
                <c:pt idx="21">
                  <c:v>0.225675449871465</c:v>
                </c:pt>
                <c:pt idx="22">
                  <c:v>0.237869537275064</c:v>
                </c:pt>
                <c:pt idx="23">
                  <c:v>0.250063624678663</c:v>
                </c:pt>
                <c:pt idx="24">
                  <c:v>0.262257712082262</c:v>
                </c:pt>
                <c:pt idx="25">
                  <c:v>0.275671208226221</c:v>
                </c:pt>
                <c:pt idx="26">
                  <c:v>0.28786529562982</c:v>
                </c:pt>
                <c:pt idx="27">
                  <c:v>0.300059383033419</c:v>
                </c:pt>
                <c:pt idx="28">
                  <c:v>0.300059383033419</c:v>
                </c:pt>
                <c:pt idx="29">
                  <c:v>0.300059383033419</c:v>
                </c:pt>
                <c:pt idx="30">
                  <c:v>0.300059383033419</c:v>
                </c:pt>
                <c:pt idx="31">
                  <c:v>0.300059383033419</c:v>
                </c:pt>
                <c:pt idx="32">
                  <c:v>0.300059383033419</c:v>
                </c:pt>
                <c:pt idx="33">
                  <c:v>0.300059383033419</c:v>
                </c:pt>
                <c:pt idx="34">
                  <c:v>0.300059383033419</c:v>
                </c:pt>
                <c:pt idx="35">
                  <c:v>0.300059383033419</c:v>
                </c:pt>
                <c:pt idx="36">
                  <c:v>0.300059383033419</c:v>
                </c:pt>
                <c:pt idx="37">
                  <c:v>0.300059383033419</c:v>
                </c:pt>
                <c:pt idx="38">
                  <c:v>0.300059383033419</c:v>
                </c:pt>
                <c:pt idx="39">
                  <c:v>0.300059383033419</c:v>
                </c:pt>
                <c:pt idx="40">
                  <c:v>0.300059383033419</c:v>
                </c:pt>
                <c:pt idx="41">
                  <c:v>0.300059383033419</c:v>
                </c:pt>
                <c:pt idx="42">
                  <c:v>0.300059383033419</c:v>
                </c:pt>
                <c:pt idx="43">
                  <c:v>0.300059383033419</c:v>
                </c:pt>
                <c:pt idx="44">
                  <c:v>0.300059383033419</c:v>
                </c:pt>
                <c:pt idx="45">
                  <c:v>0.300059383033419</c:v>
                </c:pt>
                <c:pt idx="46">
                  <c:v>0.300059383033419</c:v>
                </c:pt>
                <c:pt idx="47">
                  <c:v>0.300059383033419</c:v>
                </c:pt>
                <c:pt idx="48">
                  <c:v>0.300059383033419</c:v>
                </c:pt>
                <c:pt idx="49">
                  <c:v>0.300059383033419</c:v>
                </c:pt>
                <c:pt idx="50">
                  <c:v>0.300059383033419</c:v>
                </c:pt>
                <c:pt idx="51">
                  <c:v>0.300059383033419</c:v>
                </c:pt>
                <c:pt idx="52">
                  <c:v>0.300059383033419</c:v>
                </c:pt>
                <c:pt idx="53">
                  <c:v>0.300059383033419</c:v>
                </c:pt>
                <c:pt idx="54">
                  <c:v>0.300059383033419</c:v>
                </c:pt>
                <c:pt idx="55">
                  <c:v>0.300059383033419</c:v>
                </c:pt>
                <c:pt idx="56">
                  <c:v>0.300059383033419</c:v>
                </c:pt>
                <c:pt idx="57">
                  <c:v>0.300059383033419</c:v>
                </c:pt>
                <c:pt idx="58">
                  <c:v>0.300059383033419</c:v>
                </c:pt>
                <c:pt idx="59">
                  <c:v>0.300059383033419</c:v>
                </c:pt>
                <c:pt idx="60">
                  <c:v>0.300059383033419</c:v>
                </c:pt>
                <c:pt idx="61">
                  <c:v>0.300059383033419</c:v>
                </c:pt>
                <c:pt idx="62">
                  <c:v>0.300059383033419</c:v>
                </c:pt>
                <c:pt idx="63">
                  <c:v>0.300059383033419</c:v>
                </c:pt>
                <c:pt idx="64">
                  <c:v>0.300059383033419</c:v>
                </c:pt>
                <c:pt idx="65">
                  <c:v>0.300059383033419</c:v>
                </c:pt>
                <c:pt idx="66">
                  <c:v>0.300059383033419</c:v>
                </c:pt>
                <c:pt idx="67">
                  <c:v>0.300059383033419</c:v>
                </c:pt>
                <c:pt idx="68">
                  <c:v>0.300059383033419</c:v>
                </c:pt>
                <c:pt idx="69">
                  <c:v>0.300059383033419</c:v>
                </c:pt>
                <c:pt idx="70">
                  <c:v>0.300059383033419</c:v>
                </c:pt>
                <c:pt idx="71">
                  <c:v>0.300059383033419</c:v>
                </c:pt>
                <c:pt idx="72">
                  <c:v>0.300059383033419</c:v>
                </c:pt>
                <c:pt idx="73">
                  <c:v>0.300059383033419</c:v>
                </c:pt>
                <c:pt idx="74">
                  <c:v>0.300059383033419</c:v>
                </c:pt>
                <c:pt idx="75">
                  <c:v>0.300059383033419</c:v>
                </c:pt>
                <c:pt idx="76">
                  <c:v>0.300059383033419</c:v>
                </c:pt>
                <c:pt idx="77">
                  <c:v>0.300059383033419</c:v>
                </c:pt>
                <c:pt idx="78">
                  <c:v>0.300059383033419</c:v>
                </c:pt>
                <c:pt idx="79">
                  <c:v>0.300059383033419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'S-Curve'!$AC$6</c:f>
              <c:strCache>
                <c:ptCount val="1"/>
                <c:pt idx="0">
                  <c:v>Status Date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'S-Curve'!$AC$7:$AC$8</c:f>
              <c:numCache>
                <c:formatCode>dd\-mmm\-yy</c:formatCode>
                <c:ptCount val="2"/>
                <c:pt idx="0">
                  <c:v>46293</c:v>
                </c:pt>
                <c:pt idx="1">
                  <c:v>46293</c:v>
                </c:pt>
              </c:numCache>
            </c:numRef>
          </c:xVal>
          <c:yVal>
            <c:numRef>
              <c:f>'S-Curve'!$AD$7:$AD$8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axId val="97155669"/>
        <c:axId val="14242351"/>
      </c:scatterChart>
      <c:valAx>
        <c:axId val="971556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42351"/>
        <c:crosses val="autoZero"/>
        <c:crossBetween val="midCat"/>
        <c:majorUnit val="30"/>
      </c:valAx>
      <c:valAx>
        <c:axId val="1424235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สะสม / Cumulative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55669"/>
        <c:crosses val="autoZero"/>
        <c:crossBetween val="midCat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Earned Value: PV / EV / AC (บาท)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'S-Curve'!$X$6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'S-Curve'!$P$7:$P$86</c:f>
              <c:numCache>
                <c:formatCode>dd\-mmm\-yy</c:formatCode>
                <c:ptCount val="80"/>
                <c:pt idx="0">
                  <c:v>46073</c:v>
                </c:pt>
                <c:pt idx="1">
                  <c:v>46081</c:v>
                </c:pt>
                <c:pt idx="2">
                  <c:v>46091</c:v>
                </c:pt>
                <c:pt idx="3">
                  <c:v>46101</c:v>
                </c:pt>
                <c:pt idx="4">
                  <c:v>46112</c:v>
                </c:pt>
                <c:pt idx="5">
                  <c:v>46122</c:v>
                </c:pt>
                <c:pt idx="6">
                  <c:v>46132</c:v>
                </c:pt>
                <c:pt idx="7">
                  <c:v>46142</c:v>
                </c:pt>
                <c:pt idx="8">
                  <c:v>46152</c:v>
                </c:pt>
                <c:pt idx="9">
                  <c:v>46162</c:v>
                </c:pt>
                <c:pt idx="10">
                  <c:v>46173</c:v>
                </c:pt>
                <c:pt idx="11">
                  <c:v>46183</c:v>
                </c:pt>
                <c:pt idx="12">
                  <c:v>46193</c:v>
                </c:pt>
                <c:pt idx="13">
                  <c:v>46203</c:v>
                </c:pt>
                <c:pt idx="14">
                  <c:v>46213</c:v>
                </c:pt>
                <c:pt idx="15">
                  <c:v>46223</c:v>
                </c:pt>
                <c:pt idx="16">
                  <c:v>46234</c:v>
                </c:pt>
                <c:pt idx="17">
                  <c:v>46244</c:v>
                </c:pt>
                <c:pt idx="18">
                  <c:v>46254</c:v>
                </c:pt>
                <c:pt idx="19">
                  <c:v>46265</c:v>
                </c:pt>
                <c:pt idx="20">
                  <c:v>46275</c:v>
                </c:pt>
                <c:pt idx="21">
                  <c:v>46285</c:v>
                </c:pt>
                <c:pt idx="22">
                  <c:v>46295</c:v>
                </c:pt>
                <c:pt idx="23">
                  <c:v>46305</c:v>
                </c:pt>
                <c:pt idx="24">
                  <c:v>46315</c:v>
                </c:pt>
                <c:pt idx="25">
                  <c:v>46326</c:v>
                </c:pt>
                <c:pt idx="26">
                  <c:v>46336</c:v>
                </c:pt>
                <c:pt idx="27">
                  <c:v>46346</c:v>
                </c:pt>
                <c:pt idx="28">
                  <c:v>46346</c:v>
                </c:pt>
                <c:pt idx="29">
                  <c:v>46346</c:v>
                </c:pt>
                <c:pt idx="30">
                  <c:v>46346</c:v>
                </c:pt>
                <c:pt idx="31">
                  <c:v>46346</c:v>
                </c:pt>
                <c:pt idx="32">
                  <c:v>46346</c:v>
                </c:pt>
                <c:pt idx="33">
                  <c:v>46346</c:v>
                </c:pt>
                <c:pt idx="34">
                  <c:v>46346</c:v>
                </c:pt>
                <c:pt idx="35">
                  <c:v>46346</c:v>
                </c:pt>
                <c:pt idx="36">
                  <c:v>46346</c:v>
                </c:pt>
                <c:pt idx="37">
                  <c:v>46346</c:v>
                </c:pt>
                <c:pt idx="38">
                  <c:v>46346</c:v>
                </c:pt>
                <c:pt idx="39">
                  <c:v>46346</c:v>
                </c:pt>
                <c:pt idx="40">
                  <c:v>46346</c:v>
                </c:pt>
                <c:pt idx="41">
                  <c:v>46346</c:v>
                </c:pt>
                <c:pt idx="42">
                  <c:v>46346</c:v>
                </c:pt>
                <c:pt idx="43">
                  <c:v>46346</c:v>
                </c:pt>
                <c:pt idx="44">
                  <c:v>46346</c:v>
                </c:pt>
                <c:pt idx="45">
                  <c:v>46346</c:v>
                </c:pt>
                <c:pt idx="46">
                  <c:v>46346</c:v>
                </c:pt>
                <c:pt idx="47">
                  <c:v>46346</c:v>
                </c:pt>
                <c:pt idx="48">
                  <c:v>46346</c:v>
                </c:pt>
                <c:pt idx="49">
                  <c:v>46346</c:v>
                </c:pt>
                <c:pt idx="50">
                  <c:v>46346</c:v>
                </c:pt>
                <c:pt idx="51">
                  <c:v>46346</c:v>
                </c:pt>
                <c:pt idx="52">
                  <c:v>46346</c:v>
                </c:pt>
                <c:pt idx="53">
                  <c:v>46346</c:v>
                </c:pt>
                <c:pt idx="54">
                  <c:v>46346</c:v>
                </c:pt>
                <c:pt idx="55">
                  <c:v>46346</c:v>
                </c:pt>
                <c:pt idx="56">
                  <c:v>46346</c:v>
                </c:pt>
                <c:pt idx="57">
                  <c:v>46346</c:v>
                </c:pt>
                <c:pt idx="58">
                  <c:v>46346</c:v>
                </c:pt>
                <c:pt idx="59">
                  <c:v>46346</c:v>
                </c:pt>
                <c:pt idx="60">
                  <c:v>46346</c:v>
                </c:pt>
                <c:pt idx="61">
                  <c:v>46346</c:v>
                </c:pt>
                <c:pt idx="62">
                  <c:v>46346</c:v>
                </c:pt>
                <c:pt idx="63">
                  <c:v>46346</c:v>
                </c:pt>
                <c:pt idx="64">
                  <c:v>46346</c:v>
                </c:pt>
                <c:pt idx="65">
                  <c:v>46346</c:v>
                </c:pt>
                <c:pt idx="66">
                  <c:v>46346</c:v>
                </c:pt>
                <c:pt idx="67">
                  <c:v>46346</c:v>
                </c:pt>
                <c:pt idx="68">
                  <c:v>46346</c:v>
                </c:pt>
                <c:pt idx="69">
                  <c:v>46346</c:v>
                </c:pt>
                <c:pt idx="70">
                  <c:v>46346</c:v>
                </c:pt>
                <c:pt idx="71">
                  <c:v>46346</c:v>
                </c:pt>
                <c:pt idx="72">
                  <c:v>46346</c:v>
                </c:pt>
                <c:pt idx="73">
                  <c:v>46346</c:v>
                </c:pt>
                <c:pt idx="74">
                  <c:v>46346</c:v>
                </c:pt>
                <c:pt idx="75">
                  <c:v>46346</c:v>
                </c:pt>
                <c:pt idx="76">
                  <c:v>46346</c:v>
                </c:pt>
                <c:pt idx="77">
                  <c:v>46346</c:v>
                </c:pt>
                <c:pt idx="78">
                  <c:v>46346</c:v>
                </c:pt>
                <c:pt idx="79">
                  <c:v>46346</c:v>
                </c:pt>
              </c:numCache>
            </c:numRef>
          </c:xVal>
          <c:yVal>
            <c:numRef>
              <c:f>'S-Curve'!$X$7:$X$86</c:f>
              <c:numCache>
                <c:formatCode>#,##0</c:formatCode>
                <c:ptCount val="80"/>
                <c:pt idx="0">
                  <c:v>60994.05</c:v>
                </c:pt>
                <c:pt idx="1">
                  <c:v>304970.25</c:v>
                </c:pt>
                <c:pt idx="2">
                  <c:v>535173.6</c:v>
                </c:pt>
                <c:pt idx="3">
                  <c:v>797385.838713025</c:v>
                </c:pt>
                <c:pt idx="4">
                  <c:v>1193503.21619097</c:v>
                </c:pt>
                <c:pt idx="5">
                  <c:v>1553609.9229891</c:v>
                </c:pt>
                <c:pt idx="6">
                  <c:v>2033247.32656143</c:v>
                </c:pt>
                <c:pt idx="7">
                  <c:v>2520924.65806452</c:v>
                </c:pt>
                <c:pt idx="8">
                  <c:v>2763865.81935484</c:v>
                </c:pt>
                <c:pt idx="9">
                  <c:v>3182913.78461538</c:v>
                </c:pt>
                <c:pt idx="10">
                  <c:v>3510248.90769231</c:v>
                </c:pt>
                <c:pt idx="11">
                  <c:v>3968518.08</c:v>
                </c:pt>
                <c:pt idx="12">
                  <c:v>4423763.25677419</c:v>
                </c:pt>
                <c:pt idx="13">
                  <c:v>4821444.65806452</c:v>
                </c:pt>
                <c:pt idx="14">
                  <c:v>5314442.34109397</c:v>
                </c:pt>
                <c:pt idx="15">
                  <c:v>6342979.79347826</c:v>
                </c:pt>
                <c:pt idx="16">
                  <c:v>7411597.70336691</c:v>
                </c:pt>
                <c:pt idx="17">
                  <c:v>8148613.62144751</c:v>
                </c:pt>
                <c:pt idx="18">
                  <c:v>8678094.89002217</c:v>
                </c:pt>
                <c:pt idx="19">
                  <c:v>9316555.63636364</c:v>
                </c:pt>
                <c:pt idx="20">
                  <c:v>9926138.4</c:v>
                </c:pt>
                <c:pt idx="21">
                  <c:v>10184038.8</c:v>
                </c:pt>
                <c:pt idx="22">
                  <c:v>10441939.2</c:v>
                </c:pt>
                <c:pt idx="23">
                  <c:v>10699839.6</c:v>
                </c:pt>
                <c:pt idx="24">
                  <c:v>10867126.3459459</c:v>
                </c:pt>
                <c:pt idx="25">
                  <c:v>11173818.7135135</c:v>
                </c:pt>
                <c:pt idx="26">
                  <c:v>11687979.2067568</c:v>
                </c:pt>
                <c:pt idx="27">
                  <c:v>12108000</c:v>
                </c:pt>
                <c:pt idx="28">
                  <c:v>12108000</c:v>
                </c:pt>
                <c:pt idx="29">
                  <c:v>12108000</c:v>
                </c:pt>
                <c:pt idx="30">
                  <c:v>12108000</c:v>
                </c:pt>
                <c:pt idx="31">
                  <c:v>12108000</c:v>
                </c:pt>
                <c:pt idx="32">
                  <c:v>12108000</c:v>
                </c:pt>
                <c:pt idx="33">
                  <c:v>12108000</c:v>
                </c:pt>
                <c:pt idx="34">
                  <c:v>12108000</c:v>
                </c:pt>
                <c:pt idx="35">
                  <c:v>12108000</c:v>
                </c:pt>
                <c:pt idx="36">
                  <c:v>12108000</c:v>
                </c:pt>
                <c:pt idx="37">
                  <c:v>12108000</c:v>
                </c:pt>
                <c:pt idx="38">
                  <c:v>12108000</c:v>
                </c:pt>
                <c:pt idx="39">
                  <c:v>12108000</c:v>
                </c:pt>
                <c:pt idx="40">
                  <c:v>12108000</c:v>
                </c:pt>
                <c:pt idx="41">
                  <c:v>12108000</c:v>
                </c:pt>
                <c:pt idx="42">
                  <c:v>12108000</c:v>
                </c:pt>
                <c:pt idx="43">
                  <c:v>12108000</c:v>
                </c:pt>
                <c:pt idx="44">
                  <c:v>12108000</c:v>
                </c:pt>
                <c:pt idx="45">
                  <c:v>12108000</c:v>
                </c:pt>
                <c:pt idx="46">
                  <c:v>12108000</c:v>
                </c:pt>
                <c:pt idx="47">
                  <c:v>12108000</c:v>
                </c:pt>
                <c:pt idx="48">
                  <c:v>12108000</c:v>
                </c:pt>
                <c:pt idx="49">
                  <c:v>12108000</c:v>
                </c:pt>
                <c:pt idx="50">
                  <c:v>12108000</c:v>
                </c:pt>
                <c:pt idx="51">
                  <c:v>12108000</c:v>
                </c:pt>
                <c:pt idx="52">
                  <c:v>12108000</c:v>
                </c:pt>
                <c:pt idx="53">
                  <c:v>12108000</c:v>
                </c:pt>
                <c:pt idx="54">
                  <c:v>12108000</c:v>
                </c:pt>
                <c:pt idx="55">
                  <c:v>12108000</c:v>
                </c:pt>
                <c:pt idx="56">
                  <c:v>12108000</c:v>
                </c:pt>
                <c:pt idx="57">
                  <c:v>12108000</c:v>
                </c:pt>
                <c:pt idx="58">
                  <c:v>12108000</c:v>
                </c:pt>
                <c:pt idx="59">
                  <c:v>12108000</c:v>
                </c:pt>
                <c:pt idx="60">
                  <c:v>12108000</c:v>
                </c:pt>
                <c:pt idx="61">
                  <c:v>12108000</c:v>
                </c:pt>
                <c:pt idx="62">
                  <c:v>12108000</c:v>
                </c:pt>
                <c:pt idx="63">
                  <c:v>12108000</c:v>
                </c:pt>
                <c:pt idx="64">
                  <c:v>12108000</c:v>
                </c:pt>
                <c:pt idx="65">
                  <c:v>12108000</c:v>
                </c:pt>
                <c:pt idx="66">
                  <c:v>12108000</c:v>
                </c:pt>
                <c:pt idx="67">
                  <c:v>12108000</c:v>
                </c:pt>
                <c:pt idx="68">
                  <c:v>12108000</c:v>
                </c:pt>
                <c:pt idx="69">
                  <c:v>12108000</c:v>
                </c:pt>
                <c:pt idx="70">
                  <c:v>12108000</c:v>
                </c:pt>
                <c:pt idx="71">
                  <c:v>12108000</c:v>
                </c:pt>
                <c:pt idx="72">
                  <c:v>12108000</c:v>
                </c:pt>
                <c:pt idx="73">
                  <c:v>12108000</c:v>
                </c:pt>
                <c:pt idx="74">
                  <c:v>12108000</c:v>
                </c:pt>
                <c:pt idx="75">
                  <c:v>12108000</c:v>
                </c:pt>
                <c:pt idx="76">
                  <c:v>12108000</c:v>
                </c:pt>
                <c:pt idx="77">
                  <c:v>12108000</c:v>
                </c:pt>
                <c:pt idx="78">
                  <c:v>12108000</c:v>
                </c:pt>
                <c:pt idx="79">
                  <c:v>12108000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'S-Curve'!$Y$6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'S-Curve'!$T$7:$T$86</c:f>
              <c:numCache>
                <c:formatCode>dd\-mmm\-yy</c:formatCode>
                <c:ptCount val="80"/>
                <c:pt idx="0">
                  <c:v>46073</c:v>
                </c:pt>
                <c:pt idx="1">
                  <c:v>46081</c:v>
                </c:pt>
                <c:pt idx="2">
                  <c:v>46091</c:v>
                </c:pt>
                <c:pt idx="3">
                  <c:v>46101</c:v>
                </c:pt>
                <c:pt idx="4">
                  <c:v>46112</c:v>
                </c:pt>
                <c:pt idx="5">
                  <c:v>46122</c:v>
                </c:pt>
                <c:pt idx="6">
                  <c:v>46132</c:v>
                </c:pt>
                <c:pt idx="7">
                  <c:v>46142</c:v>
                </c:pt>
                <c:pt idx="8">
                  <c:v>46142</c:v>
                </c:pt>
                <c:pt idx="9">
                  <c:v>46142</c:v>
                </c:pt>
                <c:pt idx="10">
                  <c:v>46142</c:v>
                </c:pt>
                <c:pt idx="11">
                  <c:v>46142</c:v>
                </c:pt>
                <c:pt idx="12">
                  <c:v>46142</c:v>
                </c:pt>
                <c:pt idx="13">
                  <c:v>46142</c:v>
                </c:pt>
                <c:pt idx="14">
                  <c:v>46142</c:v>
                </c:pt>
                <c:pt idx="15">
                  <c:v>46142</c:v>
                </c:pt>
                <c:pt idx="16">
                  <c:v>46142</c:v>
                </c:pt>
                <c:pt idx="17">
                  <c:v>46142</c:v>
                </c:pt>
                <c:pt idx="18">
                  <c:v>46142</c:v>
                </c:pt>
                <c:pt idx="19">
                  <c:v>46142</c:v>
                </c:pt>
                <c:pt idx="20">
                  <c:v>46142</c:v>
                </c:pt>
                <c:pt idx="21">
                  <c:v>46142</c:v>
                </c:pt>
                <c:pt idx="22">
                  <c:v>46142</c:v>
                </c:pt>
                <c:pt idx="23">
                  <c:v>46142</c:v>
                </c:pt>
                <c:pt idx="24">
                  <c:v>46142</c:v>
                </c:pt>
                <c:pt idx="25">
                  <c:v>46142</c:v>
                </c:pt>
                <c:pt idx="26">
                  <c:v>46142</c:v>
                </c:pt>
                <c:pt idx="27">
                  <c:v>46142</c:v>
                </c:pt>
                <c:pt idx="28">
                  <c:v>46142</c:v>
                </c:pt>
                <c:pt idx="29">
                  <c:v>46142</c:v>
                </c:pt>
                <c:pt idx="30">
                  <c:v>46142</c:v>
                </c:pt>
                <c:pt idx="31">
                  <c:v>46142</c:v>
                </c:pt>
                <c:pt idx="32">
                  <c:v>46142</c:v>
                </c:pt>
                <c:pt idx="33">
                  <c:v>46142</c:v>
                </c:pt>
                <c:pt idx="34">
                  <c:v>46142</c:v>
                </c:pt>
                <c:pt idx="35">
                  <c:v>46142</c:v>
                </c:pt>
                <c:pt idx="36">
                  <c:v>46142</c:v>
                </c:pt>
                <c:pt idx="37">
                  <c:v>46142</c:v>
                </c:pt>
                <c:pt idx="38">
                  <c:v>46142</c:v>
                </c:pt>
                <c:pt idx="39">
                  <c:v>46142</c:v>
                </c:pt>
                <c:pt idx="40">
                  <c:v>46142</c:v>
                </c:pt>
                <c:pt idx="41">
                  <c:v>46142</c:v>
                </c:pt>
                <c:pt idx="42">
                  <c:v>46142</c:v>
                </c:pt>
                <c:pt idx="43">
                  <c:v>46142</c:v>
                </c:pt>
                <c:pt idx="44">
                  <c:v>46142</c:v>
                </c:pt>
                <c:pt idx="45">
                  <c:v>46142</c:v>
                </c:pt>
                <c:pt idx="46">
                  <c:v>46142</c:v>
                </c:pt>
                <c:pt idx="47">
                  <c:v>46142</c:v>
                </c:pt>
                <c:pt idx="48">
                  <c:v>46142</c:v>
                </c:pt>
                <c:pt idx="49">
                  <c:v>46142</c:v>
                </c:pt>
                <c:pt idx="50">
                  <c:v>46142</c:v>
                </c:pt>
                <c:pt idx="51">
                  <c:v>46142</c:v>
                </c:pt>
                <c:pt idx="52">
                  <c:v>46142</c:v>
                </c:pt>
                <c:pt idx="53">
                  <c:v>46142</c:v>
                </c:pt>
                <c:pt idx="54">
                  <c:v>46142</c:v>
                </c:pt>
                <c:pt idx="55">
                  <c:v>46142</c:v>
                </c:pt>
                <c:pt idx="56">
                  <c:v>46142</c:v>
                </c:pt>
                <c:pt idx="57">
                  <c:v>46142</c:v>
                </c:pt>
                <c:pt idx="58">
                  <c:v>46142</c:v>
                </c:pt>
                <c:pt idx="59">
                  <c:v>46142</c:v>
                </c:pt>
                <c:pt idx="60">
                  <c:v>46142</c:v>
                </c:pt>
                <c:pt idx="61">
                  <c:v>46142</c:v>
                </c:pt>
                <c:pt idx="62">
                  <c:v>46142</c:v>
                </c:pt>
                <c:pt idx="63">
                  <c:v>46142</c:v>
                </c:pt>
                <c:pt idx="64">
                  <c:v>46142</c:v>
                </c:pt>
                <c:pt idx="65">
                  <c:v>46142</c:v>
                </c:pt>
                <c:pt idx="66">
                  <c:v>46142</c:v>
                </c:pt>
                <c:pt idx="67">
                  <c:v>46142</c:v>
                </c:pt>
                <c:pt idx="68">
                  <c:v>46142</c:v>
                </c:pt>
                <c:pt idx="69">
                  <c:v>46142</c:v>
                </c:pt>
                <c:pt idx="70">
                  <c:v>46142</c:v>
                </c:pt>
                <c:pt idx="71">
                  <c:v>46142</c:v>
                </c:pt>
                <c:pt idx="72">
                  <c:v>46142</c:v>
                </c:pt>
                <c:pt idx="73">
                  <c:v>46142</c:v>
                </c:pt>
                <c:pt idx="74">
                  <c:v>46142</c:v>
                </c:pt>
                <c:pt idx="75">
                  <c:v>46142</c:v>
                </c:pt>
                <c:pt idx="76">
                  <c:v>46142</c:v>
                </c:pt>
                <c:pt idx="77">
                  <c:v>46142</c:v>
                </c:pt>
                <c:pt idx="78">
                  <c:v>46142</c:v>
                </c:pt>
                <c:pt idx="79">
                  <c:v>46142</c:v>
                </c:pt>
              </c:numCache>
            </c:numRef>
          </c:xVal>
          <c:yVal>
            <c:numRef>
              <c:f>'S-Curve'!$Y$7:$Y$86</c:f>
              <c:numCache>
                <c:formatCode>#,##0</c:formatCode>
                <c:ptCount val="80"/>
                <c:pt idx="0">
                  <c:v>0</c:v>
                </c:pt>
                <c:pt idx="1">
                  <c:v>111393.6</c:v>
                </c:pt>
                <c:pt idx="2">
                  <c:v>341445.6</c:v>
                </c:pt>
                <c:pt idx="3">
                  <c:v>377769.6</c:v>
                </c:pt>
                <c:pt idx="4">
                  <c:v>532752</c:v>
                </c:pt>
                <c:pt idx="5">
                  <c:v>584816.4</c:v>
                </c:pt>
                <c:pt idx="6">
                  <c:v>584816.4</c:v>
                </c:pt>
                <c:pt idx="7">
                  <c:v>621140.4</c:v>
                </c:pt>
                <c:pt idx="8">
                  <c:v>621140.4</c:v>
                </c:pt>
                <c:pt idx="9">
                  <c:v>621140.4</c:v>
                </c:pt>
                <c:pt idx="10">
                  <c:v>621140.4</c:v>
                </c:pt>
                <c:pt idx="11">
                  <c:v>621140.4</c:v>
                </c:pt>
                <c:pt idx="12">
                  <c:v>621140.4</c:v>
                </c:pt>
                <c:pt idx="13">
                  <c:v>621140.4</c:v>
                </c:pt>
                <c:pt idx="14">
                  <c:v>621140.4</c:v>
                </c:pt>
                <c:pt idx="15">
                  <c:v>621140.4</c:v>
                </c:pt>
                <c:pt idx="16">
                  <c:v>621140.4</c:v>
                </c:pt>
                <c:pt idx="17">
                  <c:v>621140.4</c:v>
                </c:pt>
                <c:pt idx="18">
                  <c:v>621140.4</c:v>
                </c:pt>
                <c:pt idx="19">
                  <c:v>621140.4</c:v>
                </c:pt>
                <c:pt idx="20">
                  <c:v>621140.4</c:v>
                </c:pt>
                <c:pt idx="21">
                  <c:v>621140.4</c:v>
                </c:pt>
                <c:pt idx="22">
                  <c:v>621140.4</c:v>
                </c:pt>
                <c:pt idx="23">
                  <c:v>621140.4</c:v>
                </c:pt>
                <c:pt idx="24">
                  <c:v>621140.4</c:v>
                </c:pt>
                <c:pt idx="25">
                  <c:v>621140.4</c:v>
                </c:pt>
                <c:pt idx="26">
                  <c:v>621140.4</c:v>
                </c:pt>
                <c:pt idx="27">
                  <c:v>621140.4</c:v>
                </c:pt>
                <c:pt idx="28">
                  <c:v>621140.4</c:v>
                </c:pt>
                <c:pt idx="29">
                  <c:v>621140.4</c:v>
                </c:pt>
                <c:pt idx="30">
                  <c:v>621140.4</c:v>
                </c:pt>
                <c:pt idx="31">
                  <c:v>621140.4</c:v>
                </c:pt>
                <c:pt idx="32">
                  <c:v>621140.4</c:v>
                </c:pt>
                <c:pt idx="33">
                  <c:v>621140.4</c:v>
                </c:pt>
                <c:pt idx="34">
                  <c:v>621140.4</c:v>
                </c:pt>
                <c:pt idx="35">
                  <c:v>621140.4</c:v>
                </c:pt>
                <c:pt idx="36">
                  <c:v>621140.4</c:v>
                </c:pt>
                <c:pt idx="37">
                  <c:v>621140.4</c:v>
                </c:pt>
                <c:pt idx="38">
                  <c:v>621140.4</c:v>
                </c:pt>
                <c:pt idx="39">
                  <c:v>621140.4</c:v>
                </c:pt>
                <c:pt idx="40">
                  <c:v>621140.4</c:v>
                </c:pt>
                <c:pt idx="41">
                  <c:v>621140.4</c:v>
                </c:pt>
                <c:pt idx="42">
                  <c:v>621140.4</c:v>
                </c:pt>
                <c:pt idx="43">
                  <c:v>621140.4</c:v>
                </c:pt>
                <c:pt idx="44">
                  <c:v>621140.4</c:v>
                </c:pt>
                <c:pt idx="45">
                  <c:v>621140.4</c:v>
                </c:pt>
                <c:pt idx="46">
                  <c:v>621140.4</c:v>
                </c:pt>
                <c:pt idx="47">
                  <c:v>621140.4</c:v>
                </c:pt>
                <c:pt idx="48">
                  <c:v>621140.4</c:v>
                </c:pt>
                <c:pt idx="49">
                  <c:v>621140.4</c:v>
                </c:pt>
                <c:pt idx="50">
                  <c:v>621140.4</c:v>
                </c:pt>
                <c:pt idx="51">
                  <c:v>621140.4</c:v>
                </c:pt>
                <c:pt idx="52">
                  <c:v>621140.4</c:v>
                </c:pt>
                <c:pt idx="53">
                  <c:v>621140.4</c:v>
                </c:pt>
                <c:pt idx="54">
                  <c:v>621140.4</c:v>
                </c:pt>
                <c:pt idx="55">
                  <c:v>621140.4</c:v>
                </c:pt>
                <c:pt idx="56">
                  <c:v>621140.4</c:v>
                </c:pt>
                <c:pt idx="57">
                  <c:v>621140.4</c:v>
                </c:pt>
                <c:pt idx="58">
                  <c:v>621140.4</c:v>
                </c:pt>
                <c:pt idx="59">
                  <c:v>621140.4</c:v>
                </c:pt>
                <c:pt idx="60">
                  <c:v>621140.4</c:v>
                </c:pt>
                <c:pt idx="61">
                  <c:v>621140.4</c:v>
                </c:pt>
                <c:pt idx="62">
                  <c:v>621140.4</c:v>
                </c:pt>
                <c:pt idx="63">
                  <c:v>621140.4</c:v>
                </c:pt>
                <c:pt idx="64">
                  <c:v>621140.4</c:v>
                </c:pt>
                <c:pt idx="65">
                  <c:v>621140.4</c:v>
                </c:pt>
                <c:pt idx="66">
                  <c:v>621140.4</c:v>
                </c:pt>
                <c:pt idx="67">
                  <c:v>621140.4</c:v>
                </c:pt>
                <c:pt idx="68">
                  <c:v>621140.4</c:v>
                </c:pt>
                <c:pt idx="69">
                  <c:v>621140.4</c:v>
                </c:pt>
                <c:pt idx="70">
                  <c:v>621140.4</c:v>
                </c:pt>
                <c:pt idx="71">
                  <c:v>621140.4</c:v>
                </c:pt>
                <c:pt idx="72">
                  <c:v>621140.4</c:v>
                </c:pt>
                <c:pt idx="73">
                  <c:v>621140.4</c:v>
                </c:pt>
                <c:pt idx="74">
                  <c:v>621140.4</c:v>
                </c:pt>
                <c:pt idx="75">
                  <c:v>621140.4</c:v>
                </c:pt>
                <c:pt idx="76">
                  <c:v>621140.4</c:v>
                </c:pt>
                <c:pt idx="77">
                  <c:v>621140.4</c:v>
                </c:pt>
                <c:pt idx="78">
                  <c:v>621140.4</c:v>
                </c:pt>
                <c:pt idx="79">
                  <c:v>621140.4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'S-Curve'!$AA$6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triangle"/>
            <c:size val="4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'S-Curve'!$Z$7:$Z$86</c:f>
              <c:numCache>
                <c:formatCode>dd\-mmm\-yy</c:formatCode>
                <c:ptCount val="80"/>
                <c:pt idx="0">
                  <c:v>46072</c:v>
                </c:pt>
                <c:pt idx="1">
                  <c:v>46072</c:v>
                </c:pt>
                <c:pt idx="2">
                  <c:v>46072</c:v>
                </c:pt>
                <c:pt idx="3">
                  <c:v>46072</c:v>
                </c:pt>
                <c:pt idx="4">
                  <c:v>46072</c:v>
                </c:pt>
                <c:pt idx="5">
                  <c:v>46072</c:v>
                </c:pt>
                <c:pt idx="6">
                  <c:v>46072</c:v>
                </c:pt>
                <c:pt idx="7">
                  <c:v>46072</c:v>
                </c:pt>
                <c:pt idx="8">
                  <c:v>46072</c:v>
                </c:pt>
                <c:pt idx="9">
                  <c:v>46072</c:v>
                </c:pt>
                <c:pt idx="10">
                  <c:v>46072</c:v>
                </c:pt>
                <c:pt idx="11">
                  <c:v>46072</c:v>
                </c:pt>
                <c:pt idx="12">
                  <c:v>46072</c:v>
                </c:pt>
                <c:pt idx="13">
                  <c:v>46072</c:v>
                </c:pt>
                <c:pt idx="14">
                  <c:v>46072</c:v>
                </c:pt>
                <c:pt idx="15">
                  <c:v>46072</c:v>
                </c:pt>
                <c:pt idx="16">
                  <c:v>46072</c:v>
                </c:pt>
                <c:pt idx="17">
                  <c:v>46072</c:v>
                </c:pt>
                <c:pt idx="18">
                  <c:v>46072</c:v>
                </c:pt>
                <c:pt idx="19">
                  <c:v>46072</c:v>
                </c:pt>
                <c:pt idx="20">
                  <c:v>46072</c:v>
                </c:pt>
                <c:pt idx="21">
                  <c:v>46072</c:v>
                </c:pt>
                <c:pt idx="22">
                  <c:v>46072</c:v>
                </c:pt>
                <c:pt idx="23">
                  <c:v>46072</c:v>
                </c:pt>
                <c:pt idx="24">
                  <c:v>46072</c:v>
                </c:pt>
                <c:pt idx="25">
                  <c:v>46072</c:v>
                </c:pt>
                <c:pt idx="26">
                  <c:v>46072</c:v>
                </c:pt>
                <c:pt idx="27">
                  <c:v>46072</c:v>
                </c:pt>
                <c:pt idx="28">
                  <c:v>46072</c:v>
                </c:pt>
                <c:pt idx="29">
                  <c:v>46072</c:v>
                </c:pt>
                <c:pt idx="30">
                  <c:v>46072</c:v>
                </c:pt>
                <c:pt idx="31">
                  <c:v>46072</c:v>
                </c:pt>
                <c:pt idx="32">
                  <c:v>46072</c:v>
                </c:pt>
                <c:pt idx="33">
                  <c:v>46072</c:v>
                </c:pt>
                <c:pt idx="34">
                  <c:v>46072</c:v>
                </c:pt>
                <c:pt idx="35">
                  <c:v>46072</c:v>
                </c:pt>
                <c:pt idx="36">
                  <c:v>46072</c:v>
                </c:pt>
                <c:pt idx="37">
                  <c:v>46072</c:v>
                </c:pt>
                <c:pt idx="38">
                  <c:v>46072</c:v>
                </c:pt>
                <c:pt idx="39">
                  <c:v>46072</c:v>
                </c:pt>
                <c:pt idx="40">
                  <c:v>46072</c:v>
                </c:pt>
                <c:pt idx="41">
                  <c:v>46072</c:v>
                </c:pt>
                <c:pt idx="42">
                  <c:v>46072</c:v>
                </c:pt>
                <c:pt idx="43">
                  <c:v>46072</c:v>
                </c:pt>
                <c:pt idx="44">
                  <c:v>46072</c:v>
                </c:pt>
                <c:pt idx="45">
                  <c:v>46072</c:v>
                </c:pt>
                <c:pt idx="46">
                  <c:v>46072</c:v>
                </c:pt>
                <c:pt idx="47">
                  <c:v>46072</c:v>
                </c:pt>
                <c:pt idx="48">
                  <c:v>46072</c:v>
                </c:pt>
                <c:pt idx="49">
                  <c:v>46072</c:v>
                </c:pt>
                <c:pt idx="50">
                  <c:v>46072</c:v>
                </c:pt>
                <c:pt idx="51">
                  <c:v>46072</c:v>
                </c:pt>
                <c:pt idx="52">
                  <c:v>46072</c:v>
                </c:pt>
                <c:pt idx="53">
                  <c:v>46072</c:v>
                </c:pt>
                <c:pt idx="54">
                  <c:v>46072</c:v>
                </c:pt>
                <c:pt idx="55">
                  <c:v>46072</c:v>
                </c:pt>
                <c:pt idx="56">
                  <c:v>46072</c:v>
                </c:pt>
                <c:pt idx="57">
                  <c:v>46072</c:v>
                </c:pt>
                <c:pt idx="58">
                  <c:v>46072</c:v>
                </c:pt>
                <c:pt idx="59">
                  <c:v>46072</c:v>
                </c:pt>
                <c:pt idx="60">
                  <c:v>46072</c:v>
                </c:pt>
                <c:pt idx="61">
                  <c:v>46072</c:v>
                </c:pt>
                <c:pt idx="62">
                  <c:v>46072</c:v>
                </c:pt>
                <c:pt idx="63">
                  <c:v>46072</c:v>
                </c:pt>
                <c:pt idx="64">
                  <c:v>46072</c:v>
                </c:pt>
                <c:pt idx="65">
                  <c:v>46072</c:v>
                </c:pt>
                <c:pt idx="66">
                  <c:v>46072</c:v>
                </c:pt>
                <c:pt idx="67">
                  <c:v>46072</c:v>
                </c:pt>
                <c:pt idx="68">
                  <c:v>46072</c:v>
                </c:pt>
                <c:pt idx="69">
                  <c:v>46072</c:v>
                </c:pt>
                <c:pt idx="70">
                  <c:v>46072</c:v>
                </c:pt>
                <c:pt idx="71">
                  <c:v>46072</c:v>
                </c:pt>
                <c:pt idx="72">
                  <c:v>46072</c:v>
                </c:pt>
                <c:pt idx="73">
                  <c:v>46072</c:v>
                </c:pt>
                <c:pt idx="74">
                  <c:v>46072</c:v>
                </c:pt>
                <c:pt idx="75">
                  <c:v>46072</c:v>
                </c:pt>
                <c:pt idx="76">
                  <c:v>46072</c:v>
                </c:pt>
                <c:pt idx="77">
                  <c:v>46072</c:v>
                </c:pt>
                <c:pt idx="78">
                  <c:v>46072</c:v>
                </c:pt>
                <c:pt idx="79">
                  <c:v>46072</c:v>
                </c:pt>
              </c:numCache>
            </c:numRef>
          </c:xVal>
          <c:yVal>
            <c:numRef>
              <c:f>'S-Curve'!$AA$7:$AA$86</c:f>
              <c:numCache>
                <c:formatCode>#,##0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'S-Curve'!$AC$6</c:f>
              <c:strCache>
                <c:ptCount val="1"/>
                <c:pt idx="0">
                  <c:v>Status Date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'S-Curve'!$AC$7:$AC$8</c:f>
              <c:numCache>
                <c:formatCode>dd\-mmm\-yy</c:formatCode>
                <c:ptCount val="2"/>
                <c:pt idx="0">
                  <c:v>46293</c:v>
                </c:pt>
                <c:pt idx="1">
                  <c:v>46293</c:v>
                </c:pt>
              </c:numCache>
            </c:numRef>
          </c:xVal>
          <c:yVal>
            <c:numRef>
              <c:f>'S-Curve'!$AE$7:$AE$8</c:f>
              <c:numCache>
                <c:formatCode>General</c:formatCode>
                <c:ptCount val="2"/>
                <c:pt idx="0">
                  <c:v>0</c:v>
                </c:pt>
                <c:pt idx="1">
                  <c:v>12108000</c:v>
                </c:pt>
              </c:numCache>
            </c:numRef>
          </c:yVal>
          <c:smooth val="0"/>
        </c:ser>
        <c:axId val="5448400"/>
        <c:axId val="57676513"/>
      </c:scatterChart>
      <c:valAx>
        <c:axId val="54484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76513"/>
        <c:crosses val="autoZero"/>
        <c:crossBetween val="midCat"/>
        <c:majorUnit val="30"/>
      </c:valAx>
      <c:valAx>
        <c:axId val="5767651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บาท / THB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,,&quot; M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840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'S-Curve'!$Q$6</c:f>
              <c:strCache>
                <c:ptCount val="1"/>
                <c:pt idx="0">
                  <c:v>Baseline แผนเดิม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'S-Curve'!$P$7:$P$86</c:f>
              <c:numCache>
                <c:formatCode>dd\-mmm\-yy</c:formatCode>
                <c:ptCount val="80"/>
                <c:pt idx="0">
                  <c:v>46073</c:v>
                </c:pt>
                <c:pt idx="1">
                  <c:v>46081</c:v>
                </c:pt>
                <c:pt idx="2">
                  <c:v>46091</c:v>
                </c:pt>
                <c:pt idx="3">
                  <c:v>46101</c:v>
                </c:pt>
                <c:pt idx="4">
                  <c:v>46112</c:v>
                </c:pt>
                <c:pt idx="5">
                  <c:v>46122</c:v>
                </c:pt>
                <c:pt idx="6">
                  <c:v>46132</c:v>
                </c:pt>
                <c:pt idx="7">
                  <c:v>46142</c:v>
                </c:pt>
                <c:pt idx="8">
                  <c:v>46152</c:v>
                </c:pt>
                <c:pt idx="9">
                  <c:v>46162</c:v>
                </c:pt>
                <c:pt idx="10">
                  <c:v>46173</c:v>
                </c:pt>
                <c:pt idx="11">
                  <c:v>46183</c:v>
                </c:pt>
                <c:pt idx="12">
                  <c:v>46193</c:v>
                </c:pt>
                <c:pt idx="13">
                  <c:v>46203</c:v>
                </c:pt>
                <c:pt idx="14">
                  <c:v>46213</c:v>
                </c:pt>
                <c:pt idx="15">
                  <c:v>46223</c:v>
                </c:pt>
                <c:pt idx="16">
                  <c:v>46234</c:v>
                </c:pt>
                <c:pt idx="17">
                  <c:v>46244</c:v>
                </c:pt>
                <c:pt idx="18">
                  <c:v>46254</c:v>
                </c:pt>
                <c:pt idx="19">
                  <c:v>46265</c:v>
                </c:pt>
                <c:pt idx="20">
                  <c:v>46275</c:v>
                </c:pt>
                <c:pt idx="21">
                  <c:v>46285</c:v>
                </c:pt>
                <c:pt idx="22">
                  <c:v>46295</c:v>
                </c:pt>
                <c:pt idx="23">
                  <c:v>46305</c:v>
                </c:pt>
                <c:pt idx="24">
                  <c:v>46315</c:v>
                </c:pt>
                <c:pt idx="25">
                  <c:v>46326</c:v>
                </c:pt>
                <c:pt idx="26">
                  <c:v>46336</c:v>
                </c:pt>
                <c:pt idx="27">
                  <c:v>46346</c:v>
                </c:pt>
                <c:pt idx="28">
                  <c:v>46346</c:v>
                </c:pt>
                <c:pt idx="29">
                  <c:v>46346</c:v>
                </c:pt>
                <c:pt idx="30">
                  <c:v>46346</c:v>
                </c:pt>
                <c:pt idx="31">
                  <c:v>46346</c:v>
                </c:pt>
                <c:pt idx="32">
                  <c:v>46346</c:v>
                </c:pt>
                <c:pt idx="33">
                  <c:v>46346</c:v>
                </c:pt>
                <c:pt idx="34">
                  <c:v>46346</c:v>
                </c:pt>
                <c:pt idx="35">
                  <c:v>46346</c:v>
                </c:pt>
                <c:pt idx="36">
                  <c:v>46346</c:v>
                </c:pt>
                <c:pt idx="37">
                  <c:v>46346</c:v>
                </c:pt>
                <c:pt idx="38">
                  <c:v>46346</c:v>
                </c:pt>
                <c:pt idx="39">
                  <c:v>46346</c:v>
                </c:pt>
                <c:pt idx="40">
                  <c:v>46346</c:v>
                </c:pt>
                <c:pt idx="41">
                  <c:v>46346</c:v>
                </c:pt>
                <c:pt idx="42">
                  <c:v>46346</c:v>
                </c:pt>
                <c:pt idx="43">
                  <c:v>46346</c:v>
                </c:pt>
                <c:pt idx="44">
                  <c:v>46346</c:v>
                </c:pt>
                <c:pt idx="45">
                  <c:v>46346</c:v>
                </c:pt>
                <c:pt idx="46">
                  <c:v>46346</c:v>
                </c:pt>
                <c:pt idx="47">
                  <c:v>46346</c:v>
                </c:pt>
                <c:pt idx="48">
                  <c:v>46346</c:v>
                </c:pt>
                <c:pt idx="49">
                  <c:v>46346</c:v>
                </c:pt>
                <c:pt idx="50">
                  <c:v>46346</c:v>
                </c:pt>
                <c:pt idx="51">
                  <c:v>46346</c:v>
                </c:pt>
                <c:pt idx="52">
                  <c:v>46346</c:v>
                </c:pt>
                <c:pt idx="53">
                  <c:v>46346</c:v>
                </c:pt>
                <c:pt idx="54">
                  <c:v>46346</c:v>
                </c:pt>
                <c:pt idx="55">
                  <c:v>46346</c:v>
                </c:pt>
                <c:pt idx="56">
                  <c:v>46346</c:v>
                </c:pt>
                <c:pt idx="57">
                  <c:v>46346</c:v>
                </c:pt>
                <c:pt idx="58">
                  <c:v>46346</c:v>
                </c:pt>
                <c:pt idx="59">
                  <c:v>46346</c:v>
                </c:pt>
                <c:pt idx="60">
                  <c:v>46346</c:v>
                </c:pt>
                <c:pt idx="61">
                  <c:v>46346</c:v>
                </c:pt>
                <c:pt idx="62">
                  <c:v>46346</c:v>
                </c:pt>
                <c:pt idx="63">
                  <c:v>46346</c:v>
                </c:pt>
                <c:pt idx="64">
                  <c:v>46346</c:v>
                </c:pt>
                <c:pt idx="65">
                  <c:v>46346</c:v>
                </c:pt>
                <c:pt idx="66">
                  <c:v>46346</c:v>
                </c:pt>
                <c:pt idx="67">
                  <c:v>46346</c:v>
                </c:pt>
                <c:pt idx="68">
                  <c:v>46346</c:v>
                </c:pt>
                <c:pt idx="69">
                  <c:v>46346</c:v>
                </c:pt>
                <c:pt idx="70">
                  <c:v>46346</c:v>
                </c:pt>
                <c:pt idx="71">
                  <c:v>46346</c:v>
                </c:pt>
                <c:pt idx="72">
                  <c:v>46346</c:v>
                </c:pt>
                <c:pt idx="73">
                  <c:v>46346</c:v>
                </c:pt>
                <c:pt idx="74">
                  <c:v>46346</c:v>
                </c:pt>
                <c:pt idx="75">
                  <c:v>46346</c:v>
                </c:pt>
                <c:pt idx="76">
                  <c:v>46346</c:v>
                </c:pt>
                <c:pt idx="77">
                  <c:v>46346</c:v>
                </c:pt>
                <c:pt idx="78">
                  <c:v>46346</c:v>
                </c:pt>
                <c:pt idx="79">
                  <c:v>46346</c:v>
                </c:pt>
              </c:numCache>
            </c:numRef>
          </c:xVal>
          <c:yVal>
            <c:numRef>
              <c:f>'S-Curve'!$Q$7:$Q$86</c:f>
              <c:numCache>
                <c:formatCode>0.00%</c:formatCode>
                <c:ptCount val="80"/>
                <c:pt idx="0">
                  <c:v>0.0050375</c:v>
                </c:pt>
                <c:pt idx="1">
                  <c:v>0.0251875</c:v>
                </c:pt>
                <c:pt idx="2">
                  <c:v>0.0442</c:v>
                </c:pt>
                <c:pt idx="3">
                  <c:v>0.0658561148590209</c:v>
                </c:pt>
                <c:pt idx="4">
                  <c:v>0.0985714582252206</c:v>
                </c:pt>
                <c:pt idx="5">
                  <c:v>0.12831267946722</c:v>
                </c:pt>
                <c:pt idx="6">
                  <c:v>0.167925943719973</c:v>
                </c:pt>
                <c:pt idx="7">
                  <c:v>0.208203225806452</c:v>
                </c:pt>
                <c:pt idx="8">
                  <c:v>0.228267741935484</c:v>
                </c:pt>
                <c:pt idx="9">
                  <c:v>0.262876923076923</c:v>
                </c:pt>
                <c:pt idx="10">
                  <c:v>0.289911538461538</c:v>
                </c:pt>
                <c:pt idx="11">
                  <c:v>0.32776</c:v>
                </c:pt>
                <c:pt idx="12">
                  <c:v>0.365358709677419</c:v>
                </c:pt>
                <c:pt idx="13">
                  <c:v>0.398203225806452</c:v>
                </c:pt>
                <c:pt idx="14">
                  <c:v>0.438919915848527</c:v>
                </c:pt>
                <c:pt idx="15">
                  <c:v>0.523866847826087</c:v>
                </c:pt>
                <c:pt idx="16">
                  <c:v>0.612124025715801</c:v>
                </c:pt>
                <c:pt idx="17">
                  <c:v>0.672994187433722</c:v>
                </c:pt>
                <c:pt idx="18">
                  <c:v>0.716724057649667</c:v>
                </c:pt>
                <c:pt idx="19">
                  <c:v>0.769454545454545</c:v>
                </c:pt>
                <c:pt idx="20">
                  <c:v>0.8198</c:v>
                </c:pt>
                <c:pt idx="21">
                  <c:v>0.8411</c:v>
                </c:pt>
                <c:pt idx="22">
                  <c:v>0.8624</c:v>
                </c:pt>
                <c:pt idx="23">
                  <c:v>0.8837</c:v>
                </c:pt>
                <c:pt idx="24">
                  <c:v>0.897516216216216</c:v>
                </c:pt>
                <c:pt idx="25">
                  <c:v>0.922845945945946</c:v>
                </c:pt>
                <c:pt idx="26">
                  <c:v>0.965310472972973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'S-Curve'!$S$6</c:f>
              <c:strCache>
                <c:ptCount val="1"/>
                <c:pt idx="0">
                  <c:v>Revised แผนเร่งรัด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'S-Curve'!$R$7:$R$86</c:f>
              <c:numCache>
                <c:formatCode>dd\-mmm\-yy</c:formatCode>
                <c:ptCount val="80"/>
                <c:pt idx="0">
                  <c:v>46072</c:v>
                </c:pt>
                <c:pt idx="1">
                  <c:v>46072</c:v>
                </c:pt>
                <c:pt idx="2">
                  <c:v>46072</c:v>
                </c:pt>
                <c:pt idx="3">
                  <c:v>46072</c:v>
                </c:pt>
                <c:pt idx="4">
                  <c:v>46072</c:v>
                </c:pt>
                <c:pt idx="5">
                  <c:v>46072</c:v>
                </c:pt>
                <c:pt idx="6">
                  <c:v>46072</c:v>
                </c:pt>
                <c:pt idx="7">
                  <c:v>46072</c:v>
                </c:pt>
                <c:pt idx="8">
                  <c:v>46072</c:v>
                </c:pt>
                <c:pt idx="9">
                  <c:v>46072</c:v>
                </c:pt>
                <c:pt idx="10">
                  <c:v>46072</c:v>
                </c:pt>
                <c:pt idx="11">
                  <c:v>46072</c:v>
                </c:pt>
                <c:pt idx="12">
                  <c:v>46072</c:v>
                </c:pt>
                <c:pt idx="13">
                  <c:v>46072</c:v>
                </c:pt>
                <c:pt idx="14">
                  <c:v>46072</c:v>
                </c:pt>
                <c:pt idx="15">
                  <c:v>46072</c:v>
                </c:pt>
                <c:pt idx="16">
                  <c:v>46072</c:v>
                </c:pt>
                <c:pt idx="17">
                  <c:v>46072</c:v>
                </c:pt>
                <c:pt idx="18">
                  <c:v>46072</c:v>
                </c:pt>
                <c:pt idx="19">
                  <c:v>46072</c:v>
                </c:pt>
                <c:pt idx="20">
                  <c:v>46072</c:v>
                </c:pt>
                <c:pt idx="21">
                  <c:v>46072</c:v>
                </c:pt>
                <c:pt idx="22">
                  <c:v>46072</c:v>
                </c:pt>
                <c:pt idx="23">
                  <c:v>46072</c:v>
                </c:pt>
                <c:pt idx="24">
                  <c:v>46072</c:v>
                </c:pt>
                <c:pt idx="25">
                  <c:v>46072</c:v>
                </c:pt>
                <c:pt idx="26">
                  <c:v>46072</c:v>
                </c:pt>
                <c:pt idx="27">
                  <c:v>46072</c:v>
                </c:pt>
                <c:pt idx="28">
                  <c:v>46072</c:v>
                </c:pt>
                <c:pt idx="29">
                  <c:v>46072</c:v>
                </c:pt>
                <c:pt idx="30">
                  <c:v>46072</c:v>
                </c:pt>
                <c:pt idx="31">
                  <c:v>46072</c:v>
                </c:pt>
                <c:pt idx="32">
                  <c:v>46072</c:v>
                </c:pt>
                <c:pt idx="33">
                  <c:v>46072</c:v>
                </c:pt>
                <c:pt idx="34">
                  <c:v>46072</c:v>
                </c:pt>
                <c:pt idx="35">
                  <c:v>46072</c:v>
                </c:pt>
                <c:pt idx="36">
                  <c:v>46072</c:v>
                </c:pt>
                <c:pt idx="37">
                  <c:v>46072</c:v>
                </c:pt>
                <c:pt idx="38">
                  <c:v>46072</c:v>
                </c:pt>
                <c:pt idx="39">
                  <c:v>46072</c:v>
                </c:pt>
                <c:pt idx="40">
                  <c:v>46072</c:v>
                </c:pt>
                <c:pt idx="41">
                  <c:v>46072</c:v>
                </c:pt>
                <c:pt idx="42">
                  <c:v>46072</c:v>
                </c:pt>
                <c:pt idx="43">
                  <c:v>46072</c:v>
                </c:pt>
                <c:pt idx="44">
                  <c:v>46072</c:v>
                </c:pt>
                <c:pt idx="45">
                  <c:v>46072</c:v>
                </c:pt>
                <c:pt idx="46">
                  <c:v>46072</c:v>
                </c:pt>
                <c:pt idx="47">
                  <c:v>46072</c:v>
                </c:pt>
                <c:pt idx="48">
                  <c:v>46072</c:v>
                </c:pt>
                <c:pt idx="49">
                  <c:v>46072</c:v>
                </c:pt>
                <c:pt idx="50">
                  <c:v>46072</c:v>
                </c:pt>
                <c:pt idx="51">
                  <c:v>46072</c:v>
                </c:pt>
                <c:pt idx="52">
                  <c:v>46072</c:v>
                </c:pt>
                <c:pt idx="53">
                  <c:v>46072</c:v>
                </c:pt>
                <c:pt idx="54">
                  <c:v>46072</c:v>
                </c:pt>
                <c:pt idx="55">
                  <c:v>46072</c:v>
                </c:pt>
                <c:pt idx="56">
                  <c:v>46072</c:v>
                </c:pt>
                <c:pt idx="57">
                  <c:v>46072</c:v>
                </c:pt>
                <c:pt idx="58">
                  <c:v>46072</c:v>
                </c:pt>
                <c:pt idx="59">
                  <c:v>46072</c:v>
                </c:pt>
                <c:pt idx="60">
                  <c:v>46072</c:v>
                </c:pt>
                <c:pt idx="61">
                  <c:v>46072</c:v>
                </c:pt>
                <c:pt idx="62">
                  <c:v>46072</c:v>
                </c:pt>
                <c:pt idx="63">
                  <c:v>46072</c:v>
                </c:pt>
                <c:pt idx="64">
                  <c:v>46072</c:v>
                </c:pt>
                <c:pt idx="65">
                  <c:v>46072</c:v>
                </c:pt>
                <c:pt idx="66">
                  <c:v>46072</c:v>
                </c:pt>
                <c:pt idx="67">
                  <c:v>46072</c:v>
                </c:pt>
                <c:pt idx="68">
                  <c:v>46072</c:v>
                </c:pt>
                <c:pt idx="69">
                  <c:v>46072</c:v>
                </c:pt>
                <c:pt idx="70">
                  <c:v>46072</c:v>
                </c:pt>
                <c:pt idx="71">
                  <c:v>46072</c:v>
                </c:pt>
                <c:pt idx="72">
                  <c:v>46072</c:v>
                </c:pt>
                <c:pt idx="73">
                  <c:v>46072</c:v>
                </c:pt>
                <c:pt idx="74">
                  <c:v>46072</c:v>
                </c:pt>
                <c:pt idx="75">
                  <c:v>46072</c:v>
                </c:pt>
                <c:pt idx="76">
                  <c:v>46072</c:v>
                </c:pt>
                <c:pt idx="77">
                  <c:v>46072</c:v>
                </c:pt>
                <c:pt idx="78">
                  <c:v>46072</c:v>
                </c:pt>
                <c:pt idx="79">
                  <c:v>46072</c:v>
                </c:pt>
              </c:numCache>
            </c:numRef>
          </c:xVal>
          <c:yVal>
            <c:numRef>
              <c:f>'S-Curve'!$S$7:$S$86</c:f>
              <c:numCache>
                <c:formatCode>0.00%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'S-Curve'!$U$6</c:f>
              <c:strCache>
                <c:ptCount val="1"/>
                <c:pt idx="0">
                  <c:v>Actual ผลงานจริง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'S-Curve'!$T$7:$T$86</c:f>
              <c:numCache>
                <c:formatCode>dd\-mmm\-yy</c:formatCode>
                <c:ptCount val="80"/>
                <c:pt idx="0">
                  <c:v>46073</c:v>
                </c:pt>
                <c:pt idx="1">
                  <c:v>46081</c:v>
                </c:pt>
                <c:pt idx="2">
                  <c:v>46091</c:v>
                </c:pt>
                <c:pt idx="3">
                  <c:v>46101</c:v>
                </c:pt>
                <c:pt idx="4">
                  <c:v>46112</c:v>
                </c:pt>
                <c:pt idx="5">
                  <c:v>46122</c:v>
                </c:pt>
                <c:pt idx="6">
                  <c:v>46132</c:v>
                </c:pt>
                <c:pt idx="7">
                  <c:v>46142</c:v>
                </c:pt>
                <c:pt idx="8">
                  <c:v>46142</c:v>
                </c:pt>
                <c:pt idx="9">
                  <c:v>46142</c:v>
                </c:pt>
                <c:pt idx="10">
                  <c:v>46142</c:v>
                </c:pt>
                <c:pt idx="11">
                  <c:v>46142</c:v>
                </c:pt>
                <c:pt idx="12">
                  <c:v>46142</c:v>
                </c:pt>
                <c:pt idx="13">
                  <c:v>46142</c:v>
                </c:pt>
                <c:pt idx="14">
                  <c:v>46142</c:v>
                </c:pt>
                <c:pt idx="15">
                  <c:v>46142</c:v>
                </c:pt>
                <c:pt idx="16">
                  <c:v>46142</c:v>
                </c:pt>
                <c:pt idx="17">
                  <c:v>46142</c:v>
                </c:pt>
                <c:pt idx="18">
                  <c:v>46142</c:v>
                </c:pt>
                <c:pt idx="19">
                  <c:v>46142</c:v>
                </c:pt>
                <c:pt idx="20">
                  <c:v>46142</c:v>
                </c:pt>
                <c:pt idx="21">
                  <c:v>46142</c:v>
                </c:pt>
                <c:pt idx="22">
                  <c:v>46142</c:v>
                </c:pt>
                <c:pt idx="23">
                  <c:v>46142</c:v>
                </c:pt>
                <c:pt idx="24">
                  <c:v>46142</c:v>
                </c:pt>
                <c:pt idx="25">
                  <c:v>46142</c:v>
                </c:pt>
                <c:pt idx="26">
                  <c:v>46142</c:v>
                </c:pt>
                <c:pt idx="27">
                  <c:v>46142</c:v>
                </c:pt>
                <c:pt idx="28">
                  <c:v>46142</c:v>
                </c:pt>
                <c:pt idx="29">
                  <c:v>46142</c:v>
                </c:pt>
                <c:pt idx="30">
                  <c:v>46142</c:v>
                </c:pt>
                <c:pt idx="31">
                  <c:v>46142</c:v>
                </c:pt>
                <c:pt idx="32">
                  <c:v>46142</c:v>
                </c:pt>
                <c:pt idx="33">
                  <c:v>46142</c:v>
                </c:pt>
                <c:pt idx="34">
                  <c:v>46142</c:v>
                </c:pt>
                <c:pt idx="35">
                  <c:v>46142</c:v>
                </c:pt>
                <c:pt idx="36">
                  <c:v>46142</c:v>
                </c:pt>
                <c:pt idx="37">
                  <c:v>46142</c:v>
                </c:pt>
                <c:pt idx="38">
                  <c:v>46142</c:v>
                </c:pt>
                <c:pt idx="39">
                  <c:v>46142</c:v>
                </c:pt>
                <c:pt idx="40">
                  <c:v>46142</c:v>
                </c:pt>
                <c:pt idx="41">
                  <c:v>46142</c:v>
                </c:pt>
                <c:pt idx="42">
                  <c:v>46142</c:v>
                </c:pt>
                <c:pt idx="43">
                  <c:v>46142</c:v>
                </c:pt>
                <c:pt idx="44">
                  <c:v>46142</c:v>
                </c:pt>
                <c:pt idx="45">
                  <c:v>46142</c:v>
                </c:pt>
                <c:pt idx="46">
                  <c:v>46142</c:v>
                </c:pt>
                <c:pt idx="47">
                  <c:v>46142</c:v>
                </c:pt>
                <c:pt idx="48">
                  <c:v>46142</c:v>
                </c:pt>
                <c:pt idx="49">
                  <c:v>46142</c:v>
                </c:pt>
                <c:pt idx="50">
                  <c:v>46142</c:v>
                </c:pt>
                <c:pt idx="51">
                  <c:v>46142</c:v>
                </c:pt>
                <c:pt idx="52">
                  <c:v>46142</c:v>
                </c:pt>
                <c:pt idx="53">
                  <c:v>46142</c:v>
                </c:pt>
                <c:pt idx="54">
                  <c:v>46142</c:v>
                </c:pt>
                <c:pt idx="55">
                  <c:v>46142</c:v>
                </c:pt>
                <c:pt idx="56">
                  <c:v>46142</c:v>
                </c:pt>
                <c:pt idx="57">
                  <c:v>46142</c:v>
                </c:pt>
                <c:pt idx="58">
                  <c:v>46142</c:v>
                </c:pt>
                <c:pt idx="59">
                  <c:v>46142</c:v>
                </c:pt>
                <c:pt idx="60">
                  <c:v>46142</c:v>
                </c:pt>
                <c:pt idx="61">
                  <c:v>46142</c:v>
                </c:pt>
                <c:pt idx="62">
                  <c:v>46142</c:v>
                </c:pt>
                <c:pt idx="63">
                  <c:v>46142</c:v>
                </c:pt>
                <c:pt idx="64">
                  <c:v>46142</c:v>
                </c:pt>
                <c:pt idx="65">
                  <c:v>46142</c:v>
                </c:pt>
                <c:pt idx="66">
                  <c:v>46142</c:v>
                </c:pt>
                <c:pt idx="67">
                  <c:v>46142</c:v>
                </c:pt>
                <c:pt idx="68">
                  <c:v>46142</c:v>
                </c:pt>
                <c:pt idx="69">
                  <c:v>46142</c:v>
                </c:pt>
                <c:pt idx="70">
                  <c:v>46142</c:v>
                </c:pt>
                <c:pt idx="71">
                  <c:v>46142</c:v>
                </c:pt>
                <c:pt idx="72">
                  <c:v>46142</c:v>
                </c:pt>
                <c:pt idx="73">
                  <c:v>46142</c:v>
                </c:pt>
                <c:pt idx="74">
                  <c:v>46142</c:v>
                </c:pt>
                <c:pt idx="75">
                  <c:v>46142</c:v>
                </c:pt>
                <c:pt idx="76">
                  <c:v>46142</c:v>
                </c:pt>
                <c:pt idx="77">
                  <c:v>46142</c:v>
                </c:pt>
                <c:pt idx="78">
                  <c:v>46142</c:v>
                </c:pt>
                <c:pt idx="79">
                  <c:v>46142</c:v>
                </c:pt>
              </c:numCache>
            </c:numRef>
          </c:xVal>
          <c:yVal>
            <c:numRef>
              <c:f>'S-Curve'!$U$7:$U$86</c:f>
              <c:numCache>
                <c:formatCode>0.00%</c:formatCode>
                <c:ptCount val="80"/>
                <c:pt idx="0">
                  <c:v>0</c:v>
                </c:pt>
                <c:pt idx="1">
                  <c:v>0.0092</c:v>
                </c:pt>
                <c:pt idx="2">
                  <c:v>0.0282</c:v>
                </c:pt>
                <c:pt idx="3">
                  <c:v>0.0312</c:v>
                </c:pt>
                <c:pt idx="4">
                  <c:v>0.044</c:v>
                </c:pt>
                <c:pt idx="5">
                  <c:v>0.0483</c:v>
                </c:pt>
                <c:pt idx="6">
                  <c:v>0.0483</c:v>
                </c:pt>
                <c:pt idx="7">
                  <c:v>0.0513</c:v>
                </c:pt>
                <c:pt idx="8">
                  <c:v>0.0513</c:v>
                </c:pt>
                <c:pt idx="9">
                  <c:v>0.0513</c:v>
                </c:pt>
                <c:pt idx="10">
                  <c:v>0.0513</c:v>
                </c:pt>
                <c:pt idx="11">
                  <c:v>0.0513</c:v>
                </c:pt>
                <c:pt idx="12">
                  <c:v>0.0513</c:v>
                </c:pt>
                <c:pt idx="13">
                  <c:v>0.0513</c:v>
                </c:pt>
                <c:pt idx="14">
                  <c:v>0.0513</c:v>
                </c:pt>
                <c:pt idx="15">
                  <c:v>0.0513</c:v>
                </c:pt>
                <c:pt idx="16">
                  <c:v>0.0513</c:v>
                </c:pt>
                <c:pt idx="17">
                  <c:v>0.0513</c:v>
                </c:pt>
                <c:pt idx="18">
                  <c:v>0.0513</c:v>
                </c:pt>
                <c:pt idx="19">
                  <c:v>0.0513</c:v>
                </c:pt>
                <c:pt idx="20">
                  <c:v>0.0513</c:v>
                </c:pt>
                <c:pt idx="21">
                  <c:v>0.0513</c:v>
                </c:pt>
                <c:pt idx="22">
                  <c:v>0.0513</c:v>
                </c:pt>
                <c:pt idx="23">
                  <c:v>0.0513</c:v>
                </c:pt>
                <c:pt idx="24">
                  <c:v>0.0513</c:v>
                </c:pt>
                <c:pt idx="25">
                  <c:v>0.0513</c:v>
                </c:pt>
                <c:pt idx="26">
                  <c:v>0.0513</c:v>
                </c:pt>
                <c:pt idx="27">
                  <c:v>0.0513</c:v>
                </c:pt>
                <c:pt idx="28">
                  <c:v>0.0513</c:v>
                </c:pt>
                <c:pt idx="29">
                  <c:v>0.0513</c:v>
                </c:pt>
                <c:pt idx="30">
                  <c:v>0.0513</c:v>
                </c:pt>
                <c:pt idx="31">
                  <c:v>0.0513</c:v>
                </c:pt>
                <c:pt idx="32">
                  <c:v>0.0513</c:v>
                </c:pt>
                <c:pt idx="33">
                  <c:v>0.0513</c:v>
                </c:pt>
                <c:pt idx="34">
                  <c:v>0.0513</c:v>
                </c:pt>
                <c:pt idx="35">
                  <c:v>0.0513</c:v>
                </c:pt>
                <c:pt idx="36">
                  <c:v>0.0513</c:v>
                </c:pt>
                <c:pt idx="37">
                  <c:v>0.0513</c:v>
                </c:pt>
                <c:pt idx="38">
                  <c:v>0.0513</c:v>
                </c:pt>
                <c:pt idx="39">
                  <c:v>0.0513</c:v>
                </c:pt>
                <c:pt idx="40">
                  <c:v>0.0513</c:v>
                </c:pt>
                <c:pt idx="41">
                  <c:v>0.0513</c:v>
                </c:pt>
                <c:pt idx="42">
                  <c:v>0.0513</c:v>
                </c:pt>
                <c:pt idx="43">
                  <c:v>0.0513</c:v>
                </c:pt>
                <c:pt idx="44">
                  <c:v>0.0513</c:v>
                </c:pt>
                <c:pt idx="45">
                  <c:v>0.0513</c:v>
                </c:pt>
                <c:pt idx="46">
                  <c:v>0.0513</c:v>
                </c:pt>
                <c:pt idx="47">
                  <c:v>0.0513</c:v>
                </c:pt>
                <c:pt idx="48">
                  <c:v>0.0513</c:v>
                </c:pt>
                <c:pt idx="49">
                  <c:v>0.0513</c:v>
                </c:pt>
                <c:pt idx="50">
                  <c:v>0.0513</c:v>
                </c:pt>
                <c:pt idx="51">
                  <c:v>0.0513</c:v>
                </c:pt>
                <c:pt idx="52">
                  <c:v>0.0513</c:v>
                </c:pt>
                <c:pt idx="53">
                  <c:v>0.0513</c:v>
                </c:pt>
                <c:pt idx="54">
                  <c:v>0.0513</c:v>
                </c:pt>
                <c:pt idx="55">
                  <c:v>0.0513</c:v>
                </c:pt>
                <c:pt idx="56">
                  <c:v>0.0513</c:v>
                </c:pt>
                <c:pt idx="57">
                  <c:v>0.0513</c:v>
                </c:pt>
                <c:pt idx="58">
                  <c:v>0.0513</c:v>
                </c:pt>
                <c:pt idx="59">
                  <c:v>0.0513</c:v>
                </c:pt>
                <c:pt idx="60">
                  <c:v>0.0513</c:v>
                </c:pt>
                <c:pt idx="61">
                  <c:v>0.0513</c:v>
                </c:pt>
                <c:pt idx="62">
                  <c:v>0.0513</c:v>
                </c:pt>
                <c:pt idx="63">
                  <c:v>0.0513</c:v>
                </c:pt>
                <c:pt idx="64">
                  <c:v>0.0513</c:v>
                </c:pt>
                <c:pt idx="65">
                  <c:v>0.0513</c:v>
                </c:pt>
                <c:pt idx="66">
                  <c:v>0.0513</c:v>
                </c:pt>
                <c:pt idx="67">
                  <c:v>0.0513</c:v>
                </c:pt>
                <c:pt idx="68">
                  <c:v>0.0513</c:v>
                </c:pt>
                <c:pt idx="69">
                  <c:v>0.0513</c:v>
                </c:pt>
                <c:pt idx="70">
                  <c:v>0.0513</c:v>
                </c:pt>
                <c:pt idx="71">
                  <c:v>0.0513</c:v>
                </c:pt>
                <c:pt idx="72">
                  <c:v>0.0513</c:v>
                </c:pt>
                <c:pt idx="73">
                  <c:v>0.0513</c:v>
                </c:pt>
                <c:pt idx="74">
                  <c:v>0.0513</c:v>
                </c:pt>
                <c:pt idx="75">
                  <c:v>0.0513</c:v>
                </c:pt>
                <c:pt idx="76">
                  <c:v>0.0513</c:v>
                </c:pt>
                <c:pt idx="77">
                  <c:v>0.0513</c:v>
                </c:pt>
                <c:pt idx="78">
                  <c:v>0.0513</c:v>
                </c:pt>
                <c:pt idx="79">
                  <c:v>0.0513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'S-Curve'!$W$6</c:f>
              <c:strCache>
                <c:ptCount val="1"/>
                <c:pt idx="0">
                  <c:v>Forecast คาดการณ์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'S-Curve'!$V$7:$V$86</c:f>
              <c:numCache>
                <c:formatCode>dd\-mmm\-yy</c:formatCode>
                <c:ptCount val="80"/>
                <c:pt idx="0">
                  <c:v>46142</c:v>
                </c:pt>
                <c:pt idx="1">
                  <c:v>46142</c:v>
                </c:pt>
                <c:pt idx="2">
                  <c:v>46142</c:v>
                </c:pt>
                <c:pt idx="3">
                  <c:v>46142</c:v>
                </c:pt>
                <c:pt idx="4">
                  <c:v>46142</c:v>
                </c:pt>
                <c:pt idx="5">
                  <c:v>46142</c:v>
                </c:pt>
                <c:pt idx="6">
                  <c:v>46142</c:v>
                </c:pt>
                <c:pt idx="7">
                  <c:v>46142</c:v>
                </c:pt>
                <c:pt idx="8">
                  <c:v>46152</c:v>
                </c:pt>
                <c:pt idx="9">
                  <c:v>46162</c:v>
                </c:pt>
                <c:pt idx="10">
                  <c:v>46173</c:v>
                </c:pt>
                <c:pt idx="11">
                  <c:v>46183</c:v>
                </c:pt>
                <c:pt idx="12">
                  <c:v>46193</c:v>
                </c:pt>
                <c:pt idx="13">
                  <c:v>46203</c:v>
                </c:pt>
                <c:pt idx="14">
                  <c:v>46213</c:v>
                </c:pt>
                <c:pt idx="15">
                  <c:v>46223</c:v>
                </c:pt>
                <c:pt idx="16">
                  <c:v>46234</c:v>
                </c:pt>
                <c:pt idx="17">
                  <c:v>46244</c:v>
                </c:pt>
                <c:pt idx="18">
                  <c:v>46254</c:v>
                </c:pt>
                <c:pt idx="19">
                  <c:v>46265</c:v>
                </c:pt>
                <c:pt idx="20">
                  <c:v>46275</c:v>
                </c:pt>
                <c:pt idx="21">
                  <c:v>46285</c:v>
                </c:pt>
                <c:pt idx="22">
                  <c:v>46295</c:v>
                </c:pt>
                <c:pt idx="23">
                  <c:v>46305</c:v>
                </c:pt>
                <c:pt idx="24">
                  <c:v>46315</c:v>
                </c:pt>
                <c:pt idx="25">
                  <c:v>46326</c:v>
                </c:pt>
                <c:pt idx="26">
                  <c:v>46336</c:v>
                </c:pt>
                <c:pt idx="27">
                  <c:v>46346</c:v>
                </c:pt>
                <c:pt idx="28">
                  <c:v>46346</c:v>
                </c:pt>
                <c:pt idx="29">
                  <c:v>46346</c:v>
                </c:pt>
                <c:pt idx="30">
                  <c:v>46346</c:v>
                </c:pt>
                <c:pt idx="31">
                  <c:v>46346</c:v>
                </c:pt>
                <c:pt idx="32">
                  <c:v>46346</c:v>
                </c:pt>
                <c:pt idx="33">
                  <c:v>46346</c:v>
                </c:pt>
                <c:pt idx="34">
                  <c:v>46346</c:v>
                </c:pt>
                <c:pt idx="35">
                  <c:v>46346</c:v>
                </c:pt>
                <c:pt idx="36">
                  <c:v>46346</c:v>
                </c:pt>
                <c:pt idx="37">
                  <c:v>46346</c:v>
                </c:pt>
                <c:pt idx="38">
                  <c:v>46346</c:v>
                </c:pt>
                <c:pt idx="39">
                  <c:v>46346</c:v>
                </c:pt>
                <c:pt idx="40">
                  <c:v>46346</c:v>
                </c:pt>
                <c:pt idx="41">
                  <c:v>46346</c:v>
                </c:pt>
                <c:pt idx="42">
                  <c:v>46346</c:v>
                </c:pt>
                <c:pt idx="43">
                  <c:v>46346</c:v>
                </c:pt>
                <c:pt idx="44">
                  <c:v>46346</c:v>
                </c:pt>
                <c:pt idx="45">
                  <c:v>46346</c:v>
                </c:pt>
                <c:pt idx="46">
                  <c:v>46346</c:v>
                </c:pt>
                <c:pt idx="47">
                  <c:v>46346</c:v>
                </c:pt>
                <c:pt idx="48">
                  <c:v>46346</c:v>
                </c:pt>
                <c:pt idx="49">
                  <c:v>46346</c:v>
                </c:pt>
                <c:pt idx="50">
                  <c:v>46346</c:v>
                </c:pt>
                <c:pt idx="51">
                  <c:v>46346</c:v>
                </c:pt>
                <c:pt idx="52">
                  <c:v>46346</c:v>
                </c:pt>
                <c:pt idx="53">
                  <c:v>46346</c:v>
                </c:pt>
                <c:pt idx="54">
                  <c:v>46346</c:v>
                </c:pt>
                <c:pt idx="55">
                  <c:v>46346</c:v>
                </c:pt>
                <c:pt idx="56">
                  <c:v>46346</c:v>
                </c:pt>
                <c:pt idx="57">
                  <c:v>46346</c:v>
                </c:pt>
                <c:pt idx="58">
                  <c:v>46346</c:v>
                </c:pt>
                <c:pt idx="59">
                  <c:v>46346</c:v>
                </c:pt>
                <c:pt idx="60">
                  <c:v>46346</c:v>
                </c:pt>
                <c:pt idx="61">
                  <c:v>46346</c:v>
                </c:pt>
                <c:pt idx="62">
                  <c:v>46346</c:v>
                </c:pt>
                <c:pt idx="63">
                  <c:v>46346</c:v>
                </c:pt>
                <c:pt idx="64">
                  <c:v>46346</c:v>
                </c:pt>
                <c:pt idx="65">
                  <c:v>46346</c:v>
                </c:pt>
                <c:pt idx="66">
                  <c:v>46346</c:v>
                </c:pt>
                <c:pt idx="67">
                  <c:v>46346</c:v>
                </c:pt>
                <c:pt idx="68">
                  <c:v>46346</c:v>
                </c:pt>
                <c:pt idx="69">
                  <c:v>46346</c:v>
                </c:pt>
                <c:pt idx="70">
                  <c:v>46346</c:v>
                </c:pt>
                <c:pt idx="71">
                  <c:v>46346</c:v>
                </c:pt>
                <c:pt idx="72">
                  <c:v>46346</c:v>
                </c:pt>
                <c:pt idx="73">
                  <c:v>46346</c:v>
                </c:pt>
                <c:pt idx="74">
                  <c:v>46346</c:v>
                </c:pt>
                <c:pt idx="75">
                  <c:v>46346</c:v>
                </c:pt>
                <c:pt idx="76">
                  <c:v>46346</c:v>
                </c:pt>
                <c:pt idx="77">
                  <c:v>46346</c:v>
                </c:pt>
                <c:pt idx="78">
                  <c:v>46346</c:v>
                </c:pt>
                <c:pt idx="79">
                  <c:v>46346</c:v>
                </c:pt>
              </c:numCache>
            </c:numRef>
          </c:xVal>
          <c:yVal>
            <c:numRef>
              <c:f>'S-Curve'!$W$7:$W$86</c:f>
              <c:numCache>
                <c:formatCode>0.00%</c:formatCode>
                <c:ptCount val="80"/>
                <c:pt idx="0">
                  <c:v>0.0513</c:v>
                </c:pt>
                <c:pt idx="1">
                  <c:v>0.0513</c:v>
                </c:pt>
                <c:pt idx="2">
                  <c:v>0.0513</c:v>
                </c:pt>
                <c:pt idx="3">
                  <c:v>0.0513</c:v>
                </c:pt>
                <c:pt idx="4">
                  <c:v>0.0513</c:v>
                </c:pt>
                <c:pt idx="5">
                  <c:v>0.0513</c:v>
                </c:pt>
                <c:pt idx="6">
                  <c:v>0.0513</c:v>
                </c:pt>
                <c:pt idx="7">
                  <c:v>0.0513</c:v>
                </c:pt>
                <c:pt idx="8">
                  <c:v>0.063494087403599</c:v>
                </c:pt>
                <c:pt idx="9">
                  <c:v>0.0756881748071979</c:v>
                </c:pt>
                <c:pt idx="10">
                  <c:v>0.0891016709511568</c:v>
                </c:pt>
                <c:pt idx="11">
                  <c:v>0.101295758354756</c:v>
                </c:pt>
                <c:pt idx="12">
                  <c:v>0.113489845758355</c:v>
                </c:pt>
                <c:pt idx="13">
                  <c:v>0.125683933161954</c:v>
                </c:pt>
                <c:pt idx="14">
                  <c:v>0.137878020565553</c:v>
                </c:pt>
                <c:pt idx="15">
                  <c:v>0.150072107969152</c:v>
                </c:pt>
                <c:pt idx="16">
                  <c:v>0.163485604113111</c:v>
                </c:pt>
                <c:pt idx="17">
                  <c:v>0.17567969151671</c:v>
                </c:pt>
                <c:pt idx="18">
                  <c:v>0.187873778920309</c:v>
                </c:pt>
                <c:pt idx="19">
                  <c:v>0.201287275064267</c:v>
                </c:pt>
                <c:pt idx="20">
                  <c:v>0.213481362467866</c:v>
                </c:pt>
                <c:pt idx="21">
                  <c:v>0.225675449871465</c:v>
                </c:pt>
                <c:pt idx="22">
                  <c:v>0.237869537275064</c:v>
                </c:pt>
                <c:pt idx="23">
                  <c:v>0.250063624678663</c:v>
                </c:pt>
                <c:pt idx="24">
                  <c:v>0.262257712082262</c:v>
                </c:pt>
                <c:pt idx="25">
                  <c:v>0.275671208226221</c:v>
                </c:pt>
                <c:pt idx="26">
                  <c:v>0.28786529562982</c:v>
                </c:pt>
                <c:pt idx="27">
                  <c:v>0.300059383033419</c:v>
                </c:pt>
                <c:pt idx="28">
                  <c:v>0.300059383033419</c:v>
                </c:pt>
                <c:pt idx="29">
                  <c:v>0.300059383033419</c:v>
                </c:pt>
                <c:pt idx="30">
                  <c:v>0.300059383033419</c:v>
                </c:pt>
                <c:pt idx="31">
                  <c:v>0.300059383033419</c:v>
                </c:pt>
                <c:pt idx="32">
                  <c:v>0.300059383033419</c:v>
                </c:pt>
                <c:pt idx="33">
                  <c:v>0.300059383033419</c:v>
                </c:pt>
                <c:pt idx="34">
                  <c:v>0.300059383033419</c:v>
                </c:pt>
                <c:pt idx="35">
                  <c:v>0.300059383033419</c:v>
                </c:pt>
                <c:pt idx="36">
                  <c:v>0.300059383033419</c:v>
                </c:pt>
                <c:pt idx="37">
                  <c:v>0.300059383033419</c:v>
                </c:pt>
                <c:pt idx="38">
                  <c:v>0.300059383033419</c:v>
                </c:pt>
                <c:pt idx="39">
                  <c:v>0.300059383033419</c:v>
                </c:pt>
                <c:pt idx="40">
                  <c:v>0.300059383033419</c:v>
                </c:pt>
                <c:pt idx="41">
                  <c:v>0.300059383033419</c:v>
                </c:pt>
                <c:pt idx="42">
                  <c:v>0.300059383033419</c:v>
                </c:pt>
                <c:pt idx="43">
                  <c:v>0.300059383033419</c:v>
                </c:pt>
                <c:pt idx="44">
                  <c:v>0.300059383033419</c:v>
                </c:pt>
                <c:pt idx="45">
                  <c:v>0.300059383033419</c:v>
                </c:pt>
                <c:pt idx="46">
                  <c:v>0.300059383033419</c:v>
                </c:pt>
                <c:pt idx="47">
                  <c:v>0.300059383033419</c:v>
                </c:pt>
                <c:pt idx="48">
                  <c:v>0.300059383033419</c:v>
                </c:pt>
                <c:pt idx="49">
                  <c:v>0.300059383033419</c:v>
                </c:pt>
                <c:pt idx="50">
                  <c:v>0.300059383033419</c:v>
                </c:pt>
                <c:pt idx="51">
                  <c:v>0.300059383033419</c:v>
                </c:pt>
                <c:pt idx="52">
                  <c:v>0.300059383033419</c:v>
                </c:pt>
                <c:pt idx="53">
                  <c:v>0.300059383033419</c:v>
                </c:pt>
                <c:pt idx="54">
                  <c:v>0.300059383033419</c:v>
                </c:pt>
                <c:pt idx="55">
                  <c:v>0.300059383033419</c:v>
                </c:pt>
                <c:pt idx="56">
                  <c:v>0.300059383033419</c:v>
                </c:pt>
                <c:pt idx="57">
                  <c:v>0.300059383033419</c:v>
                </c:pt>
                <c:pt idx="58">
                  <c:v>0.300059383033419</c:v>
                </c:pt>
                <c:pt idx="59">
                  <c:v>0.300059383033419</c:v>
                </c:pt>
                <c:pt idx="60">
                  <c:v>0.300059383033419</c:v>
                </c:pt>
                <c:pt idx="61">
                  <c:v>0.300059383033419</c:v>
                </c:pt>
                <c:pt idx="62">
                  <c:v>0.300059383033419</c:v>
                </c:pt>
                <c:pt idx="63">
                  <c:v>0.300059383033419</c:v>
                </c:pt>
                <c:pt idx="64">
                  <c:v>0.300059383033419</c:v>
                </c:pt>
                <c:pt idx="65">
                  <c:v>0.300059383033419</c:v>
                </c:pt>
                <c:pt idx="66">
                  <c:v>0.300059383033419</c:v>
                </c:pt>
                <c:pt idx="67">
                  <c:v>0.300059383033419</c:v>
                </c:pt>
                <c:pt idx="68">
                  <c:v>0.300059383033419</c:v>
                </c:pt>
                <c:pt idx="69">
                  <c:v>0.300059383033419</c:v>
                </c:pt>
                <c:pt idx="70">
                  <c:v>0.300059383033419</c:v>
                </c:pt>
                <c:pt idx="71">
                  <c:v>0.300059383033419</c:v>
                </c:pt>
                <c:pt idx="72">
                  <c:v>0.300059383033419</c:v>
                </c:pt>
                <c:pt idx="73">
                  <c:v>0.300059383033419</c:v>
                </c:pt>
                <c:pt idx="74">
                  <c:v>0.300059383033419</c:v>
                </c:pt>
                <c:pt idx="75">
                  <c:v>0.300059383033419</c:v>
                </c:pt>
                <c:pt idx="76">
                  <c:v>0.300059383033419</c:v>
                </c:pt>
                <c:pt idx="77">
                  <c:v>0.300059383033419</c:v>
                </c:pt>
                <c:pt idx="78">
                  <c:v>0.300059383033419</c:v>
                </c:pt>
                <c:pt idx="79">
                  <c:v>0.300059383033419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'S-Curve'!$AC$6</c:f>
              <c:strCache>
                <c:ptCount val="1"/>
                <c:pt idx="0">
                  <c:v>Status Date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'S-Curve'!$AC$7:$AC$8</c:f>
              <c:numCache>
                <c:formatCode>dd\-mmm\-yy</c:formatCode>
                <c:ptCount val="2"/>
                <c:pt idx="0">
                  <c:v>46293</c:v>
                </c:pt>
                <c:pt idx="1">
                  <c:v>46293</c:v>
                </c:pt>
              </c:numCache>
            </c:numRef>
          </c:xVal>
          <c:yVal>
            <c:numRef>
              <c:f>'S-Curve'!$AD$7:$AD$8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axId val="7665598"/>
        <c:axId val="80176972"/>
      </c:scatterChart>
      <c:valAx>
        <c:axId val="76655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76972"/>
        <c:crosses val="autoZero"/>
        <c:crossBetween val="midCat"/>
        <c:majorUnit val="30"/>
      </c:valAx>
      <c:valAx>
        <c:axId val="8017697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สะสม / Cumulative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5598"/>
        <c:crosses val="autoZero"/>
        <c:crossBetween val="midCat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'S-Curve'!$Q$6</c:f>
              <c:strCache>
                <c:ptCount val="1"/>
                <c:pt idx="0">
                  <c:v>Baseline แผนเดิม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'S-Curve'!$P$7:$P$86</c:f>
              <c:numCache>
                <c:formatCode>dd\-mmm\-yy</c:formatCode>
                <c:ptCount val="80"/>
                <c:pt idx="0">
                  <c:v>46073</c:v>
                </c:pt>
                <c:pt idx="1">
                  <c:v>46081</c:v>
                </c:pt>
                <c:pt idx="2">
                  <c:v>46091</c:v>
                </c:pt>
                <c:pt idx="3">
                  <c:v>46101</c:v>
                </c:pt>
                <c:pt idx="4">
                  <c:v>46112</c:v>
                </c:pt>
                <c:pt idx="5">
                  <c:v>46122</c:v>
                </c:pt>
                <c:pt idx="6">
                  <c:v>46132</c:v>
                </c:pt>
                <c:pt idx="7">
                  <c:v>46142</c:v>
                </c:pt>
                <c:pt idx="8">
                  <c:v>46152</c:v>
                </c:pt>
                <c:pt idx="9">
                  <c:v>46162</c:v>
                </c:pt>
                <c:pt idx="10">
                  <c:v>46173</c:v>
                </c:pt>
                <c:pt idx="11">
                  <c:v>46183</c:v>
                </c:pt>
                <c:pt idx="12">
                  <c:v>46193</c:v>
                </c:pt>
                <c:pt idx="13">
                  <c:v>46203</c:v>
                </c:pt>
                <c:pt idx="14">
                  <c:v>46213</c:v>
                </c:pt>
                <c:pt idx="15">
                  <c:v>46223</c:v>
                </c:pt>
                <c:pt idx="16">
                  <c:v>46234</c:v>
                </c:pt>
                <c:pt idx="17">
                  <c:v>46244</c:v>
                </c:pt>
                <c:pt idx="18">
                  <c:v>46254</c:v>
                </c:pt>
                <c:pt idx="19">
                  <c:v>46265</c:v>
                </c:pt>
                <c:pt idx="20">
                  <c:v>46275</c:v>
                </c:pt>
                <c:pt idx="21">
                  <c:v>46285</c:v>
                </c:pt>
                <c:pt idx="22">
                  <c:v>46295</c:v>
                </c:pt>
                <c:pt idx="23">
                  <c:v>46305</c:v>
                </c:pt>
                <c:pt idx="24">
                  <c:v>46315</c:v>
                </c:pt>
                <c:pt idx="25">
                  <c:v>46326</c:v>
                </c:pt>
                <c:pt idx="26">
                  <c:v>46336</c:v>
                </c:pt>
                <c:pt idx="27">
                  <c:v>46346</c:v>
                </c:pt>
                <c:pt idx="28">
                  <c:v>46346</c:v>
                </c:pt>
                <c:pt idx="29">
                  <c:v>46346</c:v>
                </c:pt>
                <c:pt idx="30">
                  <c:v>46346</c:v>
                </c:pt>
                <c:pt idx="31">
                  <c:v>46346</c:v>
                </c:pt>
                <c:pt idx="32">
                  <c:v>46346</c:v>
                </c:pt>
                <c:pt idx="33">
                  <c:v>46346</c:v>
                </c:pt>
                <c:pt idx="34">
                  <c:v>46346</c:v>
                </c:pt>
                <c:pt idx="35">
                  <c:v>46346</c:v>
                </c:pt>
                <c:pt idx="36">
                  <c:v>46346</c:v>
                </c:pt>
                <c:pt idx="37">
                  <c:v>46346</c:v>
                </c:pt>
                <c:pt idx="38">
                  <c:v>46346</c:v>
                </c:pt>
                <c:pt idx="39">
                  <c:v>46346</c:v>
                </c:pt>
                <c:pt idx="40">
                  <c:v>46346</c:v>
                </c:pt>
                <c:pt idx="41">
                  <c:v>46346</c:v>
                </c:pt>
                <c:pt idx="42">
                  <c:v>46346</c:v>
                </c:pt>
                <c:pt idx="43">
                  <c:v>46346</c:v>
                </c:pt>
                <c:pt idx="44">
                  <c:v>46346</c:v>
                </c:pt>
                <c:pt idx="45">
                  <c:v>46346</c:v>
                </c:pt>
                <c:pt idx="46">
                  <c:v>46346</c:v>
                </c:pt>
                <c:pt idx="47">
                  <c:v>46346</c:v>
                </c:pt>
                <c:pt idx="48">
                  <c:v>46346</c:v>
                </c:pt>
                <c:pt idx="49">
                  <c:v>46346</c:v>
                </c:pt>
                <c:pt idx="50">
                  <c:v>46346</c:v>
                </c:pt>
                <c:pt idx="51">
                  <c:v>46346</c:v>
                </c:pt>
                <c:pt idx="52">
                  <c:v>46346</c:v>
                </c:pt>
                <c:pt idx="53">
                  <c:v>46346</c:v>
                </c:pt>
                <c:pt idx="54">
                  <c:v>46346</c:v>
                </c:pt>
                <c:pt idx="55">
                  <c:v>46346</c:v>
                </c:pt>
                <c:pt idx="56">
                  <c:v>46346</c:v>
                </c:pt>
                <c:pt idx="57">
                  <c:v>46346</c:v>
                </c:pt>
                <c:pt idx="58">
                  <c:v>46346</c:v>
                </c:pt>
                <c:pt idx="59">
                  <c:v>46346</c:v>
                </c:pt>
                <c:pt idx="60">
                  <c:v>46346</c:v>
                </c:pt>
                <c:pt idx="61">
                  <c:v>46346</c:v>
                </c:pt>
                <c:pt idx="62">
                  <c:v>46346</c:v>
                </c:pt>
                <c:pt idx="63">
                  <c:v>46346</c:v>
                </c:pt>
                <c:pt idx="64">
                  <c:v>46346</c:v>
                </c:pt>
                <c:pt idx="65">
                  <c:v>46346</c:v>
                </c:pt>
                <c:pt idx="66">
                  <c:v>46346</c:v>
                </c:pt>
                <c:pt idx="67">
                  <c:v>46346</c:v>
                </c:pt>
                <c:pt idx="68">
                  <c:v>46346</c:v>
                </c:pt>
                <c:pt idx="69">
                  <c:v>46346</c:v>
                </c:pt>
                <c:pt idx="70">
                  <c:v>46346</c:v>
                </c:pt>
                <c:pt idx="71">
                  <c:v>46346</c:v>
                </c:pt>
                <c:pt idx="72">
                  <c:v>46346</c:v>
                </c:pt>
                <c:pt idx="73">
                  <c:v>46346</c:v>
                </c:pt>
                <c:pt idx="74">
                  <c:v>46346</c:v>
                </c:pt>
                <c:pt idx="75">
                  <c:v>46346</c:v>
                </c:pt>
                <c:pt idx="76">
                  <c:v>46346</c:v>
                </c:pt>
                <c:pt idx="77">
                  <c:v>46346</c:v>
                </c:pt>
                <c:pt idx="78">
                  <c:v>46346</c:v>
                </c:pt>
                <c:pt idx="79">
                  <c:v>46346</c:v>
                </c:pt>
              </c:numCache>
            </c:numRef>
          </c:xVal>
          <c:yVal>
            <c:numRef>
              <c:f>'S-Curve'!$Q$7:$Q$86</c:f>
              <c:numCache>
                <c:formatCode>0.00%</c:formatCode>
                <c:ptCount val="80"/>
                <c:pt idx="0">
                  <c:v>0.0050375</c:v>
                </c:pt>
                <c:pt idx="1">
                  <c:v>0.0251875</c:v>
                </c:pt>
                <c:pt idx="2">
                  <c:v>0.0442</c:v>
                </c:pt>
                <c:pt idx="3">
                  <c:v>0.0658561148590209</c:v>
                </c:pt>
                <c:pt idx="4">
                  <c:v>0.0985714582252206</c:v>
                </c:pt>
                <c:pt idx="5">
                  <c:v>0.12831267946722</c:v>
                </c:pt>
                <c:pt idx="6">
                  <c:v>0.167925943719973</c:v>
                </c:pt>
                <c:pt idx="7">
                  <c:v>0.208203225806452</c:v>
                </c:pt>
                <c:pt idx="8">
                  <c:v>0.228267741935484</c:v>
                </c:pt>
                <c:pt idx="9">
                  <c:v>0.262876923076923</c:v>
                </c:pt>
                <c:pt idx="10">
                  <c:v>0.289911538461538</c:v>
                </c:pt>
                <c:pt idx="11">
                  <c:v>0.32776</c:v>
                </c:pt>
                <c:pt idx="12">
                  <c:v>0.365358709677419</c:v>
                </c:pt>
                <c:pt idx="13">
                  <c:v>0.398203225806452</c:v>
                </c:pt>
                <c:pt idx="14">
                  <c:v>0.438919915848527</c:v>
                </c:pt>
                <c:pt idx="15">
                  <c:v>0.523866847826087</c:v>
                </c:pt>
                <c:pt idx="16">
                  <c:v>0.612124025715801</c:v>
                </c:pt>
                <c:pt idx="17">
                  <c:v>0.672994187433722</c:v>
                </c:pt>
                <c:pt idx="18">
                  <c:v>0.716724057649667</c:v>
                </c:pt>
                <c:pt idx="19">
                  <c:v>0.769454545454545</c:v>
                </c:pt>
                <c:pt idx="20">
                  <c:v>0.8198</c:v>
                </c:pt>
                <c:pt idx="21">
                  <c:v>0.8411</c:v>
                </c:pt>
                <c:pt idx="22">
                  <c:v>0.8624</c:v>
                </c:pt>
                <c:pt idx="23">
                  <c:v>0.8837</c:v>
                </c:pt>
                <c:pt idx="24">
                  <c:v>0.897516216216216</c:v>
                </c:pt>
                <c:pt idx="25">
                  <c:v>0.922845945945946</c:v>
                </c:pt>
                <c:pt idx="26">
                  <c:v>0.965310472972973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'S-Curve'!$S$6</c:f>
              <c:strCache>
                <c:ptCount val="1"/>
                <c:pt idx="0">
                  <c:v>Revised แผนเร่งรัด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'S-Curve'!$R$7:$R$86</c:f>
              <c:numCache>
                <c:formatCode>dd\-mmm\-yy</c:formatCode>
                <c:ptCount val="80"/>
                <c:pt idx="0">
                  <c:v>46072</c:v>
                </c:pt>
                <c:pt idx="1">
                  <c:v>46072</c:v>
                </c:pt>
                <c:pt idx="2">
                  <c:v>46072</c:v>
                </c:pt>
                <c:pt idx="3">
                  <c:v>46072</c:v>
                </c:pt>
                <c:pt idx="4">
                  <c:v>46072</c:v>
                </c:pt>
                <c:pt idx="5">
                  <c:v>46072</c:v>
                </c:pt>
                <c:pt idx="6">
                  <c:v>46072</c:v>
                </c:pt>
                <c:pt idx="7">
                  <c:v>46072</c:v>
                </c:pt>
                <c:pt idx="8">
                  <c:v>46072</c:v>
                </c:pt>
                <c:pt idx="9">
                  <c:v>46072</c:v>
                </c:pt>
                <c:pt idx="10">
                  <c:v>46072</c:v>
                </c:pt>
                <c:pt idx="11">
                  <c:v>46072</c:v>
                </c:pt>
                <c:pt idx="12">
                  <c:v>46072</c:v>
                </c:pt>
                <c:pt idx="13">
                  <c:v>46072</c:v>
                </c:pt>
                <c:pt idx="14">
                  <c:v>46072</c:v>
                </c:pt>
                <c:pt idx="15">
                  <c:v>46072</c:v>
                </c:pt>
                <c:pt idx="16">
                  <c:v>46072</c:v>
                </c:pt>
                <c:pt idx="17">
                  <c:v>46072</c:v>
                </c:pt>
                <c:pt idx="18">
                  <c:v>46072</c:v>
                </c:pt>
                <c:pt idx="19">
                  <c:v>46072</c:v>
                </c:pt>
                <c:pt idx="20">
                  <c:v>46072</c:v>
                </c:pt>
                <c:pt idx="21">
                  <c:v>46072</c:v>
                </c:pt>
                <c:pt idx="22">
                  <c:v>46072</c:v>
                </c:pt>
                <c:pt idx="23">
                  <c:v>46072</c:v>
                </c:pt>
                <c:pt idx="24">
                  <c:v>46072</c:v>
                </c:pt>
                <c:pt idx="25">
                  <c:v>46072</c:v>
                </c:pt>
                <c:pt idx="26">
                  <c:v>46072</c:v>
                </c:pt>
                <c:pt idx="27">
                  <c:v>46072</c:v>
                </c:pt>
                <c:pt idx="28">
                  <c:v>46072</c:v>
                </c:pt>
                <c:pt idx="29">
                  <c:v>46072</c:v>
                </c:pt>
                <c:pt idx="30">
                  <c:v>46072</c:v>
                </c:pt>
                <c:pt idx="31">
                  <c:v>46072</c:v>
                </c:pt>
                <c:pt idx="32">
                  <c:v>46072</c:v>
                </c:pt>
                <c:pt idx="33">
                  <c:v>46072</c:v>
                </c:pt>
                <c:pt idx="34">
                  <c:v>46072</c:v>
                </c:pt>
                <c:pt idx="35">
                  <c:v>46072</c:v>
                </c:pt>
                <c:pt idx="36">
                  <c:v>46072</c:v>
                </c:pt>
                <c:pt idx="37">
                  <c:v>46072</c:v>
                </c:pt>
                <c:pt idx="38">
                  <c:v>46072</c:v>
                </c:pt>
                <c:pt idx="39">
                  <c:v>46072</c:v>
                </c:pt>
                <c:pt idx="40">
                  <c:v>46072</c:v>
                </c:pt>
                <c:pt idx="41">
                  <c:v>46072</c:v>
                </c:pt>
                <c:pt idx="42">
                  <c:v>46072</c:v>
                </c:pt>
                <c:pt idx="43">
                  <c:v>46072</c:v>
                </c:pt>
                <c:pt idx="44">
                  <c:v>46072</c:v>
                </c:pt>
                <c:pt idx="45">
                  <c:v>46072</c:v>
                </c:pt>
                <c:pt idx="46">
                  <c:v>46072</c:v>
                </c:pt>
                <c:pt idx="47">
                  <c:v>46072</c:v>
                </c:pt>
                <c:pt idx="48">
                  <c:v>46072</c:v>
                </c:pt>
                <c:pt idx="49">
                  <c:v>46072</c:v>
                </c:pt>
                <c:pt idx="50">
                  <c:v>46072</c:v>
                </c:pt>
                <c:pt idx="51">
                  <c:v>46072</c:v>
                </c:pt>
                <c:pt idx="52">
                  <c:v>46072</c:v>
                </c:pt>
                <c:pt idx="53">
                  <c:v>46072</c:v>
                </c:pt>
                <c:pt idx="54">
                  <c:v>46072</c:v>
                </c:pt>
                <c:pt idx="55">
                  <c:v>46072</c:v>
                </c:pt>
                <c:pt idx="56">
                  <c:v>46072</c:v>
                </c:pt>
                <c:pt idx="57">
                  <c:v>46072</c:v>
                </c:pt>
                <c:pt idx="58">
                  <c:v>46072</c:v>
                </c:pt>
                <c:pt idx="59">
                  <c:v>46072</c:v>
                </c:pt>
                <c:pt idx="60">
                  <c:v>46072</c:v>
                </c:pt>
                <c:pt idx="61">
                  <c:v>46072</c:v>
                </c:pt>
                <c:pt idx="62">
                  <c:v>46072</c:v>
                </c:pt>
                <c:pt idx="63">
                  <c:v>46072</c:v>
                </c:pt>
                <c:pt idx="64">
                  <c:v>46072</c:v>
                </c:pt>
                <c:pt idx="65">
                  <c:v>46072</c:v>
                </c:pt>
                <c:pt idx="66">
                  <c:v>46072</c:v>
                </c:pt>
                <c:pt idx="67">
                  <c:v>46072</c:v>
                </c:pt>
                <c:pt idx="68">
                  <c:v>46072</c:v>
                </c:pt>
                <c:pt idx="69">
                  <c:v>46072</c:v>
                </c:pt>
                <c:pt idx="70">
                  <c:v>46072</c:v>
                </c:pt>
                <c:pt idx="71">
                  <c:v>46072</c:v>
                </c:pt>
                <c:pt idx="72">
                  <c:v>46072</c:v>
                </c:pt>
                <c:pt idx="73">
                  <c:v>46072</c:v>
                </c:pt>
                <c:pt idx="74">
                  <c:v>46072</c:v>
                </c:pt>
                <c:pt idx="75">
                  <c:v>46072</c:v>
                </c:pt>
                <c:pt idx="76">
                  <c:v>46072</c:v>
                </c:pt>
                <c:pt idx="77">
                  <c:v>46072</c:v>
                </c:pt>
                <c:pt idx="78">
                  <c:v>46072</c:v>
                </c:pt>
                <c:pt idx="79">
                  <c:v>46072</c:v>
                </c:pt>
              </c:numCache>
            </c:numRef>
          </c:xVal>
          <c:yVal>
            <c:numRef>
              <c:f>'S-Curve'!$S$7:$S$86</c:f>
              <c:numCache>
                <c:formatCode>0.00%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'S-Curve'!$U$6</c:f>
              <c:strCache>
                <c:ptCount val="1"/>
                <c:pt idx="0">
                  <c:v>Actual ผลงานจริง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'S-Curve'!$T$7:$T$86</c:f>
              <c:numCache>
                <c:formatCode>dd\-mmm\-yy</c:formatCode>
                <c:ptCount val="80"/>
                <c:pt idx="0">
                  <c:v>46073</c:v>
                </c:pt>
                <c:pt idx="1">
                  <c:v>46081</c:v>
                </c:pt>
                <c:pt idx="2">
                  <c:v>46091</c:v>
                </c:pt>
                <c:pt idx="3">
                  <c:v>46101</c:v>
                </c:pt>
                <c:pt idx="4">
                  <c:v>46112</c:v>
                </c:pt>
                <c:pt idx="5">
                  <c:v>46122</c:v>
                </c:pt>
                <c:pt idx="6">
                  <c:v>46132</c:v>
                </c:pt>
                <c:pt idx="7">
                  <c:v>46142</c:v>
                </c:pt>
                <c:pt idx="8">
                  <c:v>46142</c:v>
                </c:pt>
                <c:pt idx="9">
                  <c:v>46142</c:v>
                </c:pt>
                <c:pt idx="10">
                  <c:v>46142</c:v>
                </c:pt>
                <c:pt idx="11">
                  <c:v>46142</c:v>
                </c:pt>
                <c:pt idx="12">
                  <c:v>46142</c:v>
                </c:pt>
                <c:pt idx="13">
                  <c:v>46142</c:v>
                </c:pt>
                <c:pt idx="14">
                  <c:v>46142</c:v>
                </c:pt>
                <c:pt idx="15">
                  <c:v>46142</c:v>
                </c:pt>
                <c:pt idx="16">
                  <c:v>46142</c:v>
                </c:pt>
                <c:pt idx="17">
                  <c:v>46142</c:v>
                </c:pt>
                <c:pt idx="18">
                  <c:v>46142</c:v>
                </c:pt>
                <c:pt idx="19">
                  <c:v>46142</c:v>
                </c:pt>
                <c:pt idx="20">
                  <c:v>46142</c:v>
                </c:pt>
                <c:pt idx="21">
                  <c:v>46142</c:v>
                </c:pt>
                <c:pt idx="22">
                  <c:v>46142</c:v>
                </c:pt>
                <c:pt idx="23">
                  <c:v>46142</c:v>
                </c:pt>
                <c:pt idx="24">
                  <c:v>46142</c:v>
                </c:pt>
                <c:pt idx="25">
                  <c:v>46142</c:v>
                </c:pt>
                <c:pt idx="26">
                  <c:v>46142</c:v>
                </c:pt>
                <c:pt idx="27">
                  <c:v>46142</c:v>
                </c:pt>
                <c:pt idx="28">
                  <c:v>46142</c:v>
                </c:pt>
                <c:pt idx="29">
                  <c:v>46142</c:v>
                </c:pt>
                <c:pt idx="30">
                  <c:v>46142</c:v>
                </c:pt>
                <c:pt idx="31">
                  <c:v>46142</c:v>
                </c:pt>
                <c:pt idx="32">
                  <c:v>46142</c:v>
                </c:pt>
                <c:pt idx="33">
                  <c:v>46142</c:v>
                </c:pt>
                <c:pt idx="34">
                  <c:v>46142</c:v>
                </c:pt>
                <c:pt idx="35">
                  <c:v>46142</c:v>
                </c:pt>
                <c:pt idx="36">
                  <c:v>46142</c:v>
                </c:pt>
                <c:pt idx="37">
                  <c:v>46142</c:v>
                </c:pt>
                <c:pt idx="38">
                  <c:v>46142</c:v>
                </c:pt>
                <c:pt idx="39">
                  <c:v>46142</c:v>
                </c:pt>
                <c:pt idx="40">
                  <c:v>46142</c:v>
                </c:pt>
                <c:pt idx="41">
                  <c:v>46142</c:v>
                </c:pt>
                <c:pt idx="42">
                  <c:v>46142</c:v>
                </c:pt>
                <c:pt idx="43">
                  <c:v>46142</c:v>
                </c:pt>
                <c:pt idx="44">
                  <c:v>46142</c:v>
                </c:pt>
                <c:pt idx="45">
                  <c:v>46142</c:v>
                </c:pt>
                <c:pt idx="46">
                  <c:v>46142</c:v>
                </c:pt>
                <c:pt idx="47">
                  <c:v>46142</c:v>
                </c:pt>
                <c:pt idx="48">
                  <c:v>46142</c:v>
                </c:pt>
                <c:pt idx="49">
                  <c:v>46142</c:v>
                </c:pt>
                <c:pt idx="50">
                  <c:v>46142</c:v>
                </c:pt>
                <c:pt idx="51">
                  <c:v>46142</c:v>
                </c:pt>
                <c:pt idx="52">
                  <c:v>46142</c:v>
                </c:pt>
                <c:pt idx="53">
                  <c:v>46142</c:v>
                </c:pt>
                <c:pt idx="54">
                  <c:v>46142</c:v>
                </c:pt>
                <c:pt idx="55">
                  <c:v>46142</c:v>
                </c:pt>
                <c:pt idx="56">
                  <c:v>46142</c:v>
                </c:pt>
                <c:pt idx="57">
                  <c:v>46142</c:v>
                </c:pt>
                <c:pt idx="58">
                  <c:v>46142</c:v>
                </c:pt>
                <c:pt idx="59">
                  <c:v>46142</c:v>
                </c:pt>
                <c:pt idx="60">
                  <c:v>46142</c:v>
                </c:pt>
                <c:pt idx="61">
                  <c:v>46142</c:v>
                </c:pt>
                <c:pt idx="62">
                  <c:v>46142</c:v>
                </c:pt>
                <c:pt idx="63">
                  <c:v>46142</c:v>
                </c:pt>
                <c:pt idx="64">
                  <c:v>46142</c:v>
                </c:pt>
                <c:pt idx="65">
                  <c:v>46142</c:v>
                </c:pt>
                <c:pt idx="66">
                  <c:v>46142</c:v>
                </c:pt>
                <c:pt idx="67">
                  <c:v>46142</c:v>
                </c:pt>
                <c:pt idx="68">
                  <c:v>46142</c:v>
                </c:pt>
                <c:pt idx="69">
                  <c:v>46142</c:v>
                </c:pt>
                <c:pt idx="70">
                  <c:v>46142</c:v>
                </c:pt>
                <c:pt idx="71">
                  <c:v>46142</c:v>
                </c:pt>
                <c:pt idx="72">
                  <c:v>46142</c:v>
                </c:pt>
                <c:pt idx="73">
                  <c:v>46142</c:v>
                </c:pt>
                <c:pt idx="74">
                  <c:v>46142</c:v>
                </c:pt>
                <c:pt idx="75">
                  <c:v>46142</c:v>
                </c:pt>
                <c:pt idx="76">
                  <c:v>46142</c:v>
                </c:pt>
                <c:pt idx="77">
                  <c:v>46142</c:v>
                </c:pt>
                <c:pt idx="78">
                  <c:v>46142</c:v>
                </c:pt>
                <c:pt idx="79">
                  <c:v>46142</c:v>
                </c:pt>
              </c:numCache>
            </c:numRef>
          </c:xVal>
          <c:yVal>
            <c:numRef>
              <c:f>'S-Curve'!$U$7:$U$86</c:f>
              <c:numCache>
                <c:formatCode>0.00%</c:formatCode>
                <c:ptCount val="80"/>
                <c:pt idx="0">
                  <c:v>0</c:v>
                </c:pt>
                <c:pt idx="1">
                  <c:v>0.0092</c:v>
                </c:pt>
                <c:pt idx="2">
                  <c:v>0.0282</c:v>
                </c:pt>
                <c:pt idx="3">
                  <c:v>0.0312</c:v>
                </c:pt>
                <c:pt idx="4">
                  <c:v>0.044</c:v>
                </c:pt>
                <c:pt idx="5">
                  <c:v>0.0483</c:v>
                </c:pt>
                <c:pt idx="6">
                  <c:v>0.0483</c:v>
                </c:pt>
                <c:pt idx="7">
                  <c:v>0.0513</c:v>
                </c:pt>
                <c:pt idx="8">
                  <c:v>0.0513</c:v>
                </c:pt>
                <c:pt idx="9">
                  <c:v>0.0513</c:v>
                </c:pt>
                <c:pt idx="10">
                  <c:v>0.0513</c:v>
                </c:pt>
                <c:pt idx="11">
                  <c:v>0.0513</c:v>
                </c:pt>
                <c:pt idx="12">
                  <c:v>0.0513</c:v>
                </c:pt>
                <c:pt idx="13">
                  <c:v>0.0513</c:v>
                </c:pt>
                <c:pt idx="14">
                  <c:v>0.0513</c:v>
                </c:pt>
                <c:pt idx="15">
                  <c:v>0.0513</c:v>
                </c:pt>
                <c:pt idx="16">
                  <c:v>0.0513</c:v>
                </c:pt>
                <c:pt idx="17">
                  <c:v>0.0513</c:v>
                </c:pt>
                <c:pt idx="18">
                  <c:v>0.0513</c:v>
                </c:pt>
                <c:pt idx="19">
                  <c:v>0.0513</c:v>
                </c:pt>
                <c:pt idx="20">
                  <c:v>0.0513</c:v>
                </c:pt>
                <c:pt idx="21">
                  <c:v>0.0513</c:v>
                </c:pt>
                <c:pt idx="22">
                  <c:v>0.0513</c:v>
                </c:pt>
                <c:pt idx="23">
                  <c:v>0.0513</c:v>
                </c:pt>
                <c:pt idx="24">
                  <c:v>0.0513</c:v>
                </c:pt>
                <c:pt idx="25">
                  <c:v>0.0513</c:v>
                </c:pt>
                <c:pt idx="26">
                  <c:v>0.0513</c:v>
                </c:pt>
                <c:pt idx="27">
                  <c:v>0.0513</c:v>
                </c:pt>
                <c:pt idx="28">
                  <c:v>0.0513</c:v>
                </c:pt>
                <c:pt idx="29">
                  <c:v>0.0513</c:v>
                </c:pt>
                <c:pt idx="30">
                  <c:v>0.0513</c:v>
                </c:pt>
                <c:pt idx="31">
                  <c:v>0.0513</c:v>
                </c:pt>
                <c:pt idx="32">
                  <c:v>0.0513</c:v>
                </c:pt>
                <c:pt idx="33">
                  <c:v>0.0513</c:v>
                </c:pt>
                <c:pt idx="34">
                  <c:v>0.0513</c:v>
                </c:pt>
                <c:pt idx="35">
                  <c:v>0.0513</c:v>
                </c:pt>
                <c:pt idx="36">
                  <c:v>0.0513</c:v>
                </c:pt>
                <c:pt idx="37">
                  <c:v>0.0513</c:v>
                </c:pt>
                <c:pt idx="38">
                  <c:v>0.0513</c:v>
                </c:pt>
                <c:pt idx="39">
                  <c:v>0.0513</c:v>
                </c:pt>
                <c:pt idx="40">
                  <c:v>0.0513</c:v>
                </c:pt>
                <c:pt idx="41">
                  <c:v>0.0513</c:v>
                </c:pt>
                <c:pt idx="42">
                  <c:v>0.0513</c:v>
                </c:pt>
                <c:pt idx="43">
                  <c:v>0.0513</c:v>
                </c:pt>
                <c:pt idx="44">
                  <c:v>0.0513</c:v>
                </c:pt>
                <c:pt idx="45">
                  <c:v>0.0513</c:v>
                </c:pt>
                <c:pt idx="46">
                  <c:v>0.0513</c:v>
                </c:pt>
                <c:pt idx="47">
                  <c:v>0.0513</c:v>
                </c:pt>
                <c:pt idx="48">
                  <c:v>0.0513</c:v>
                </c:pt>
                <c:pt idx="49">
                  <c:v>0.0513</c:v>
                </c:pt>
                <c:pt idx="50">
                  <c:v>0.0513</c:v>
                </c:pt>
                <c:pt idx="51">
                  <c:v>0.0513</c:v>
                </c:pt>
                <c:pt idx="52">
                  <c:v>0.0513</c:v>
                </c:pt>
                <c:pt idx="53">
                  <c:v>0.0513</c:v>
                </c:pt>
                <c:pt idx="54">
                  <c:v>0.0513</c:v>
                </c:pt>
                <c:pt idx="55">
                  <c:v>0.0513</c:v>
                </c:pt>
                <c:pt idx="56">
                  <c:v>0.0513</c:v>
                </c:pt>
                <c:pt idx="57">
                  <c:v>0.0513</c:v>
                </c:pt>
                <c:pt idx="58">
                  <c:v>0.0513</c:v>
                </c:pt>
                <c:pt idx="59">
                  <c:v>0.0513</c:v>
                </c:pt>
                <c:pt idx="60">
                  <c:v>0.0513</c:v>
                </c:pt>
                <c:pt idx="61">
                  <c:v>0.0513</c:v>
                </c:pt>
                <c:pt idx="62">
                  <c:v>0.0513</c:v>
                </c:pt>
                <c:pt idx="63">
                  <c:v>0.0513</c:v>
                </c:pt>
                <c:pt idx="64">
                  <c:v>0.0513</c:v>
                </c:pt>
                <c:pt idx="65">
                  <c:v>0.0513</c:v>
                </c:pt>
                <c:pt idx="66">
                  <c:v>0.0513</c:v>
                </c:pt>
                <c:pt idx="67">
                  <c:v>0.0513</c:v>
                </c:pt>
                <c:pt idx="68">
                  <c:v>0.0513</c:v>
                </c:pt>
                <c:pt idx="69">
                  <c:v>0.0513</c:v>
                </c:pt>
                <c:pt idx="70">
                  <c:v>0.0513</c:v>
                </c:pt>
                <c:pt idx="71">
                  <c:v>0.0513</c:v>
                </c:pt>
                <c:pt idx="72">
                  <c:v>0.0513</c:v>
                </c:pt>
                <c:pt idx="73">
                  <c:v>0.0513</c:v>
                </c:pt>
                <c:pt idx="74">
                  <c:v>0.0513</c:v>
                </c:pt>
                <c:pt idx="75">
                  <c:v>0.0513</c:v>
                </c:pt>
                <c:pt idx="76">
                  <c:v>0.0513</c:v>
                </c:pt>
                <c:pt idx="77">
                  <c:v>0.0513</c:v>
                </c:pt>
                <c:pt idx="78">
                  <c:v>0.0513</c:v>
                </c:pt>
                <c:pt idx="79">
                  <c:v>0.0513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'S-Curve'!$W$6</c:f>
              <c:strCache>
                <c:ptCount val="1"/>
                <c:pt idx="0">
                  <c:v>Forecast คาดการณ์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'S-Curve'!$V$7:$V$86</c:f>
              <c:numCache>
                <c:formatCode>dd\-mmm\-yy</c:formatCode>
                <c:ptCount val="80"/>
                <c:pt idx="0">
                  <c:v>46142</c:v>
                </c:pt>
                <c:pt idx="1">
                  <c:v>46142</c:v>
                </c:pt>
                <c:pt idx="2">
                  <c:v>46142</c:v>
                </c:pt>
                <c:pt idx="3">
                  <c:v>46142</c:v>
                </c:pt>
                <c:pt idx="4">
                  <c:v>46142</c:v>
                </c:pt>
                <c:pt idx="5">
                  <c:v>46142</c:v>
                </c:pt>
                <c:pt idx="6">
                  <c:v>46142</c:v>
                </c:pt>
                <c:pt idx="7">
                  <c:v>46142</c:v>
                </c:pt>
                <c:pt idx="8">
                  <c:v>46152</c:v>
                </c:pt>
                <c:pt idx="9">
                  <c:v>46162</c:v>
                </c:pt>
                <c:pt idx="10">
                  <c:v>46173</c:v>
                </c:pt>
                <c:pt idx="11">
                  <c:v>46183</c:v>
                </c:pt>
                <c:pt idx="12">
                  <c:v>46193</c:v>
                </c:pt>
                <c:pt idx="13">
                  <c:v>46203</c:v>
                </c:pt>
                <c:pt idx="14">
                  <c:v>46213</c:v>
                </c:pt>
                <c:pt idx="15">
                  <c:v>46223</c:v>
                </c:pt>
                <c:pt idx="16">
                  <c:v>46234</c:v>
                </c:pt>
                <c:pt idx="17">
                  <c:v>46244</c:v>
                </c:pt>
                <c:pt idx="18">
                  <c:v>46254</c:v>
                </c:pt>
                <c:pt idx="19">
                  <c:v>46265</c:v>
                </c:pt>
                <c:pt idx="20">
                  <c:v>46275</c:v>
                </c:pt>
                <c:pt idx="21">
                  <c:v>46285</c:v>
                </c:pt>
                <c:pt idx="22">
                  <c:v>46295</c:v>
                </c:pt>
                <c:pt idx="23">
                  <c:v>46305</c:v>
                </c:pt>
                <c:pt idx="24">
                  <c:v>46315</c:v>
                </c:pt>
                <c:pt idx="25">
                  <c:v>46326</c:v>
                </c:pt>
                <c:pt idx="26">
                  <c:v>46336</c:v>
                </c:pt>
                <c:pt idx="27">
                  <c:v>46346</c:v>
                </c:pt>
                <c:pt idx="28">
                  <c:v>46346</c:v>
                </c:pt>
                <c:pt idx="29">
                  <c:v>46346</c:v>
                </c:pt>
                <c:pt idx="30">
                  <c:v>46346</c:v>
                </c:pt>
                <c:pt idx="31">
                  <c:v>46346</c:v>
                </c:pt>
                <c:pt idx="32">
                  <c:v>46346</c:v>
                </c:pt>
                <c:pt idx="33">
                  <c:v>46346</c:v>
                </c:pt>
                <c:pt idx="34">
                  <c:v>46346</c:v>
                </c:pt>
                <c:pt idx="35">
                  <c:v>46346</c:v>
                </c:pt>
                <c:pt idx="36">
                  <c:v>46346</c:v>
                </c:pt>
                <c:pt idx="37">
                  <c:v>46346</c:v>
                </c:pt>
                <c:pt idx="38">
                  <c:v>46346</c:v>
                </c:pt>
                <c:pt idx="39">
                  <c:v>46346</c:v>
                </c:pt>
                <c:pt idx="40">
                  <c:v>46346</c:v>
                </c:pt>
                <c:pt idx="41">
                  <c:v>46346</c:v>
                </c:pt>
                <c:pt idx="42">
                  <c:v>46346</c:v>
                </c:pt>
                <c:pt idx="43">
                  <c:v>46346</c:v>
                </c:pt>
                <c:pt idx="44">
                  <c:v>46346</c:v>
                </c:pt>
                <c:pt idx="45">
                  <c:v>46346</c:v>
                </c:pt>
                <c:pt idx="46">
                  <c:v>46346</c:v>
                </c:pt>
                <c:pt idx="47">
                  <c:v>46346</c:v>
                </c:pt>
                <c:pt idx="48">
                  <c:v>46346</c:v>
                </c:pt>
                <c:pt idx="49">
                  <c:v>46346</c:v>
                </c:pt>
                <c:pt idx="50">
                  <c:v>46346</c:v>
                </c:pt>
                <c:pt idx="51">
                  <c:v>46346</c:v>
                </c:pt>
                <c:pt idx="52">
                  <c:v>46346</c:v>
                </c:pt>
                <c:pt idx="53">
                  <c:v>46346</c:v>
                </c:pt>
                <c:pt idx="54">
                  <c:v>46346</c:v>
                </c:pt>
                <c:pt idx="55">
                  <c:v>46346</c:v>
                </c:pt>
                <c:pt idx="56">
                  <c:v>46346</c:v>
                </c:pt>
                <c:pt idx="57">
                  <c:v>46346</c:v>
                </c:pt>
                <c:pt idx="58">
                  <c:v>46346</c:v>
                </c:pt>
                <c:pt idx="59">
                  <c:v>46346</c:v>
                </c:pt>
                <c:pt idx="60">
                  <c:v>46346</c:v>
                </c:pt>
                <c:pt idx="61">
                  <c:v>46346</c:v>
                </c:pt>
                <c:pt idx="62">
                  <c:v>46346</c:v>
                </c:pt>
                <c:pt idx="63">
                  <c:v>46346</c:v>
                </c:pt>
                <c:pt idx="64">
                  <c:v>46346</c:v>
                </c:pt>
                <c:pt idx="65">
                  <c:v>46346</c:v>
                </c:pt>
                <c:pt idx="66">
                  <c:v>46346</c:v>
                </c:pt>
                <c:pt idx="67">
                  <c:v>46346</c:v>
                </c:pt>
                <c:pt idx="68">
                  <c:v>46346</c:v>
                </c:pt>
                <c:pt idx="69">
                  <c:v>46346</c:v>
                </c:pt>
                <c:pt idx="70">
                  <c:v>46346</c:v>
                </c:pt>
                <c:pt idx="71">
                  <c:v>46346</c:v>
                </c:pt>
                <c:pt idx="72">
                  <c:v>46346</c:v>
                </c:pt>
                <c:pt idx="73">
                  <c:v>46346</c:v>
                </c:pt>
                <c:pt idx="74">
                  <c:v>46346</c:v>
                </c:pt>
                <c:pt idx="75">
                  <c:v>46346</c:v>
                </c:pt>
                <c:pt idx="76">
                  <c:v>46346</c:v>
                </c:pt>
                <c:pt idx="77">
                  <c:v>46346</c:v>
                </c:pt>
                <c:pt idx="78">
                  <c:v>46346</c:v>
                </c:pt>
                <c:pt idx="79">
                  <c:v>46346</c:v>
                </c:pt>
              </c:numCache>
            </c:numRef>
          </c:xVal>
          <c:yVal>
            <c:numRef>
              <c:f>'S-Curve'!$W$7:$W$86</c:f>
              <c:numCache>
                <c:formatCode>0.00%</c:formatCode>
                <c:ptCount val="80"/>
                <c:pt idx="0">
                  <c:v>0.0513</c:v>
                </c:pt>
                <c:pt idx="1">
                  <c:v>0.0513</c:v>
                </c:pt>
                <c:pt idx="2">
                  <c:v>0.0513</c:v>
                </c:pt>
                <c:pt idx="3">
                  <c:v>0.0513</c:v>
                </c:pt>
                <c:pt idx="4">
                  <c:v>0.0513</c:v>
                </c:pt>
                <c:pt idx="5">
                  <c:v>0.0513</c:v>
                </c:pt>
                <c:pt idx="6">
                  <c:v>0.0513</c:v>
                </c:pt>
                <c:pt idx="7">
                  <c:v>0.0513</c:v>
                </c:pt>
                <c:pt idx="8">
                  <c:v>0.063494087403599</c:v>
                </c:pt>
                <c:pt idx="9">
                  <c:v>0.0756881748071979</c:v>
                </c:pt>
                <c:pt idx="10">
                  <c:v>0.0891016709511568</c:v>
                </c:pt>
                <c:pt idx="11">
                  <c:v>0.101295758354756</c:v>
                </c:pt>
                <c:pt idx="12">
                  <c:v>0.113489845758355</c:v>
                </c:pt>
                <c:pt idx="13">
                  <c:v>0.125683933161954</c:v>
                </c:pt>
                <c:pt idx="14">
                  <c:v>0.137878020565553</c:v>
                </c:pt>
                <c:pt idx="15">
                  <c:v>0.150072107969152</c:v>
                </c:pt>
                <c:pt idx="16">
                  <c:v>0.163485604113111</c:v>
                </c:pt>
                <c:pt idx="17">
                  <c:v>0.17567969151671</c:v>
                </c:pt>
                <c:pt idx="18">
                  <c:v>0.187873778920309</c:v>
                </c:pt>
                <c:pt idx="19">
                  <c:v>0.201287275064267</c:v>
                </c:pt>
                <c:pt idx="20">
                  <c:v>0.213481362467866</c:v>
                </c:pt>
                <c:pt idx="21">
                  <c:v>0.225675449871465</c:v>
                </c:pt>
                <c:pt idx="22">
                  <c:v>0.237869537275064</c:v>
                </c:pt>
                <c:pt idx="23">
                  <c:v>0.250063624678663</c:v>
                </c:pt>
                <c:pt idx="24">
                  <c:v>0.262257712082262</c:v>
                </c:pt>
                <c:pt idx="25">
                  <c:v>0.275671208226221</c:v>
                </c:pt>
                <c:pt idx="26">
                  <c:v>0.28786529562982</c:v>
                </c:pt>
                <c:pt idx="27">
                  <c:v>0.300059383033419</c:v>
                </c:pt>
                <c:pt idx="28">
                  <c:v>0.300059383033419</c:v>
                </c:pt>
                <c:pt idx="29">
                  <c:v>0.300059383033419</c:v>
                </c:pt>
                <c:pt idx="30">
                  <c:v>0.300059383033419</c:v>
                </c:pt>
                <c:pt idx="31">
                  <c:v>0.300059383033419</c:v>
                </c:pt>
                <c:pt idx="32">
                  <c:v>0.300059383033419</c:v>
                </c:pt>
                <c:pt idx="33">
                  <c:v>0.300059383033419</c:v>
                </c:pt>
                <c:pt idx="34">
                  <c:v>0.300059383033419</c:v>
                </c:pt>
                <c:pt idx="35">
                  <c:v>0.300059383033419</c:v>
                </c:pt>
                <c:pt idx="36">
                  <c:v>0.300059383033419</c:v>
                </c:pt>
                <c:pt idx="37">
                  <c:v>0.300059383033419</c:v>
                </c:pt>
                <c:pt idx="38">
                  <c:v>0.300059383033419</c:v>
                </c:pt>
                <c:pt idx="39">
                  <c:v>0.300059383033419</c:v>
                </c:pt>
                <c:pt idx="40">
                  <c:v>0.300059383033419</c:v>
                </c:pt>
                <c:pt idx="41">
                  <c:v>0.300059383033419</c:v>
                </c:pt>
                <c:pt idx="42">
                  <c:v>0.300059383033419</c:v>
                </c:pt>
                <c:pt idx="43">
                  <c:v>0.300059383033419</c:v>
                </c:pt>
                <c:pt idx="44">
                  <c:v>0.300059383033419</c:v>
                </c:pt>
                <c:pt idx="45">
                  <c:v>0.300059383033419</c:v>
                </c:pt>
                <c:pt idx="46">
                  <c:v>0.300059383033419</c:v>
                </c:pt>
                <c:pt idx="47">
                  <c:v>0.300059383033419</c:v>
                </c:pt>
                <c:pt idx="48">
                  <c:v>0.300059383033419</c:v>
                </c:pt>
                <c:pt idx="49">
                  <c:v>0.300059383033419</c:v>
                </c:pt>
                <c:pt idx="50">
                  <c:v>0.300059383033419</c:v>
                </c:pt>
                <c:pt idx="51">
                  <c:v>0.300059383033419</c:v>
                </c:pt>
                <c:pt idx="52">
                  <c:v>0.300059383033419</c:v>
                </c:pt>
                <c:pt idx="53">
                  <c:v>0.300059383033419</c:v>
                </c:pt>
                <c:pt idx="54">
                  <c:v>0.300059383033419</c:v>
                </c:pt>
                <c:pt idx="55">
                  <c:v>0.300059383033419</c:v>
                </c:pt>
                <c:pt idx="56">
                  <c:v>0.300059383033419</c:v>
                </c:pt>
                <c:pt idx="57">
                  <c:v>0.300059383033419</c:v>
                </c:pt>
                <c:pt idx="58">
                  <c:v>0.300059383033419</c:v>
                </c:pt>
                <c:pt idx="59">
                  <c:v>0.300059383033419</c:v>
                </c:pt>
                <c:pt idx="60">
                  <c:v>0.300059383033419</c:v>
                </c:pt>
                <c:pt idx="61">
                  <c:v>0.300059383033419</c:v>
                </c:pt>
                <c:pt idx="62">
                  <c:v>0.300059383033419</c:v>
                </c:pt>
                <c:pt idx="63">
                  <c:v>0.300059383033419</c:v>
                </c:pt>
                <c:pt idx="64">
                  <c:v>0.300059383033419</c:v>
                </c:pt>
                <c:pt idx="65">
                  <c:v>0.300059383033419</c:v>
                </c:pt>
                <c:pt idx="66">
                  <c:v>0.300059383033419</c:v>
                </c:pt>
                <c:pt idx="67">
                  <c:v>0.300059383033419</c:v>
                </c:pt>
                <c:pt idx="68">
                  <c:v>0.300059383033419</c:v>
                </c:pt>
                <c:pt idx="69">
                  <c:v>0.300059383033419</c:v>
                </c:pt>
                <c:pt idx="70">
                  <c:v>0.300059383033419</c:v>
                </c:pt>
                <c:pt idx="71">
                  <c:v>0.300059383033419</c:v>
                </c:pt>
                <c:pt idx="72">
                  <c:v>0.300059383033419</c:v>
                </c:pt>
                <c:pt idx="73">
                  <c:v>0.300059383033419</c:v>
                </c:pt>
                <c:pt idx="74">
                  <c:v>0.300059383033419</c:v>
                </c:pt>
                <c:pt idx="75">
                  <c:v>0.300059383033419</c:v>
                </c:pt>
                <c:pt idx="76">
                  <c:v>0.300059383033419</c:v>
                </c:pt>
                <c:pt idx="77">
                  <c:v>0.300059383033419</c:v>
                </c:pt>
                <c:pt idx="78">
                  <c:v>0.300059383033419</c:v>
                </c:pt>
                <c:pt idx="79">
                  <c:v>0.300059383033419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'S-Curve'!$AC$6</c:f>
              <c:strCache>
                <c:ptCount val="1"/>
                <c:pt idx="0">
                  <c:v>Status Date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'S-Curve'!$AC$7:$AC$8</c:f>
              <c:numCache>
                <c:formatCode>dd\-mmm\-yy</c:formatCode>
                <c:ptCount val="2"/>
                <c:pt idx="0">
                  <c:v>46293</c:v>
                </c:pt>
                <c:pt idx="1">
                  <c:v>46293</c:v>
                </c:pt>
              </c:numCache>
            </c:numRef>
          </c:xVal>
          <c:yVal>
            <c:numRef>
              <c:f>'S-Curve'!$AD$7:$AD$8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axId val="21628965"/>
        <c:axId val="90894843"/>
      </c:scatterChart>
      <c:valAx>
        <c:axId val="216289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94843"/>
        <c:crosses val="autoZero"/>
        <c:crossBetween val="midCat"/>
        <c:majorUnit val="30"/>
      </c:valAx>
      <c:valAx>
        <c:axId val="9089484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สะสม / Cumulative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28965"/>
        <c:crosses val="autoZero"/>
        <c:crossBetween val="midCat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125640</xdr:rowOff>
    </xdr:from>
    <xdr:to>
      <xdr:col>17</xdr:col>
      <xdr:colOff>581040</xdr:colOff>
      <xdr:row>22</xdr:row>
      <xdr:rowOff>84240</xdr:rowOff>
    </xdr:to>
    <xdr:graphicFrame>
      <xdr:nvGraphicFramePr>
        <xdr:cNvPr id="0" name="Chart 1"/>
        <xdr:cNvGraphicFramePr/>
      </xdr:nvGraphicFramePr>
      <xdr:xfrm>
        <a:off x="8740080" y="380880"/>
        <a:ext cx="79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125640</xdr:rowOff>
    </xdr:from>
    <xdr:to>
      <xdr:col>17</xdr:col>
      <xdr:colOff>581040</xdr:colOff>
      <xdr:row>41</xdr:row>
      <xdr:rowOff>14040</xdr:rowOff>
    </xdr:to>
    <xdr:graphicFrame>
      <xdr:nvGraphicFramePr>
        <xdr:cNvPr id="1" name="Chart 2"/>
        <xdr:cNvGraphicFramePr/>
      </xdr:nvGraphicFramePr>
      <xdr:xfrm>
        <a:off x="8740080" y="4762440"/>
        <a:ext cx="79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0</xdr:rowOff>
    </xdr:from>
    <xdr:to>
      <xdr:col>12</xdr:col>
      <xdr:colOff>441360</xdr:colOff>
      <xdr:row>20</xdr:row>
      <xdr:rowOff>68400</xdr:rowOff>
    </xdr:to>
    <xdr:graphicFrame>
      <xdr:nvGraphicFramePr>
        <xdr:cNvPr id="2" name="Chart 1"/>
        <xdr:cNvGraphicFramePr/>
      </xdr:nvGraphicFramePr>
      <xdr:xfrm>
        <a:off x="4793040" y="1390680"/>
        <a:ext cx="5939280" cy="273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8</xdr:row>
      <xdr:rowOff>0</xdr:rowOff>
    </xdr:from>
    <xdr:to>
      <xdr:col>10</xdr:col>
      <xdr:colOff>109800</xdr:colOff>
      <xdr:row>16</xdr:row>
      <xdr:rowOff>186480</xdr:rowOff>
    </xdr:to>
    <xdr:graphicFrame>
      <xdr:nvGraphicFramePr>
        <xdr:cNvPr id="3" name="Chart 1"/>
        <xdr:cNvGraphicFramePr/>
      </xdr:nvGraphicFramePr>
      <xdr:xfrm>
        <a:off x="4088160" y="3048120"/>
        <a:ext cx="5255280" cy="201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D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62"/>
    <col collapsed="false" customWidth="true" hidden="false" outlineLevel="0" max="4" min="4" style="1" width="52"/>
  </cols>
  <sheetData>
    <row r="1" customFormat="false" ht="20.1" hidden="false" customHeight="false" outlineLevel="0" collapsed="false">
      <c r="B1" s="2" t="s">
        <v>0</v>
      </c>
    </row>
    <row r="3" customFormat="false" ht="21.75" hidden="false" customHeight="true" outlineLevel="0" collapsed="false">
      <c r="B3" s="3" t="s">
        <v>1</v>
      </c>
      <c r="C3" s="3"/>
      <c r="D3" s="3"/>
    </row>
    <row r="4" customFormat="false" ht="25.5" hidden="false" customHeight="true" outlineLevel="0" collapsed="false">
      <c r="B4" s="4" t="s">
        <v>2</v>
      </c>
      <c r="C4" s="4"/>
      <c r="D4" s="4"/>
    </row>
    <row r="5" customFormat="false" ht="15" hidden="false" customHeight="false" outlineLevel="0" collapsed="false">
      <c r="B5" s="5" t="s">
        <v>3</v>
      </c>
      <c r="C5" s="5" t="s">
        <v>4</v>
      </c>
      <c r="D5" s="5" t="s">
        <v>5</v>
      </c>
    </row>
    <row r="6" customFormat="false" ht="25.5" hidden="false" customHeight="true" outlineLevel="0" collapsed="false">
      <c r="B6" s="6" t="s">
        <v>6</v>
      </c>
      <c r="C6" s="7" t="s">
        <v>7</v>
      </c>
      <c r="D6" s="7" t="s">
        <v>8</v>
      </c>
    </row>
    <row r="7" customFormat="false" ht="25.5" hidden="false" customHeight="true" outlineLevel="0" collapsed="false">
      <c r="B7" s="8" t="s">
        <v>9</v>
      </c>
      <c r="C7" s="7" t="s">
        <v>10</v>
      </c>
      <c r="D7" s="7" t="s">
        <v>11</v>
      </c>
    </row>
    <row r="8" customFormat="false" ht="25.5" hidden="false" customHeight="true" outlineLevel="0" collapsed="false">
      <c r="B8" s="6" t="s">
        <v>12</v>
      </c>
      <c r="C8" s="7" t="s">
        <v>13</v>
      </c>
      <c r="D8" s="7" t="s">
        <v>14</v>
      </c>
    </row>
    <row r="9" customFormat="false" ht="39" hidden="false" customHeight="true" outlineLevel="0" collapsed="false">
      <c r="B9" s="6" t="s">
        <v>15</v>
      </c>
      <c r="C9" s="7" t="s">
        <v>16</v>
      </c>
      <c r="D9" s="7" t="s">
        <v>17</v>
      </c>
    </row>
    <row r="10" customFormat="false" ht="25.5" hidden="false" customHeight="true" outlineLevel="0" collapsed="false">
      <c r="B10" s="8" t="s">
        <v>18</v>
      </c>
      <c r="C10" s="7" t="s">
        <v>19</v>
      </c>
      <c r="D10" s="7" t="s">
        <v>20</v>
      </c>
    </row>
    <row r="11" customFormat="false" ht="25.5" hidden="false" customHeight="true" outlineLevel="0" collapsed="false">
      <c r="B11" s="6" t="s">
        <v>21</v>
      </c>
      <c r="C11" s="7" t="s">
        <v>22</v>
      </c>
      <c r="D11" s="7" t="s">
        <v>23</v>
      </c>
    </row>
    <row r="13" customFormat="false" ht="21.75" hidden="false" customHeight="true" outlineLevel="0" collapsed="false">
      <c r="B13" s="3" t="s">
        <v>24</v>
      </c>
      <c r="C13" s="3"/>
      <c r="D13" s="3"/>
    </row>
    <row r="14" customFormat="false" ht="15" hidden="false" customHeight="true" outlineLevel="0" collapsed="false">
      <c r="B14" s="9" t="s">
        <v>25</v>
      </c>
      <c r="C14" s="7" t="s">
        <v>26</v>
      </c>
      <c r="D14" s="7"/>
    </row>
    <row r="15" customFormat="false" ht="25.5" hidden="false" customHeight="true" outlineLevel="0" collapsed="false">
      <c r="B15" s="7" t="s">
        <v>27</v>
      </c>
      <c r="C15" s="7" t="s">
        <v>28</v>
      </c>
      <c r="D15" s="7" t="s">
        <v>29</v>
      </c>
    </row>
    <row r="16" customFormat="false" ht="15" hidden="false" customHeight="true" outlineLevel="0" collapsed="false">
      <c r="B16" s="10" t="s">
        <v>30</v>
      </c>
      <c r="C16" s="7" t="s">
        <v>31</v>
      </c>
      <c r="D16" s="7"/>
    </row>
    <row r="17" customFormat="false" ht="15" hidden="false" customHeight="true" outlineLevel="0" collapsed="false">
      <c r="B17" s="11" t="s">
        <v>32</v>
      </c>
      <c r="C17" s="7" t="s">
        <v>33</v>
      </c>
      <c r="D17" s="7"/>
    </row>
    <row r="18" customFormat="false" ht="15" hidden="false" customHeight="true" outlineLevel="0" collapsed="false">
      <c r="B18" s="12" t="s">
        <v>34</v>
      </c>
      <c r="C18" s="7" t="s">
        <v>35</v>
      </c>
      <c r="D18" s="7"/>
    </row>
    <row r="19" customFormat="false" ht="15" hidden="false" customHeight="true" outlineLevel="0" collapsed="false">
      <c r="B19" s="13" t="s">
        <v>36</v>
      </c>
      <c r="C19" s="7" t="s">
        <v>37</v>
      </c>
      <c r="D19" s="7"/>
    </row>
    <row r="20" customFormat="false" ht="15" hidden="false" customHeight="true" outlineLevel="0" collapsed="false">
      <c r="B20" s="14" t="s">
        <v>38</v>
      </c>
      <c r="C20" s="7" t="s">
        <v>39</v>
      </c>
      <c r="D20" s="7"/>
    </row>
    <row r="21" customFormat="false" ht="25.5" hidden="false" customHeight="true" outlineLevel="0" collapsed="false">
      <c r="B21" s="7" t="s">
        <v>40</v>
      </c>
      <c r="C21" s="7" t="s">
        <v>41</v>
      </c>
      <c r="D21" s="7"/>
    </row>
    <row r="23" customFormat="false" ht="21.75" hidden="false" customHeight="true" outlineLevel="0" collapsed="false">
      <c r="B23" s="3" t="s">
        <v>42</v>
      </c>
      <c r="C23" s="3"/>
      <c r="D23" s="3"/>
    </row>
    <row r="24" customFormat="false" ht="15" hidden="false" customHeight="true" outlineLevel="0" collapsed="false">
      <c r="B24" s="15" t="s">
        <v>43</v>
      </c>
      <c r="C24" s="15"/>
      <c r="D24" s="15"/>
    </row>
    <row r="25" customFormat="false" ht="15" hidden="false" customHeight="true" outlineLevel="0" collapsed="false">
      <c r="B25" s="15" t="s">
        <v>44</v>
      </c>
      <c r="C25" s="15"/>
      <c r="D25" s="15"/>
    </row>
    <row r="26" customFormat="false" ht="25.5" hidden="false" customHeight="true" outlineLevel="0" collapsed="false">
      <c r="B26" s="15" t="s">
        <v>45</v>
      </c>
      <c r="C26" s="15"/>
      <c r="D26" s="15"/>
    </row>
    <row r="27" customFormat="false" ht="15" hidden="false" customHeight="true" outlineLevel="0" collapsed="false">
      <c r="B27" s="15" t="s">
        <v>46</v>
      </c>
      <c r="C27" s="15"/>
      <c r="D27" s="15"/>
    </row>
    <row r="28" customFormat="false" ht="15" hidden="false" customHeight="true" outlineLevel="0" collapsed="false">
      <c r="B28" s="15" t="s">
        <v>47</v>
      </c>
      <c r="C28" s="15"/>
      <c r="D28" s="15"/>
    </row>
    <row r="30" customFormat="false" ht="21.75" hidden="false" customHeight="true" outlineLevel="0" collapsed="false">
      <c r="B30" s="3" t="s">
        <v>48</v>
      </c>
      <c r="C30" s="3"/>
      <c r="D30" s="3"/>
    </row>
    <row r="31" customFormat="false" ht="15" hidden="false" customHeight="true" outlineLevel="0" collapsed="false">
      <c r="B31" s="15" t="s">
        <v>49</v>
      </c>
      <c r="C31" s="15"/>
      <c r="D31" s="15"/>
    </row>
    <row r="32" customFormat="false" ht="15" hidden="false" customHeight="true" outlineLevel="0" collapsed="false">
      <c r="B32" s="15" t="s">
        <v>50</v>
      </c>
      <c r="C32" s="15"/>
      <c r="D32" s="15"/>
    </row>
    <row r="33" customFormat="false" ht="15" hidden="false" customHeight="true" outlineLevel="0" collapsed="false">
      <c r="B33" s="15" t="s">
        <v>51</v>
      </c>
      <c r="C33" s="15"/>
      <c r="D33" s="15"/>
    </row>
    <row r="34" customFormat="false" ht="15" hidden="false" customHeight="true" outlineLevel="0" collapsed="false">
      <c r="B34" s="15" t="s">
        <v>52</v>
      </c>
      <c r="C34" s="15"/>
      <c r="D34" s="15"/>
    </row>
    <row r="35" customFormat="false" ht="15" hidden="false" customHeight="true" outlineLevel="0" collapsed="false">
      <c r="B35" s="15" t="s">
        <v>53</v>
      </c>
      <c r="C35" s="15"/>
      <c r="D35" s="15"/>
    </row>
    <row r="36" customFormat="false" ht="15" hidden="false" customHeight="true" outlineLevel="0" collapsed="false">
      <c r="B36" s="15" t="s">
        <v>54</v>
      </c>
      <c r="C36" s="15"/>
      <c r="D36" s="15"/>
    </row>
    <row r="38" customFormat="false" ht="21.75" hidden="false" customHeight="true" outlineLevel="0" collapsed="false">
      <c r="B38" s="3" t="s">
        <v>55</v>
      </c>
      <c r="C38" s="3"/>
      <c r="D38" s="3"/>
    </row>
    <row r="39" customFormat="false" ht="15" hidden="false" customHeight="false" outlineLevel="0" collapsed="false">
      <c r="B39" s="5" t="s">
        <v>56</v>
      </c>
      <c r="C39" s="5" t="s">
        <v>57</v>
      </c>
      <c r="D39" s="5" t="s">
        <v>58</v>
      </c>
    </row>
    <row r="40" customFormat="false" ht="25.5" hidden="false" customHeight="true" outlineLevel="0" collapsed="false">
      <c r="B40" s="8" t="s">
        <v>59</v>
      </c>
      <c r="C40" s="7" t="s">
        <v>60</v>
      </c>
      <c r="D40" s="7" t="s">
        <v>61</v>
      </c>
    </row>
    <row r="41" customFormat="false" ht="25.5" hidden="false" customHeight="true" outlineLevel="0" collapsed="false">
      <c r="B41" s="6" t="s">
        <v>62</v>
      </c>
      <c r="C41" s="7" t="s">
        <v>63</v>
      </c>
      <c r="D41" s="7" t="s">
        <v>64</v>
      </c>
    </row>
    <row r="42" customFormat="false" ht="15" hidden="false" customHeight="true" outlineLevel="0" collapsed="false">
      <c r="B42" s="6" t="s">
        <v>65</v>
      </c>
      <c r="C42" s="7" t="s">
        <v>66</v>
      </c>
      <c r="D42" s="7" t="s">
        <v>67</v>
      </c>
    </row>
    <row r="43" customFormat="false" ht="25.5" hidden="false" customHeight="true" outlineLevel="0" collapsed="false">
      <c r="B43" s="8" t="s">
        <v>68</v>
      </c>
      <c r="C43" s="7" t="s">
        <v>69</v>
      </c>
      <c r="D43" s="7" t="s">
        <v>70</v>
      </c>
    </row>
    <row r="44" customFormat="false" ht="25.5" hidden="false" customHeight="true" outlineLevel="0" collapsed="false">
      <c r="B44" s="8" t="s">
        <v>71</v>
      </c>
      <c r="C44" s="7" t="s">
        <v>72</v>
      </c>
      <c r="D44" s="7" t="s">
        <v>73</v>
      </c>
    </row>
    <row r="45" customFormat="false" ht="15" hidden="false" customHeight="true" outlineLevel="0" collapsed="false">
      <c r="B45" s="8" t="s">
        <v>74</v>
      </c>
      <c r="C45" s="7" t="s">
        <v>75</v>
      </c>
      <c r="D45" s="7" t="s">
        <v>76</v>
      </c>
    </row>
    <row r="46" customFormat="false" ht="15" hidden="false" customHeight="true" outlineLevel="0" collapsed="false">
      <c r="B46" s="8" t="s">
        <v>77</v>
      </c>
      <c r="C46" s="7" t="s">
        <v>78</v>
      </c>
      <c r="D46" s="7" t="s">
        <v>79</v>
      </c>
    </row>
    <row r="47" customFormat="false" ht="25.5" hidden="false" customHeight="true" outlineLevel="0" collapsed="false">
      <c r="B47" s="8" t="s">
        <v>80</v>
      </c>
      <c r="C47" s="7" t="s">
        <v>81</v>
      </c>
      <c r="D47" s="7" t="s">
        <v>82</v>
      </c>
    </row>
    <row r="48" customFormat="false" ht="39" hidden="false" customHeight="true" outlineLevel="0" collapsed="false">
      <c r="B48" s="6" t="s">
        <v>83</v>
      </c>
      <c r="C48" s="7" t="s">
        <v>84</v>
      </c>
      <c r="D48" s="7" t="s">
        <v>85</v>
      </c>
    </row>
    <row r="49" customFormat="false" ht="15" hidden="false" customHeight="true" outlineLevel="0" collapsed="false">
      <c r="B49" s="6" t="s">
        <v>86</v>
      </c>
      <c r="C49" s="7" t="s">
        <v>87</v>
      </c>
      <c r="D49" s="16" t="s">
        <v>88</v>
      </c>
    </row>
    <row r="50" customFormat="false" ht="25.5" hidden="false" customHeight="true" outlineLevel="0" collapsed="false">
      <c r="B50" s="6" t="s">
        <v>89</v>
      </c>
      <c r="C50" s="16" t="s">
        <v>90</v>
      </c>
      <c r="D50" s="7" t="s">
        <v>91</v>
      </c>
    </row>
    <row r="52" customFormat="false" ht="21.75" hidden="false" customHeight="true" outlineLevel="0" collapsed="false">
      <c r="B52" s="3" t="s">
        <v>92</v>
      </c>
      <c r="C52" s="3"/>
      <c r="D52" s="3"/>
    </row>
    <row r="53" customFormat="false" ht="15" hidden="false" customHeight="false" outlineLevel="0" collapsed="false">
      <c r="B53" s="5" t="s">
        <v>93</v>
      </c>
      <c r="C53" s="5" t="s">
        <v>57</v>
      </c>
      <c r="D53" s="5" t="s">
        <v>94</v>
      </c>
    </row>
    <row r="54" customFormat="false" ht="25.5" hidden="false" customHeight="true" outlineLevel="0" collapsed="false">
      <c r="B54" s="8" t="s">
        <v>18</v>
      </c>
      <c r="C54" s="7" t="s">
        <v>95</v>
      </c>
      <c r="D54" s="7" t="s">
        <v>96</v>
      </c>
    </row>
    <row r="55" customFormat="false" ht="25.5" hidden="false" customHeight="true" outlineLevel="0" collapsed="false">
      <c r="B55" s="8" t="s">
        <v>97</v>
      </c>
      <c r="C55" s="7" t="s">
        <v>98</v>
      </c>
      <c r="D55" s="16" t="s">
        <v>99</v>
      </c>
    </row>
    <row r="56" customFormat="false" ht="25.5" hidden="false" customHeight="true" outlineLevel="0" collapsed="false">
      <c r="B56" s="8" t="s">
        <v>100</v>
      </c>
      <c r="C56" s="7" t="s">
        <v>101</v>
      </c>
      <c r="D56" s="7" t="s">
        <v>102</v>
      </c>
    </row>
    <row r="57" customFormat="false" ht="15" hidden="false" customHeight="true" outlineLevel="0" collapsed="false">
      <c r="B57" s="8" t="s">
        <v>103</v>
      </c>
      <c r="C57" s="7" t="s">
        <v>104</v>
      </c>
      <c r="D57" s="7" t="s">
        <v>105</v>
      </c>
    </row>
    <row r="58" customFormat="false" ht="15" hidden="false" customHeight="true" outlineLevel="0" collapsed="false">
      <c r="B58" s="8" t="s">
        <v>106</v>
      </c>
      <c r="C58" s="7" t="s">
        <v>107</v>
      </c>
      <c r="D58" s="16" t="s">
        <v>108</v>
      </c>
    </row>
    <row r="59" customFormat="false" ht="15" hidden="false" customHeight="true" outlineLevel="0" collapsed="false">
      <c r="B59" s="8" t="s">
        <v>109</v>
      </c>
      <c r="C59" s="7" t="s">
        <v>110</v>
      </c>
      <c r="D59" s="16" t="s">
        <v>111</v>
      </c>
    </row>
    <row r="60" customFormat="false" ht="25.5" hidden="false" customHeight="true" outlineLevel="0" collapsed="false">
      <c r="B60" s="8" t="s">
        <v>112</v>
      </c>
      <c r="C60" s="7" t="s">
        <v>113</v>
      </c>
      <c r="D60" s="7" t="s">
        <v>114</v>
      </c>
    </row>
    <row r="61" customFormat="false" ht="15" hidden="false" customHeight="true" outlineLevel="0" collapsed="false">
      <c r="B61" s="8" t="s">
        <v>115</v>
      </c>
      <c r="C61" s="7" t="s">
        <v>116</v>
      </c>
      <c r="D61" s="16" t="s">
        <v>117</v>
      </c>
    </row>
    <row r="62" customFormat="false" ht="25.5" hidden="false" customHeight="true" outlineLevel="0" collapsed="false">
      <c r="B62" s="8" t="s">
        <v>118</v>
      </c>
      <c r="C62" s="7" t="s">
        <v>119</v>
      </c>
      <c r="D62" s="16" t="s">
        <v>120</v>
      </c>
    </row>
    <row r="63" customFormat="false" ht="25.5" hidden="false" customHeight="true" outlineLevel="0" collapsed="false">
      <c r="B63" s="8" t="s">
        <v>121</v>
      </c>
      <c r="C63" s="7" t="s">
        <v>122</v>
      </c>
      <c r="D63" s="16" t="s">
        <v>123</v>
      </c>
    </row>
    <row r="64" customFormat="false" ht="25.5" hidden="false" customHeight="true" outlineLevel="0" collapsed="false">
      <c r="B64" s="8" t="s">
        <v>124</v>
      </c>
      <c r="C64" s="7" t="s">
        <v>125</v>
      </c>
      <c r="D64" s="16" t="s">
        <v>126</v>
      </c>
    </row>
    <row r="65" customFormat="false" ht="25.5" hidden="false" customHeight="true" outlineLevel="0" collapsed="false">
      <c r="B65" s="8" t="s">
        <v>127</v>
      </c>
      <c r="C65" s="7" t="s">
        <v>128</v>
      </c>
      <c r="D65" s="16" t="s">
        <v>129</v>
      </c>
    </row>
    <row r="66" customFormat="false" ht="15" hidden="false" customHeight="true" outlineLevel="0" collapsed="false">
      <c r="B66" s="8" t="s">
        <v>130</v>
      </c>
      <c r="C66" s="7" t="s">
        <v>131</v>
      </c>
      <c r="D66" s="16" t="s">
        <v>132</v>
      </c>
    </row>
    <row r="67" customFormat="false" ht="25.5" hidden="false" customHeight="true" outlineLevel="0" collapsed="false">
      <c r="B67" s="8" t="s">
        <v>133</v>
      </c>
      <c r="C67" s="7" t="s">
        <v>134</v>
      </c>
      <c r="D67" s="16" t="s">
        <v>135</v>
      </c>
    </row>
    <row r="68" customFormat="false" ht="25.5" hidden="false" customHeight="true" outlineLevel="0" collapsed="false">
      <c r="B68" s="8" t="s">
        <v>136</v>
      </c>
      <c r="C68" s="7" t="s">
        <v>137</v>
      </c>
      <c r="D68" s="16" t="s">
        <v>138</v>
      </c>
    </row>
    <row r="69" customFormat="false" ht="25.5" hidden="false" customHeight="true" outlineLevel="0" collapsed="false">
      <c r="B69" s="8" t="s">
        <v>139</v>
      </c>
      <c r="C69" s="7" t="s">
        <v>140</v>
      </c>
      <c r="D69" s="7" t="s">
        <v>141</v>
      </c>
    </row>
    <row r="70" customFormat="false" ht="15" hidden="false" customHeight="true" outlineLevel="0" collapsed="false">
      <c r="B70" s="8" t="s">
        <v>142</v>
      </c>
      <c r="C70" s="7" t="s">
        <v>143</v>
      </c>
      <c r="D70" s="16" t="s">
        <v>144</v>
      </c>
    </row>
    <row r="71" customFormat="false" ht="25.5" hidden="false" customHeight="true" outlineLevel="0" collapsed="false">
      <c r="B71" s="8" t="s">
        <v>145</v>
      </c>
      <c r="C71" s="7" t="s">
        <v>146</v>
      </c>
      <c r="D71" s="16" t="s">
        <v>147</v>
      </c>
    </row>
    <row r="72" customFormat="false" ht="15" hidden="false" customHeight="true" outlineLevel="0" collapsed="false">
      <c r="B72" s="8" t="s">
        <v>148</v>
      </c>
      <c r="C72" s="7" t="s">
        <v>149</v>
      </c>
      <c r="D72" s="16" t="s">
        <v>150</v>
      </c>
    </row>
    <row r="73" customFormat="false" ht="39" hidden="false" customHeight="true" outlineLevel="0" collapsed="false">
      <c r="B73" s="8" t="s">
        <v>151</v>
      </c>
      <c r="C73" s="7" t="s">
        <v>152</v>
      </c>
      <c r="D73" s="7" t="s">
        <v>153</v>
      </c>
    </row>
    <row r="74" customFormat="false" ht="25.5" hidden="false" customHeight="true" outlineLevel="0" collapsed="false">
      <c r="B74" s="6" t="s">
        <v>154</v>
      </c>
      <c r="C74" s="7" t="s">
        <v>155</v>
      </c>
      <c r="D74" s="7" t="s">
        <v>156</v>
      </c>
    </row>
    <row r="75" customFormat="false" ht="25.5" hidden="false" customHeight="true" outlineLevel="0" collapsed="false">
      <c r="B75" s="8" t="s">
        <v>157</v>
      </c>
      <c r="C75" s="7" t="s">
        <v>158</v>
      </c>
      <c r="D75" s="16" t="s">
        <v>159</v>
      </c>
    </row>
    <row r="76" customFormat="false" ht="25.5" hidden="false" customHeight="true" outlineLevel="0" collapsed="false">
      <c r="B76" s="8" t="s">
        <v>160</v>
      </c>
      <c r="C76" s="7" t="s">
        <v>161</v>
      </c>
      <c r="D76" s="7" t="s">
        <v>162</v>
      </c>
    </row>
    <row r="77" customFormat="false" ht="25.5" hidden="false" customHeight="true" outlineLevel="0" collapsed="false">
      <c r="B77" s="8" t="s">
        <v>163</v>
      </c>
      <c r="C77" s="7" t="s">
        <v>164</v>
      </c>
      <c r="D77" s="16" t="s">
        <v>165</v>
      </c>
    </row>
    <row r="78" customFormat="false" ht="15" hidden="false" customHeight="true" outlineLevel="0" collapsed="false">
      <c r="B78" s="8" t="s">
        <v>166</v>
      </c>
      <c r="C78" s="7" t="s">
        <v>167</v>
      </c>
      <c r="D78" s="7" t="s">
        <v>168</v>
      </c>
    </row>
    <row r="80" customFormat="false" ht="21.75" hidden="false" customHeight="true" outlineLevel="0" collapsed="false">
      <c r="B80" s="3" t="s">
        <v>169</v>
      </c>
      <c r="C80" s="3"/>
      <c r="D80" s="3"/>
    </row>
    <row r="81" customFormat="false" ht="25.5" hidden="false" customHeight="true" outlineLevel="0" collapsed="false">
      <c r="B81" s="4" t="s">
        <v>170</v>
      </c>
      <c r="C81" s="4"/>
      <c r="D81" s="4"/>
    </row>
    <row r="82" customFormat="false" ht="15" hidden="false" customHeight="true" outlineLevel="0" collapsed="false">
      <c r="B82" s="4" t="s">
        <v>171</v>
      </c>
      <c r="C82" s="4"/>
      <c r="D82" s="4"/>
    </row>
    <row r="83" customFormat="false" ht="15" hidden="false" customHeight="true" outlineLevel="0" collapsed="false">
      <c r="B83" s="4" t="s">
        <v>172</v>
      </c>
      <c r="C83" s="4"/>
      <c r="D83" s="4"/>
    </row>
    <row r="84" customFormat="false" ht="15" hidden="false" customHeight="true" outlineLevel="0" collapsed="false">
      <c r="B84" s="15" t="s">
        <v>173</v>
      </c>
      <c r="C84" s="15"/>
      <c r="D84" s="15"/>
    </row>
    <row r="85" customFormat="false" ht="15" hidden="false" customHeight="true" outlineLevel="0" collapsed="false">
      <c r="B85" s="4" t="s">
        <v>174</v>
      </c>
      <c r="C85" s="4"/>
      <c r="D85" s="4"/>
    </row>
    <row r="86" customFormat="false" ht="15" hidden="false" customHeight="true" outlineLevel="0" collapsed="false">
      <c r="B86" s="4" t="s">
        <v>175</v>
      </c>
      <c r="C86" s="4"/>
      <c r="D86" s="4"/>
    </row>
    <row r="87" customFormat="false" ht="15" hidden="false" customHeight="true" outlineLevel="0" collapsed="false">
      <c r="B87" s="4" t="s">
        <v>176</v>
      </c>
      <c r="C87" s="4"/>
      <c r="D87" s="4"/>
    </row>
    <row r="88" customFormat="false" ht="15" hidden="false" customHeight="true" outlineLevel="0" collapsed="false">
      <c r="B88" s="4" t="s">
        <v>177</v>
      </c>
      <c r="C88" s="4"/>
      <c r="D88" s="4"/>
    </row>
    <row r="90" customFormat="false" ht="21.75" hidden="false" customHeight="true" outlineLevel="0" collapsed="false">
      <c r="B90" s="17" t="s">
        <v>178</v>
      </c>
      <c r="C90" s="17"/>
      <c r="D90" s="17"/>
    </row>
    <row r="91" customFormat="false" ht="15" hidden="false" customHeight="true" outlineLevel="0" collapsed="false">
      <c r="B91" s="4" t="s">
        <v>179</v>
      </c>
      <c r="C91" s="4"/>
      <c r="D91" s="4"/>
    </row>
    <row r="92" customFormat="false" ht="15" hidden="false" customHeight="true" outlineLevel="0" collapsed="false">
      <c r="B92" s="4" t="s">
        <v>180</v>
      </c>
      <c r="C92" s="4"/>
      <c r="D92" s="4"/>
    </row>
    <row r="93" customFormat="false" ht="15" hidden="false" customHeight="true" outlineLevel="0" collapsed="false">
      <c r="B93" s="15" t="s">
        <v>181</v>
      </c>
      <c r="C93" s="15"/>
      <c r="D93" s="15"/>
    </row>
    <row r="94" customFormat="false" ht="25.5" hidden="false" customHeight="true" outlineLevel="0" collapsed="false">
      <c r="B94" s="4" t="s">
        <v>182</v>
      </c>
      <c r="C94" s="4"/>
      <c r="D94" s="4"/>
    </row>
    <row r="95" customFormat="false" ht="15" hidden="false" customHeight="true" outlineLevel="0" collapsed="false">
      <c r="B95" s="15" t="s">
        <v>183</v>
      </c>
      <c r="C95" s="15"/>
      <c r="D95" s="15"/>
    </row>
    <row r="96" customFormat="false" ht="15" hidden="false" customHeight="true" outlineLevel="0" collapsed="false">
      <c r="B96" s="15" t="s">
        <v>184</v>
      </c>
      <c r="C96" s="15"/>
      <c r="D96" s="15"/>
    </row>
    <row r="97" customFormat="false" ht="25.5" hidden="false" customHeight="true" outlineLevel="0" collapsed="false">
      <c r="B97" s="4" t="s">
        <v>185</v>
      </c>
      <c r="C97" s="4"/>
      <c r="D97" s="4"/>
    </row>
    <row r="98" customFormat="false" ht="15" hidden="false" customHeight="true" outlineLevel="0" collapsed="false">
      <c r="B98" s="15" t="s">
        <v>186</v>
      </c>
      <c r="C98" s="15"/>
      <c r="D98" s="15"/>
    </row>
    <row r="99" customFormat="false" ht="25.5" hidden="false" customHeight="true" outlineLevel="0" collapsed="false">
      <c r="B99" s="4" t="s">
        <v>187</v>
      </c>
      <c r="C99" s="4"/>
      <c r="D99" s="4"/>
    </row>
    <row r="101" customFormat="false" ht="21.75" hidden="false" customHeight="true" outlineLevel="0" collapsed="false">
      <c r="B101" s="18" t="s">
        <v>188</v>
      </c>
      <c r="C101" s="18"/>
      <c r="D101" s="18"/>
    </row>
    <row r="102" customFormat="false" ht="25.5" hidden="false" customHeight="true" outlineLevel="0" collapsed="false">
      <c r="B102" s="4" t="s">
        <v>189</v>
      </c>
      <c r="C102" s="4"/>
      <c r="D102" s="4"/>
    </row>
    <row r="103" customFormat="false" ht="25.5" hidden="false" customHeight="true" outlineLevel="0" collapsed="false">
      <c r="B103" s="4" t="s">
        <v>190</v>
      </c>
      <c r="C103" s="4"/>
      <c r="D103" s="4"/>
    </row>
    <row r="104" customFormat="false" ht="15" hidden="false" customHeight="true" outlineLevel="0" collapsed="false">
      <c r="B104" s="4" t="s">
        <v>191</v>
      </c>
      <c r="C104" s="4"/>
      <c r="D104" s="4"/>
    </row>
    <row r="105" customFormat="false" ht="25.5" hidden="false" customHeight="true" outlineLevel="0" collapsed="false">
      <c r="B105" s="4" t="s">
        <v>192</v>
      </c>
      <c r="C105" s="4"/>
      <c r="D105" s="4"/>
    </row>
    <row r="106" customFormat="false" ht="15" hidden="false" customHeight="true" outlineLevel="0" collapsed="false">
      <c r="B106" s="4" t="s">
        <v>193</v>
      </c>
      <c r="C106" s="4"/>
      <c r="D106" s="4"/>
    </row>
    <row r="107" customFormat="false" ht="25.5" hidden="false" customHeight="true" outlineLevel="0" collapsed="false">
      <c r="B107" s="4" t="s">
        <v>194</v>
      </c>
      <c r="C107" s="4"/>
      <c r="D107" s="4"/>
    </row>
    <row r="108" customFormat="false" ht="25.5" hidden="false" customHeight="true" outlineLevel="0" collapsed="false">
      <c r="B108" s="4" t="s">
        <v>195</v>
      </c>
      <c r="C108" s="4"/>
      <c r="D108" s="4"/>
    </row>
  </sheetData>
  <mergeCells count="45">
    <mergeCell ref="B3:D3"/>
    <mergeCell ref="B4:D4"/>
    <mergeCell ref="B13:D13"/>
    <mergeCell ref="B23:D23"/>
    <mergeCell ref="B24:D24"/>
    <mergeCell ref="B25:D25"/>
    <mergeCell ref="B26:D26"/>
    <mergeCell ref="B27:D27"/>
    <mergeCell ref="B28:D28"/>
    <mergeCell ref="B30:D30"/>
    <mergeCell ref="B31:D31"/>
    <mergeCell ref="B32:D32"/>
    <mergeCell ref="B33:D33"/>
    <mergeCell ref="B34:D34"/>
    <mergeCell ref="B35:D35"/>
    <mergeCell ref="B36:D36"/>
    <mergeCell ref="B38:D38"/>
    <mergeCell ref="B52:D5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1:D101"/>
    <mergeCell ref="B102:D102"/>
    <mergeCell ref="B103:D103"/>
    <mergeCell ref="B104:D104"/>
    <mergeCell ref="B105:D105"/>
    <mergeCell ref="B106:D106"/>
    <mergeCell ref="B107:D107"/>
    <mergeCell ref="B108:D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30"/>
    <col collapsed="false" customWidth="true" hidden="false" outlineLevel="0" max="4" min="4" style="1" width="62"/>
  </cols>
  <sheetData>
    <row r="1" customFormat="false" ht="20.1" hidden="false" customHeight="false" outlineLevel="0" collapsed="false">
      <c r="B1" s="2" t="s">
        <v>196</v>
      </c>
    </row>
    <row r="2" customFormat="false" ht="15" hidden="false" customHeight="false" outlineLevel="0" collapsed="false">
      <c r="B2" s="19" t="s">
        <v>197</v>
      </c>
    </row>
    <row r="3" customFormat="false" ht="15" hidden="false" customHeight="false" outlineLevel="0" collapsed="false">
      <c r="B3" s="20" t="s">
        <v>198</v>
      </c>
      <c r="C3" s="20" t="s">
        <v>199</v>
      </c>
      <c r="D3" s="20" t="s">
        <v>200</v>
      </c>
    </row>
    <row r="4" customFormat="false" ht="15" hidden="false" customHeight="false" outlineLevel="0" collapsed="false">
      <c r="B4" s="21" t="s">
        <v>201</v>
      </c>
      <c r="C4" s="22" t="s">
        <v>202</v>
      </c>
      <c r="D4" s="23"/>
    </row>
    <row r="5" customFormat="false" ht="15" hidden="false" customHeight="false" outlineLevel="0" collapsed="false">
      <c r="B5" s="21" t="s">
        <v>203</v>
      </c>
      <c r="C5" s="24" t="s">
        <v>204</v>
      </c>
      <c r="D5" s="23"/>
    </row>
    <row r="6" customFormat="false" ht="15" hidden="false" customHeight="false" outlineLevel="0" collapsed="false">
      <c r="B6" s="21" t="s">
        <v>205</v>
      </c>
      <c r="C6" s="22"/>
      <c r="D6" s="23"/>
    </row>
    <row r="7" customFormat="false" ht="15" hidden="false" customHeight="false" outlineLevel="0" collapsed="false">
      <c r="B7" s="21" t="s">
        <v>206</v>
      </c>
      <c r="C7" s="22"/>
      <c r="D7" s="23"/>
    </row>
    <row r="8" customFormat="false" ht="15" hidden="false" customHeight="false" outlineLevel="0" collapsed="false">
      <c r="B8" s="21" t="s">
        <v>207</v>
      </c>
      <c r="C8" s="22"/>
      <c r="D8" s="23"/>
    </row>
    <row r="9" customFormat="false" ht="15" hidden="false" customHeight="false" outlineLevel="0" collapsed="false">
      <c r="B9" s="21" t="s">
        <v>208</v>
      </c>
      <c r="C9" s="25" t="n">
        <v>12108000</v>
      </c>
      <c r="D9" s="26" t="s">
        <v>209</v>
      </c>
    </row>
    <row r="10" customFormat="false" ht="15" hidden="false" customHeight="false" outlineLevel="0" collapsed="false">
      <c r="B10" s="21" t="s">
        <v>210</v>
      </c>
      <c r="C10" s="27" t="n">
        <v>46073</v>
      </c>
      <c r="D10" s="26" t="s">
        <v>211</v>
      </c>
    </row>
    <row r="11" customFormat="false" ht="15" hidden="false" customHeight="false" outlineLevel="0" collapsed="false">
      <c r="B11" s="21" t="s">
        <v>212</v>
      </c>
      <c r="C11" s="28" t="n">
        <v>270</v>
      </c>
      <c r="D11" s="26" t="s">
        <v>213</v>
      </c>
    </row>
    <row r="12" customFormat="false" ht="15" hidden="false" customHeight="false" outlineLevel="0" collapsed="false">
      <c r="B12" s="21" t="s">
        <v>214</v>
      </c>
      <c r="C12" s="29" t="n">
        <f aca="false">C10+C11-1</f>
        <v>46342</v>
      </c>
      <c r="D12" s="26" t="s">
        <v>215</v>
      </c>
    </row>
    <row r="13" customFormat="false" ht="15" hidden="false" customHeight="false" outlineLevel="0" collapsed="false">
      <c r="B13" s="21" t="s">
        <v>216</v>
      </c>
      <c r="C13" s="30" t="n">
        <f aca="false">SUM('ขยายเวลา EOT'!$J$8:$J$57)</f>
        <v>0</v>
      </c>
      <c r="D13" s="26" t="s">
        <v>217</v>
      </c>
    </row>
    <row r="14" customFormat="false" ht="15" hidden="false" customHeight="false" outlineLevel="0" collapsed="false">
      <c r="B14" s="21" t="s">
        <v>218</v>
      </c>
      <c r="C14" s="31" t="n">
        <f aca="false">C12+C13</f>
        <v>46342</v>
      </c>
      <c r="D14" s="26" t="s">
        <v>219</v>
      </c>
    </row>
    <row r="15" customFormat="false" ht="15" hidden="false" customHeight="false" outlineLevel="0" collapsed="false">
      <c r="B15" s="21" t="s">
        <v>220</v>
      </c>
      <c r="C15" s="27" t="n">
        <v>46293</v>
      </c>
      <c r="D15" s="26" t="s">
        <v>221</v>
      </c>
    </row>
    <row r="16" customFormat="false" ht="15" hidden="false" customHeight="false" outlineLevel="0" collapsed="false">
      <c r="B16" s="21" t="s">
        <v>222</v>
      </c>
      <c r="C16" s="22" t="s">
        <v>223</v>
      </c>
      <c r="D16" s="26" t="s">
        <v>224</v>
      </c>
    </row>
    <row r="17" customFormat="false" ht="15" hidden="false" customHeight="false" outlineLevel="0" collapsed="false">
      <c r="B17" s="21" t="s">
        <v>225</v>
      </c>
      <c r="C17" s="32" t="n">
        <v>0.001</v>
      </c>
      <c r="D17" s="26" t="s">
        <v>226</v>
      </c>
    </row>
    <row r="18" customFormat="false" ht="15" hidden="false" customHeight="false" outlineLevel="0" collapsed="false">
      <c r="B18" s="21" t="s">
        <v>227</v>
      </c>
      <c r="C18" s="25" t="n">
        <v>100</v>
      </c>
      <c r="D18" s="26" t="s">
        <v>228</v>
      </c>
    </row>
    <row r="19" customFormat="false" ht="15" hidden="false" customHeight="false" outlineLevel="0" collapsed="false">
      <c r="B19" s="21" t="s">
        <v>229</v>
      </c>
      <c r="C19" s="33" t="n">
        <v>0.1</v>
      </c>
      <c r="D19" s="26" t="s">
        <v>230</v>
      </c>
    </row>
    <row r="20" customFormat="false" ht="15" hidden="false" customHeight="false" outlineLevel="0" collapsed="false">
      <c r="B20" s="21" t="s">
        <v>231</v>
      </c>
      <c r="C20" s="28" t="n">
        <v>30</v>
      </c>
      <c r="D20" s="26" t="s">
        <v>232</v>
      </c>
    </row>
    <row r="21" customFormat="false" ht="15" hidden="false" customHeight="false" outlineLevel="0" collapsed="false">
      <c r="B21" s="21" t="s">
        <v>233</v>
      </c>
      <c r="C21" s="34" t="n">
        <v>1</v>
      </c>
      <c r="D21" s="26"/>
    </row>
    <row r="22" customFormat="false" ht="15" hidden="false" customHeight="false" outlineLevel="0" collapsed="false">
      <c r="B22" s="21" t="s">
        <v>234</v>
      </c>
      <c r="C22" s="22"/>
      <c r="D22" s="26"/>
    </row>
    <row r="24" customFormat="false" ht="15" hidden="false" customHeight="false" outlineLevel="0" collapsed="false">
      <c r="B24" s="20" t="s">
        <v>235</v>
      </c>
      <c r="C24" s="20" t="s">
        <v>236</v>
      </c>
      <c r="D24" s="20" t="s">
        <v>237</v>
      </c>
    </row>
    <row r="25" customFormat="false" ht="15" hidden="false" customHeight="false" outlineLevel="0" collapsed="false">
      <c r="B25" s="19" t="s">
        <v>238</v>
      </c>
    </row>
    <row r="26" customFormat="false" ht="15" hidden="false" customHeight="false" outlineLevel="0" collapsed="false">
      <c r="B26" s="21" t="s">
        <v>239</v>
      </c>
      <c r="C26" s="35" t="s">
        <v>240</v>
      </c>
      <c r="D26" s="26" t="s">
        <v>241</v>
      </c>
    </row>
    <row r="27" customFormat="false" ht="15" hidden="false" customHeight="false" outlineLevel="0" collapsed="false">
      <c r="B27" s="21" t="s">
        <v>242</v>
      </c>
      <c r="C27" s="35" t="s">
        <v>243</v>
      </c>
      <c r="D27" s="26"/>
    </row>
    <row r="28" customFormat="false" ht="25.35" hidden="false" customHeight="false" outlineLevel="0" collapsed="false">
      <c r="B28" s="21" t="s">
        <v>244</v>
      </c>
      <c r="C28" s="35" t="s">
        <v>245</v>
      </c>
      <c r="D28" s="26"/>
    </row>
    <row r="29" customFormat="false" ht="15" hidden="false" customHeight="false" outlineLevel="0" collapsed="false">
      <c r="B29" s="21" t="s">
        <v>246</v>
      </c>
      <c r="C29" s="35" t="s">
        <v>247</v>
      </c>
      <c r="D29" s="26"/>
    </row>
    <row r="30" customFormat="false" ht="25.35" hidden="false" customHeight="false" outlineLevel="0" collapsed="false">
      <c r="B30" s="21" t="s">
        <v>248</v>
      </c>
      <c r="C30" s="35" t="s">
        <v>249</v>
      </c>
      <c r="D30" s="26"/>
    </row>
    <row r="31" customFormat="false" ht="15" hidden="false" customHeight="false" outlineLevel="0" collapsed="false">
      <c r="B31" s="21" t="s">
        <v>250</v>
      </c>
      <c r="C31" s="35"/>
      <c r="D31" s="26"/>
    </row>
    <row r="32" customFormat="false" ht="15" hidden="false" customHeight="false" outlineLevel="0" collapsed="false">
      <c r="B32" s="21" t="s">
        <v>251</v>
      </c>
      <c r="C32" s="35"/>
      <c r="D32" s="26"/>
    </row>
    <row r="33" customFormat="false" ht="15" hidden="false" customHeight="false" outlineLevel="0" collapsed="false">
      <c r="B33" s="21" t="s">
        <v>252</v>
      </c>
      <c r="C33" s="35"/>
      <c r="D33" s="26"/>
    </row>
    <row r="34" customFormat="false" ht="15" hidden="false" customHeight="false" outlineLevel="0" collapsed="false">
      <c r="B34" s="21" t="s">
        <v>253</v>
      </c>
      <c r="C34" s="35"/>
      <c r="D34" s="26"/>
    </row>
    <row r="35" customFormat="false" ht="15" hidden="false" customHeight="true" outlineLevel="0" collapsed="false">
      <c r="B35" s="21" t="s">
        <v>254</v>
      </c>
      <c r="C35" s="35"/>
      <c r="D35" s="26"/>
    </row>
    <row r="36" customFormat="false" ht="15" hidden="false" customHeight="true" outlineLevel="0" collapsed="false">
      <c r="B36" s="21" t="s">
        <v>255</v>
      </c>
      <c r="C36" s="35"/>
      <c r="D36" s="26"/>
    </row>
    <row r="37" customFormat="false" ht="15" hidden="false" customHeight="true" outlineLevel="0" collapsed="false">
      <c r="B37" s="21" t="s">
        <v>256</v>
      </c>
      <c r="C37" s="35"/>
      <c r="D37" s="26"/>
    </row>
    <row r="38" customFormat="false" ht="15" hidden="false" customHeight="true" outlineLevel="0" collapsed="false">
      <c r="B38" s="21" t="s">
        <v>257</v>
      </c>
      <c r="C38" s="35"/>
      <c r="D38" s="26"/>
    </row>
    <row r="39" customFormat="false" ht="15" hidden="false" customHeight="true" outlineLevel="0" collapsed="false">
      <c r="B39" s="21" t="s">
        <v>258</v>
      </c>
      <c r="C39" s="35"/>
      <c r="D39" s="26"/>
    </row>
    <row r="40" customFormat="false" ht="15" hidden="false" customHeight="true" outlineLevel="0" collapsed="false">
      <c r="B40" s="21" t="s">
        <v>259</v>
      </c>
      <c r="C40" s="35"/>
      <c r="D40" s="26"/>
    </row>
    <row r="41" customFormat="false" ht="15" hidden="false" customHeight="true" outlineLevel="0" collapsed="false">
      <c r="B41" s="21" t="s">
        <v>260</v>
      </c>
      <c r="C41" s="35"/>
      <c r="D41" s="26"/>
    </row>
    <row r="42" customFormat="false" ht="15" hidden="false" customHeight="true" outlineLevel="0" collapsed="false">
      <c r="B42" s="21" t="s">
        <v>261</v>
      </c>
      <c r="C42" s="35"/>
      <c r="D42" s="26"/>
    </row>
    <row r="43" customFormat="false" ht="15" hidden="false" customHeight="true" outlineLevel="0" collapsed="false">
      <c r="B43" s="21" t="s">
        <v>262</v>
      </c>
      <c r="C43" s="35"/>
      <c r="D43" s="26"/>
    </row>
    <row r="44" customFormat="false" ht="15" hidden="false" customHeight="true" outlineLevel="0" collapsed="false">
      <c r="B44" s="21" t="s">
        <v>263</v>
      </c>
      <c r="C44" s="35"/>
      <c r="D44" s="26"/>
    </row>
    <row r="45" customFormat="false" ht="15" hidden="false" customHeight="true" outlineLevel="0" collapsed="false">
      <c r="B45" s="21" t="s">
        <v>264</v>
      </c>
      <c r="C45" s="35"/>
      <c r="D45" s="26"/>
    </row>
    <row r="46" customFormat="false" ht="15" hidden="false" customHeight="true" outlineLevel="0" collapsed="false">
      <c r="B46" s="21" t="s">
        <v>265</v>
      </c>
      <c r="C46" s="35"/>
      <c r="D46" s="26"/>
    </row>
    <row r="47" customFormat="false" ht="15" hidden="false" customHeight="true" outlineLevel="0" collapsed="false">
      <c r="B47" s="21" t="s">
        <v>266</v>
      </c>
      <c r="C47" s="35"/>
      <c r="D47" s="26"/>
    </row>
    <row r="48" customFormat="false" ht="15" hidden="false" customHeight="true" outlineLevel="0" collapsed="false">
      <c r="B48" s="21" t="s">
        <v>267</v>
      </c>
      <c r="C48" s="35"/>
      <c r="D48" s="26"/>
    </row>
    <row r="49" customFormat="false" ht="15" hidden="false" customHeight="true" outlineLevel="0" collapsed="false">
      <c r="B49" s="21" t="s">
        <v>268</v>
      </c>
      <c r="C49" s="35"/>
      <c r="D49" s="26"/>
    </row>
    <row r="50" customFormat="false" ht="15" hidden="false" customHeight="true" outlineLevel="0" collapsed="false">
      <c r="B50" s="21" t="s">
        <v>269</v>
      </c>
      <c r="C50" s="35"/>
      <c r="D50" s="26"/>
    </row>
    <row r="51" customFormat="false" ht="15" hidden="false" customHeight="true" outlineLevel="0" collapsed="false">
      <c r="B51" s="21" t="s">
        <v>270</v>
      </c>
      <c r="C51" s="35"/>
      <c r="D51" s="26"/>
    </row>
    <row r="52" customFormat="false" ht="15" hidden="false" customHeight="true" outlineLevel="0" collapsed="false">
      <c r="B52" s="21" t="s">
        <v>271</v>
      </c>
      <c r="C52" s="35"/>
      <c r="D52" s="26"/>
    </row>
    <row r="53" customFormat="false" ht="15" hidden="false" customHeight="true" outlineLevel="0" collapsed="false">
      <c r="B53" s="21" t="s">
        <v>272</v>
      </c>
      <c r="C53" s="35"/>
      <c r="D53" s="26"/>
    </row>
    <row r="54" customFormat="false" ht="15" hidden="false" customHeight="true" outlineLevel="0" collapsed="false">
      <c r="B54" s="21" t="s">
        <v>273</v>
      </c>
      <c r="C54" s="35"/>
      <c r="D54" s="26"/>
    </row>
    <row r="55" customFormat="false" ht="15" hidden="false" customHeight="true" outlineLevel="0" collapsed="false">
      <c r="B55" s="21" t="s">
        <v>274</v>
      </c>
      <c r="C55" s="35"/>
      <c r="D55" s="26"/>
    </row>
    <row r="56" customFormat="false" ht="15" hidden="false" customHeight="true" outlineLevel="0" collapsed="false">
      <c r="B56" s="21" t="s">
        <v>275</v>
      </c>
      <c r="C56" s="35"/>
      <c r="D56" s="26"/>
    </row>
    <row r="57" customFormat="false" ht="15" hidden="false" customHeight="true" outlineLevel="0" collapsed="false">
      <c r="B57" s="21" t="s">
        <v>276</v>
      </c>
      <c r="C57" s="35"/>
      <c r="D57" s="26"/>
    </row>
    <row r="58" customFormat="false" ht="15" hidden="false" customHeight="true" outlineLevel="0" collapsed="false">
      <c r="B58" s="21" t="s">
        <v>277</v>
      </c>
      <c r="C58" s="35"/>
      <c r="D58" s="26"/>
    </row>
    <row r="59" customFormat="false" ht="15" hidden="false" customHeight="true" outlineLevel="0" collapsed="false">
      <c r="B59" s="21" t="s">
        <v>278</v>
      </c>
      <c r="C59" s="35"/>
      <c r="D59" s="26"/>
    </row>
    <row r="60" customFormat="false" ht="15" hidden="false" customHeight="true" outlineLevel="0" collapsed="false">
      <c r="B60" s="21" t="s">
        <v>279</v>
      </c>
      <c r="C60" s="35"/>
      <c r="D60" s="26"/>
    </row>
    <row r="61" customFormat="false" ht="15" hidden="false" customHeight="true" outlineLevel="0" collapsed="false">
      <c r="B61" s="21" t="s">
        <v>280</v>
      </c>
      <c r="C61" s="35"/>
      <c r="D61" s="26"/>
    </row>
    <row r="62" customFormat="false" ht="15" hidden="false" customHeight="true" outlineLevel="0" collapsed="false">
      <c r="B62" s="21" t="s">
        <v>281</v>
      </c>
      <c r="C62" s="35"/>
      <c r="D62" s="26"/>
    </row>
    <row r="63" customFormat="false" ht="15" hidden="false" customHeight="true" outlineLevel="0" collapsed="false">
      <c r="B63" s="21" t="s">
        <v>282</v>
      </c>
      <c r="C63" s="35"/>
      <c r="D63" s="26"/>
    </row>
    <row r="64" customFormat="false" ht="15" hidden="false" customHeight="true" outlineLevel="0" collapsed="false">
      <c r="B64" s="21" t="s">
        <v>283</v>
      </c>
      <c r="C64" s="35"/>
      <c r="D64" s="26"/>
    </row>
    <row r="65" customFormat="false" ht="15" hidden="false" customHeight="false" outlineLevel="0" collapsed="false">
      <c r="B65" s="21" t="s">
        <v>284</v>
      </c>
      <c r="C65" s="35"/>
      <c r="D65" s="26"/>
    </row>
    <row r="67" customFormat="false" ht="15" hidden="false" customHeight="false" outlineLevel="0" collapsed="false">
      <c r="B67" s="36" t="s">
        <v>285</v>
      </c>
    </row>
    <row r="68" customFormat="false" ht="15" hidden="false" customHeight="false" outlineLevel="0" collapsed="false">
      <c r="B68" s="37" t="s">
        <v>286</v>
      </c>
      <c r="C68" s="38" t="n">
        <f aca="false">MIN(C10,IF(COUNT('แผนงาน Schedule'!$H$7:$H$66)&gt;0,MIN('แผนงาน Schedule'!$H$7:$H$66),C10),IF(COUNT('แผนงาน Schedule'!$K$7:$K$66)&gt;0,MIN('แผนงาน Schedule'!$K$7:$K$66),C10),IF(COUNT('แผนงาน Schedule'!$M$7:$M$66)&gt;0,MIN('แผนงาน Schedule'!$M$7:$M$66),C10))</f>
        <v>46072</v>
      </c>
    </row>
    <row r="69" customFormat="false" ht="15" hidden="false" customHeight="false" outlineLevel="0" collapsed="false">
      <c r="B69" s="37" t="s">
        <v>287</v>
      </c>
      <c r="C69" s="38" t="n">
        <f aca="false">MAX(C14,C15,MAX('แผนงาน Schedule'!$I$7:$I$66),MAX('แผนงาน Schedule'!$L$7:$L$66),MAX('แผนงาน Schedule'!$N$7:$N$66),MAX('แผนงาน Schedule'!$V$7:$V$66))</f>
        <v>46346</v>
      </c>
    </row>
  </sheetData>
  <sheetProtection sheet="true" formatCells="false" formatColumns="false" formatRows="false"/>
  <dataValidations count="1">
    <dataValidation allowBlank="false" errorStyle="stop" operator="between" showDropDown="false" showErrorMessage="false" showInputMessage="false" sqref="C16" type="list">
      <formula1>"ทุก 10 วัน / 10-day,รายสัปดาห์ / Weekly,รายเดือน / Monthly"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26"/>
    <col collapsed="false" customWidth="true" hidden="false" outlineLevel="0" max="4" min="4" style="1" width="48"/>
    <col collapsed="false" customWidth="true" hidden="false" outlineLevel="0" max="5" min="5" style="1" width="2"/>
  </cols>
  <sheetData>
    <row r="1" customFormat="false" ht="20.1" hidden="false" customHeight="false" outlineLevel="0" collapsed="false">
      <c r="B1" s="2" t="s">
        <v>288</v>
      </c>
    </row>
    <row r="2" customFormat="false" ht="15" hidden="false" customHeight="false" outlineLevel="0" collapsed="false">
      <c r="B2" s="19" t="s">
        <v>289</v>
      </c>
    </row>
    <row r="3" customFormat="false" ht="15" hidden="false" customHeight="false" outlineLevel="0" collapsed="false">
      <c r="B3" s="20" t="s">
        <v>290</v>
      </c>
      <c r="C3" s="20" t="s">
        <v>199</v>
      </c>
      <c r="D3" s="20" t="s">
        <v>291</v>
      </c>
    </row>
    <row r="4" customFormat="false" ht="15" hidden="false" customHeight="false" outlineLevel="0" collapsed="false">
      <c r="B4" s="21" t="s">
        <v>292</v>
      </c>
      <c r="C4" s="39" t="str">
        <f aca="false">'ตั้งค่า Setup'!C4</f>
        <v>โครงการก่อสร้างอาคาร (แก้ไขชื่อได้)</v>
      </c>
      <c r="D4" s="40"/>
    </row>
    <row r="5" customFormat="false" ht="15" hidden="false" customHeight="false" outlineLevel="0" collapsed="false">
      <c r="B5" s="21" t="s">
        <v>293</v>
      </c>
      <c r="C5" s="31" t="n">
        <f aca="false">'ตั้งค่า Setup'!$C$15</f>
        <v>46293</v>
      </c>
      <c r="D5" s="40"/>
    </row>
    <row r="6" customFormat="false" ht="15" hidden="false" customHeight="false" outlineLevel="0" collapsed="false">
      <c r="B6" s="21" t="s">
        <v>294</v>
      </c>
      <c r="C6" s="39" t="str">
        <f aca="false">IF(COUNT('แผนงาน Schedule'!$O$7:$O$66)&gt;0,"ชีตแผนงาน (รายรายการ)","ชีต S-Curve (ค่าสะสมล่าสุด)")</f>
        <v>ชีต S-Curve (ค่าสะสมล่าสุด)</v>
      </c>
      <c r="D6" s="41" t="s">
        <v>295</v>
      </c>
    </row>
    <row r="7" customFormat="false" ht="15" hidden="false" customHeight="false" outlineLevel="0" collapsed="false">
      <c r="B7" s="21" t="s">
        <v>296</v>
      </c>
      <c r="C7" s="31" t="n">
        <f aca="false">IF(COUNT('แผนงาน Schedule'!$O$7:$O$66)&gt;0,'ตั้งค่า Setup'!$C$15,IFERROR(INDEX('S-Curve'!$C$7:$C$86,MATCH(9.99E+307,'S-Curve'!$F$7:$F$86)),'ตั้งค่า Setup'!$C$15))</f>
        <v>46142</v>
      </c>
      <c r="D7" s="41" t="s">
        <v>297</v>
      </c>
    </row>
    <row r="8" customFormat="false" ht="15" hidden="false" customHeight="false" outlineLevel="0" collapsed="false">
      <c r="B8" s="20" t="s">
        <v>298</v>
      </c>
      <c r="C8" s="20" t="s">
        <v>199</v>
      </c>
      <c r="D8" s="20" t="s">
        <v>291</v>
      </c>
    </row>
    <row r="9" customFormat="false" ht="15" hidden="false" customHeight="false" outlineLevel="0" collapsed="false">
      <c r="B9" s="21" t="s">
        <v>299</v>
      </c>
      <c r="C9" s="31" t="n">
        <f aca="false">'ตั้งค่า Setup'!$C$10</f>
        <v>46073</v>
      </c>
      <c r="D9" s="41"/>
    </row>
    <row r="10" customFormat="false" ht="15" hidden="false" customHeight="false" outlineLevel="0" collapsed="false">
      <c r="B10" s="21" t="s">
        <v>300</v>
      </c>
      <c r="C10" s="31" t="n">
        <f aca="false">'ตั้งค่า Setup'!C12</f>
        <v>46342</v>
      </c>
      <c r="D10" s="41"/>
    </row>
    <row r="11" customFormat="false" ht="15" hidden="false" customHeight="false" outlineLevel="0" collapsed="false">
      <c r="B11" s="21" t="s">
        <v>301</v>
      </c>
      <c r="C11" s="30" t="n">
        <f aca="false">'ตั้งค่า Setup'!C13</f>
        <v>0</v>
      </c>
      <c r="D11" s="41" t="s">
        <v>302</v>
      </c>
    </row>
    <row r="12" customFormat="false" ht="15" hidden="false" customHeight="false" outlineLevel="0" collapsed="false">
      <c r="B12" s="21" t="s">
        <v>218</v>
      </c>
      <c r="C12" s="31" t="n">
        <f aca="false">'ตั้งค่า Setup'!$C$14</f>
        <v>46342</v>
      </c>
      <c r="D12" s="41"/>
    </row>
    <row r="13" customFormat="false" ht="15" hidden="false" customHeight="false" outlineLevel="0" collapsed="false">
      <c r="B13" s="21" t="s">
        <v>303</v>
      </c>
      <c r="C13" s="30" t="n">
        <f aca="false">'ตั้งค่า Setup'!$C$15-'ตั้งค่า Setup'!$C$10+1</f>
        <v>221</v>
      </c>
      <c r="D13" s="41" t="s">
        <v>304</v>
      </c>
    </row>
    <row r="14" customFormat="false" ht="15" hidden="false" customHeight="false" outlineLevel="0" collapsed="false">
      <c r="B14" s="42" t="s">
        <v>305</v>
      </c>
      <c r="C14" s="43" t="n">
        <f aca="false">IFERROR(C13/(C12-C9+1),0)</f>
        <v>0.818518518518519</v>
      </c>
      <c r="D14" s="41" t="s">
        <v>306</v>
      </c>
    </row>
    <row r="15" customFormat="false" ht="15" hidden="false" customHeight="false" outlineLevel="0" collapsed="false">
      <c r="B15" s="21" t="s">
        <v>307</v>
      </c>
      <c r="C15" s="44" t="n">
        <f aca="false">C12-C5</f>
        <v>49</v>
      </c>
      <c r="D15" s="41" t="s">
        <v>308</v>
      </c>
    </row>
    <row r="16" customFormat="false" ht="15" hidden="false" customHeight="false" outlineLevel="0" collapsed="false">
      <c r="B16" s="42" t="s">
        <v>309</v>
      </c>
      <c r="C16" s="43" t="n">
        <f aca="false">SUMPRODUCT('แผนงาน Schedule'!$F$7:$F$66,('แผนงาน Schedule'!$I$7:$I$66&lt;=C7)+('แผนงาน Schedule'!$H$7:$H$66&lt;=C7)*('แผนงาน Schedule'!$I$7:$I$66&gt;C7)*(C7-'แผนงาน Schedule'!$H$7:$H$66+1)/('แผนงาน Schedule'!$I$7:$I$66-'แผนงาน Schedule'!$H$7:$H$66+1))</f>
        <v>0.208203225806452</v>
      </c>
      <c r="D16" s="41" t="s">
        <v>310</v>
      </c>
    </row>
    <row r="17" customFormat="false" ht="15" hidden="false" customHeight="false" outlineLevel="0" collapsed="false">
      <c r="B17" s="42" t="s">
        <v>311</v>
      </c>
      <c r="C17" s="43" t="n">
        <f aca="false">IF(C63,SUMPRODUCT('แผนงาน Schedule'!$F$7:$F$66,('แผนงาน Schedule'!$AA$7:$AA$66&lt;=C7)+('แผนงาน Schedule'!$Z$7:$Z$66&lt;=C7)*('แผนงาน Schedule'!$AA$7:$AA$66&gt;C7)*(C7-'แผนงาน Schedule'!$Z$7:$Z$66+1)/('แผนงาน Schedule'!$AA$7:$AA$66-'แผนงาน Schedule'!$Z$7:$Z$66+1)),C16)</f>
        <v>0.208203225806452</v>
      </c>
      <c r="D17" s="41" t="s">
        <v>312</v>
      </c>
    </row>
    <row r="18" customFormat="false" ht="15" hidden="false" customHeight="false" outlineLevel="0" collapsed="false">
      <c r="B18" s="21" t="s">
        <v>313</v>
      </c>
      <c r="C18" s="45" t="n">
        <f aca="false">C19-C17</f>
        <v>-0.156903225806452</v>
      </c>
      <c r="D18" s="26" t="s">
        <v>314</v>
      </c>
    </row>
    <row r="19" customFormat="false" ht="15" hidden="false" customHeight="false" outlineLevel="0" collapsed="false">
      <c r="B19" s="42" t="s">
        <v>315</v>
      </c>
      <c r="C19" s="43" t="n">
        <f aca="false">IF(COUNT('แผนงาน Schedule'!$O$7:$O$66)&gt;0,'แผนงาน Schedule'!$O$67,IFERROR(INDEX('S-Curve'!$F$7:$F$86,MATCH(9.99E+307,'S-Curve'!$F$7:$F$86)),0))</f>
        <v>0.0513</v>
      </c>
      <c r="D19" s="41"/>
    </row>
    <row r="20" customFormat="false" ht="15" hidden="false" customHeight="false" outlineLevel="0" collapsed="false">
      <c r="B20" s="21" t="s">
        <v>316</v>
      </c>
      <c r="C20" s="46" t="n">
        <f aca="false">C19-C16</f>
        <v>-0.156903225806452</v>
      </c>
      <c r="D20" s="41" t="s">
        <v>317</v>
      </c>
    </row>
    <row r="21" customFormat="false" ht="15" hidden="false" customHeight="false" outlineLevel="0" collapsed="false">
      <c r="B21" s="21" t="s">
        <v>318</v>
      </c>
      <c r="C21" s="44" t="n">
        <f aca="false">C20*C69</f>
        <v>-42.3638709677419</v>
      </c>
      <c r="D21" s="41" t="s">
        <v>319</v>
      </c>
    </row>
    <row r="22" customFormat="false" ht="15" hidden="false" customHeight="false" outlineLevel="0" collapsed="false">
      <c r="B22" s="42" t="s">
        <v>320</v>
      </c>
      <c r="C22" s="47" t="n">
        <f aca="false">IFERROR(C37/C36,0)</f>
        <v>0.24639387695025</v>
      </c>
      <c r="D22" s="40" t="s">
        <v>321</v>
      </c>
    </row>
    <row r="23" customFormat="false" ht="15" hidden="false" customHeight="false" outlineLevel="0" collapsed="false">
      <c r="B23" s="42" t="s">
        <v>322</v>
      </c>
      <c r="C23" s="48" t="n">
        <f aca="false">C68</f>
        <v>22.2785197373669</v>
      </c>
      <c r="D23" s="41" t="s">
        <v>323</v>
      </c>
    </row>
    <row r="24" customFormat="false" ht="15" hidden="false" customHeight="false" outlineLevel="0" collapsed="false">
      <c r="B24" s="42" t="s">
        <v>324</v>
      </c>
      <c r="C24" s="30" t="n">
        <f aca="false">C7-C9+1</f>
        <v>70</v>
      </c>
      <c r="D24" s="41" t="s">
        <v>325</v>
      </c>
    </row>
    <row r="25" customFormat="false" ht="15" hidden="false" customHeight="false" outlineLevel="0" collapsed="false">
      <c r="B25" s="42" t="s">
        <v>326</v>
      </c>
      <c r="C25" s="49" t="n">
        <f aca="false">C23-C24</f>
        <v>-47.7214802626331</v>
      </c>
      <c r="D25" s="41" t="s">
        <v>327</v>
      </c>
    </row>
    <row r="26" customFormat="false" ht="15" hidden="false" customHeight="false" outlineLevel="0" collapsed="false">
      <c r="B26" s="42" t="s">
        <v>328</v>
      </c>
      <c r="C26" s="47" t="n">
        <f aca="false">IFERROR(C23/C24,0)</f>
        <v>0.31826456767667</v>
      </c>
      <c r="D26" s="40" t="s">
        <v>150</v>
      </c>
    </row>
    <row r="27" customFormat="false" ht="23.85" hidden="false" customHeight="false" outlineLevel="0" collapsed="false">
      <c r="B27" s="21" t="s">
        <v>329</v>
      </c>
      <c r="C27" s="31" t="n">
        <f aca="false">IF(C19&gt;=1,C7,IF(COUNT('แผนงาน Schedule'!$O$7:$O$66)&gt;0,MAX('แผนงาน Schedule'!$V$7:$V$66),IFERROR(C9+ROUND(C69/C26,0)-1,"-")))</f>
        <v>46920</v>
      </c>
      <c r="D27" s="41" t="s">
        <v>330</v>
      </c>
    </row>
    <row r="28" customFormat="false" ht="15" hidden="false" customHeight="false" outlineLevel="0" collapsed="false">
      <c r="B28" s="21" t="s">
        <v>331</v>
      </c>
      <c r="C28" s="44" t="n">
        <f aca="false">IFERROR(MAX(0,C27-C12),"-")</f>
        <v>578</v>
      </c>
      <c r="D28" s="41" t="s">
        <v>332</v>
      </c>
    </row>
    <row r="29" customFormat="false" ht="15" hidden="false" customHeight="false" outlineLevel="0" collapsed="false">
      <c r="B29" s="21" t="s">
        <v>333</v>
      </c>
      <c r="C29" s="50" t="n">
        <f aca="false">IFERROR(C19/C24,0)</f>
        <v>0.000732857142857143</v>
      </c>
      <c r="D29" s="41"/>
    </row>
    <row r="30" customFormat="false" ht="15" hidden="false" customHeight="false" outlineLevel="0" collapsed="false">
      <c r="B30" s="21" t="s">
        <v>334</v>
      </c>
      <c r="C30" s="50" t="n">
        <f aca="false">IF(C19&gt;=1,0,IF(C12-C7&gt;0,(1-C19)/(C12-C7),"เลยกำหนดแล้ว"))</f>
        <v>0.0047435</v>
      </c>
      <c r="D30" s="41" t="s">
        <v>335</v>
      </c>
    </row>
    <row r="31" customFormat="false" ht="15" hidden="false" customHeight="false" outlineLevel="0" collapsed="false">
      <c r="B31" s="21" t="s">
        <v>336</v>
      </c>
      <c r="C31" s="51" t="n">
        <f aca="false">IFERROR(C30/C29,"-")</f>
        <v>6.47261208576998</v>
      </c>
      <c r="D31" s="41" t="s">
        <v>337</v>
      </c>
    </row>
    <row r="32" customFormat="false" ht="15" hidden="false" customHeight="false" outlineLevel="0" collapsed="false">
      <c r="B32" s="21" t="s">
        <v>338</v>
      </c>
      <c r="C32" s="39" t="str">
        <f aca="false">IF(C19&gt;=1,"แล้วเสร็จ / Completed",IF(C22&gt;=1,"ตามแผน / On Track",IF(C22&gt;=0.9,"เฝ้าระวัง / At Risk","ล่าช้ามาก / Critical Delay")))</f>
        <v>ล่าช้ามาก / Critical Delay</v>
      </c>
      <c r="D32" s="41"/>
    </row>
    <row r="33" customFormat="false" ht="15" hidden="false" customHeight="false" outlineLevel="0" collapsed="false">
      <c r="B33" s="21" t="s">
        <v>339</v>
      </c>
      <c r="C33" s="30" t="n">
        <f aca="false">COUNTIF('แผนงาน Schedule'!$X$7:$X$66,"*ล่าช้า*")+COUNTIF('แผนงาน Schedule'!$X$7:$X$66,"*เกินกำหนด*")</f>
        <v>15</v>
      </c>
      <c r="D33" s="41" t="s">
        <v>340</v>
      </c>
    </row>
    <row r="34" customFormat="false" ht="15" hidden="false" customHeight="false" outlineLevel="0" collapsed="false">
      <c r="B34" s="20" t="s">
        <v>341</v>
      </c>
      <c r="C34" s="20" t="s">
        <v>199</v>
      </c>
      <c r="D34" s="20" t="s">
        <v>291</v>
      </c>
    </row>
    <row r="35" customFormat="false" ht="15" hidden="false" customHeight="false" outlineLevel="0" collapsed="false">
      <c r="B35" s="42" t="s">
        <v>342</v>
      </c>
      <c r="C35" s="52" t="n">
        <f aca="false">'ตั้งค่า Setup'!$C$9</f>
        <v>12108000</v>
      </c>
      <c r="D35" s="41" t="s">
        <v>343</v>
      </c>
    </row>
    <row r="36" customFormat="false" ht="15" hidden="false" customHeight="false" outlineLevel="0" collapsed="false">
      <c r="B36" s="42" t="s">
        <v>344</v>
      </c>
      <c r="C36" s="52" t="n">
        <f aca="false">C16*C35</f>
        <v>2520924.65806452</v>
      </c>
      <c r="D36" s="41" t="s">
        <v>345</v>
      </c>
    </row>
    <row r="37" customFormat="false" ht="15" hidden="false" customHeight="false" outlineLevel="0" collapsed="false">
      <c r="B37" s="42" t="s">
        <v>346</v>
      </c>
      <c r="C37" s="52" t="n">
        <f aca="false">C19*C35</f>
        <v>621140.4</v>
      </c>
      <c r="D37" s="41" t="s">
        <v>347</v>
      </c>
    </row>
    <row r="38" customFormat="false" ht="15" hidden="false" customHeight="false" outlineLevel="0" collapsed="false">
      <c r="B38" s="42" t="s">
        <v>348</v>
      </c>
      <c r="C38" s="52" t="n">
        <f aca="false">SUMIFS('S-Curve'!$K$7:$K$86,'S-Curve'!$C$7:$C$86,"&lt;="&amp;C7)</f>
        <v>0</v>
      </c>
      <c r="D38" s="41" t="s">
        <v>349</v>
      </c>
    </row>
    <row r="39" customFormat="false" ht="15" hidden="false" customHeight="false" outlineLevel="0" collapsed="false">
      <c r="B39" s="42" t="s">
        <v>350</v>
      </c>
      <c r="C39" s="52" t="n">
        <f aca="false">C37-C36</f>
        <v>-1899784.25806452</v>
      </c>
      <c r="D39" s="40" t="s">
        <v>351</v>
      </c>
    </row>
    <row r="40" customFormat="false" ht="15" hidden="false" customHeight="false" outlineLevel="0" collapsed="false">
      <c r="B40" s="42" t="s">
        <v>352</v>
      </c>
      <c r="C40" s="52" t="str">
        <f aca="false">IF(C38&gt;0,C37-C38,"-")</f>
        <v>-</v>
      </c>
      <c r="D40" s="40" t="s">
        <v>353</v>
      </c>
    </row>
    <row r="41" customFormat="false" ht="15" hidden="false" customHeight="false" outlineLevel="0" collapsed="false">
      <c r="B41" s="42" t="s">
        <v>354</v>
      </c>
      <c r="C41" s="47" t="str">
        <f aca="false">IF(C38&gt;0,C37/C38,"-")</f>
        <v>-</v>
      </c>
      <c r="D41" s="40" t="s">
        <v>355</v>
      </c>
    </row>
    <row r="42" customFormat="false" ht="15" hidden="false" customHeight="false" outlineLevel="0" collapsed="false">
      <c r="B42" s="42" t="s">
        <v>356</v>
      </c>
      <c r="C42" s="52" t="str">
        <f aca="false">IF(C38&gt;0,C35/C41,"-")</f>
        <v>-</v>
      </c>
      <c r="D42" s="40" t="s">
        <v>129</v>
      </c>
    </row>
    <row r="43" customFormat="false" ht="15" hidden="false" customHeight="false" outlineLevel="0" collapsed="false">
      <c r="B43" s="42" t="s">
        <v>357</v>
      </c>
      <c r="C43" s="52" t="str">
        <f aca="false">IF(C38&gt;0,C42-C38,"-")</f>
        <v>-</v>
      </c>
      <c r="D43" s="40" t="s">
        <v>132</v>
      </c>
    </row>
    <row r="44" customFormat="false" ht="15" hidden="false" customHeight="false" outlineLevel="0" collapsed="false">
      <c r="B44" s="42" t="s">
        <v>358</v>
      </c>
      <c r="C44" s="52" t="str">
        <f aca="false">IF(C38&gt;0,C35-C42,"-")</f>
        <v>-</v>
      </c>
      <c r="D44" s="40" t="s">
        <v>359</v>
      </c>
    </row>
    <row r="45" customFormat="false" ht="15" hidden="false" customHeight="false" outlineLevel="0" collapsed="false">
      <c r="B45" s="42" t="s">
        <v>360</v>
      </c>
      <c r="C45" s="47" t="str">
        <f aca="false">IF(C38&gt;0,IFERROR((C35-C37)/(C35-C38),"-"),"-")</f>
        <v>-</v>
      </c>
      <c r="D45" s="40" t="s">
        <v>361</v>
      </c>
    </row>
    <row r="46" customFormat="false" ht="15" hidden="false" customHeight="false" outlineLevel="0" collapsed="false">
      <c r="B46" s="21" t="s">
        <v>362</v>
      </c>
      <c r="C46" s="52" t="n">
        <f aca="false">SUMIFS('S-Curve'!$M$7:$M$86,'S-Curve'!$C$7:$C$86,"&lt;="&amp;C5)</f>
        <v>621140.4</v>
      </c>
      <c r="D46" s="41" t="s">
        <v>363</v>
      </c>
    </row>
    <row r="47" customFormat="false" ht="15" hidden="false" customHeight="false" outlineLevel="0" collapsed="false">
      <c r="B47" s="42" t="s">
        <v>364</v>
      </c>
      <c r="C47" s="43" t="n">
        <f aca="false">IFERROR(C46/C35,0)</f>
        <v>0.0513</v>
      </c>
      <c r="D47" s="41"/>
    </row>
    <row r="48" customFormat="false" ht="15" hidden="false" customHeight="false" outlineLevel="0" collapsed="false">
      <c r="B48" s="20" t="s">
        <v>365</v>
      </c>
      <c r="C48" s="20" t="s">
        <v>199</v>
      </c>
      <c r="D48" s="20" t="s">
        <v>291</v>
      </c>
    </row>
    <row r="49" customFormat="false" ht="15" hidden="false" customHeight="false" outlineLevel="0" collapsed="false">
      <c r="B49" s="21" t="s">
        <v>366</v>
      </c>
      <c r="C49" s="30" t="n">
        <f aca="false">SUM('ขยายเวลา EOT'!$F$8:$F$57)</f>
        <v>0</v>
      </c>
      <c r="D49" s="41"/>
    </row>
    <row r="50" customFormat="false" ht="15" hidden="false" customHeight="false" outlineLevel="0" collapsed="false">
      <c r="B50" s="21" t="s">
        <v>367</v>
      </c>
      <c r="C50" s="30" t="n">
        <f aca="false">SUM('ขยายเวลา EOT'!$J$8:$J$57)</f>
        <v>0</v>
      </c>
      <c r="D50" s="41"/>
    </row>
    <row r="51" customFormat="false" ht="15" hidden="false" customHeight="false" outlineLevel="0" collapsed="false">
      <c r="B51" s="21" t="s">
        <v>368</v>
      </c>
      <c r="C51" s="30" t="n">
        <f aca="false">SUMIF('ขยายเวลา EOT'!$I$8:$I$57,"รอพิจารณา / Pending",'ขยายเวลา EOT'!$F$8:$F$57)</f>
        <v>0</v>
      </c>
      <c r="D51" s="41" t="s">
        <v>369</v>
      </c>
    </row>
    <row r="52" customFormat="false" ht="15" hidden="false" customHeight="false" outlineLevel="0" collapsed="false">
      <c r="B52" s="21" t="s">
        <v>370</v>
      </c>
      <c r="C52" s="52" t="n">
        <f aca="false">MAX('ตั้งค่า Setup'!C18,'ตั้งค่า Setup'!C17*C35)</f>
        <v>12108</v>
      </c>
      <c r="D52" s="40" t="s">
        <v>371</v>
      </c>
    </row>
    <row r="53" customFormat="false" ht="15" hidden="false" customHeight="false" outlineLevel="0" collapsed="false">
      <c r="B53" s="21" t="s">
        <v>372</v>
      </c>
      <c r="C53" s="30" t="n">
        <f aca="false">MAX(0,C5-C12)</f>
        <v>0</v>
      </c>
      <c r="D53" s="41" t="s">
        <v>373</v>
      </c>
    </row>
    <row r="54" customFormat="false" ht="15" hidden="false" customHeight="false" outlineLevel="0" collapsed="false">
      <c r="B54" s="21" t="s">
        <v>374</v>
      </c>
      <c r="C54" s="52" t="n">
        <f aca="false">C53*C52</f>
        <v>0</v>
      </c>
      <c r="D54" s="41"/>
    </row>
    <row r="55" customFormat="false" ht="15" hidden="false" customHeight="false" outlineLevel="0" collapsed="false">
      <c r="B55" s="21" t="s">
        <v>375</v>
      </c>
      <c r="C55" s="52" t="n">
        <f aca="false">IFERROR(C28*C52,0)</f>
        <v>6998424</v>
      </c>
      <c r="D55" s="41" t="s">
        <v>376</v>
      </c>
    </row>
    <row r="56" customFormat="false" ht="15" hidden="false" customHeight="false" outlineLevel="0" collapsed="false">
      <c r="B56" s="21" t="s">
        <v>377</v>
      </c>
      <c r="C56" s="43" t="n">
        <f aca="false">IFERROR(C55/C35,0)</f>
        <v>0.578</v>
      </c>
      <c r="D56" s="41"/>
    </row>
    <row r="57" customFormat="false" ht="30" hidden="false" customHeight="true" outlineLevel="0" collapsed="false">
      <c r="B57" s="21" t="s">
        <v>378</v>
      </c>
      <c r="C57" s="53" t="str">
        <f aca="false">IF(C56&gt;'ตั้งค่า Setup'!C19,"⚠ เกินเกณฑ์ "&amp;TEXT('ตั้งค่า Setup'!C19,"0%")&amp;" – ความเสี่ยงถูกบอกเลิกสัญญา",IF(C56&gt;0,"⚠ มีค่าปรับคาดการณ์","✓ ไม่มีค่าปรับคาดการณ์"))</f>
        <v>⚠ เกินเกณฑ์ 10% – ความเสี่ยงถูกบอกเลิกสัญญา</v>
      </c>
      <c r="D57" s="41"/>
    </row>
    <row r="58" customFormat="false" ht="15" hidden="false" customHeight="false" outlineLevel="0" collapsed="false">
      <c r="B58" s="21" t="s">
        <v>379</v>
      </c>
      <c r="C58" s="39" t="str">
        <f aca="false">IF(ABS('แผนงาน Schedule'!$F$67-1)&lt;0.0001,"✓ ครบ 100%","⚠ น้ำหนักรวม = "&amp;TEXT('แผนงาน Schedule'!$F$67,"0.00%"))</f>
        <v>✓ ครบ 100%</v>
      </c>
      <c r="D58" s="41" t="s">
        <v>380</v>
      </c>
    </row>
    <row r="61" customFormat="false" ht="15" hidden="false" customHeight="false" outlineLevel="0" collapsed="false">
      <c r="B61" s="36" t="s">
        <v>381</v>
      </c>
    </row>
    <row r="62" customFormat="false" ht="15" hidden="false" customHeight="false" outlineLevel="0" collapsed="false">
      <c r="B62" s="54" t="s">
        <v>382</v>
      </c>
      <c r="C62" s="55" t="n">
        <f aca="false">COUNTIF('S-Curve'!$D$7:$D$86,"&lt;="&amp;C19)</f>
        <v>3</v>
      </c>
    </row>
    <row r="63" customFormat="false" ht="15" hidden="false" customHeight="false" outlineLevel="0" collapsed="false">
      <c r="B63" s="37" t="s">
        <v>383</v>
      </c>
      <c r="C63" s="55" t="b">
        <f aca="false">COUNT('แผนงาน Schedule'!$K$7:$K$66)+COUNT('แผนงาน Schedule'!$L$7:$L$66)&gt;0</f>
        <v>0</v>
      </c>
    </row>
    <row r="64" customFormat="false" ht="15" hidden="false" customHeight="false" outlineLevel="0" collapsed="false">
      <c r="B64" s="37" t="s">
        <v>384</v>
      </c>
      <c r="C64" s="55" t="n">
        <f aca="false">COUNT('S-Curve'!$D$7:$D$86)</f>
        <v>28</v>
      </c>
    </row>
    <row r="65" customFormat="false" ht="15" hidden="false" customHeight="false" outlineLevel="0" collapsed="false">
      <c r="B65" s="37" t="s">
        <v>385</v>
      </c>
      <c r="C65" s="38" t="n">
        <f aca="false">IF(C62=0,'ตั้งค่า Setup'!$C$68-1+IFERROR(C19/INDEX('S-Curve'!$D$7:$D$86,1),0)*(INDEX('S-Curve'!$C$7:$C$86,1)-'ตั้งค่า Setup'!$C$68+1),IF(C62&gt;=C64,INDEX('S-Curve'!$C$7:$C$86,C64),INDEX('S-Curve'!$C$7:$C$86,C62)+IF(INDEX('S-Curve'!$D$7:$D$86,C62+1)&gt;INDEX('S-Curve'!$D$7:$D$86,C62),(C19-INDEX('S-Curve'!$D$7:$D$86,C62))/(INDEX('S-Curve'!$D$7:$D$86,C62+1)-INDEX('S-Curve'!$D$7:$D$86,C62))*(INDEX('S-Curve'!$C$7:$C$86,C62+1)-INDEX('S-Curve'!$C$7:$C$86,C62)),0)))</f>
        <v>46094.2785197374</v>
      </c>
    </row>
    <row r="68" customFormat="false" ht="15" hidden="false" customHeight="false" outlineLevel="0" collapsed="false">
      <c r="B68" s="54" t="s">
        <v>386</v>
      </c>
      <c r="C68" s="56" t="n">
        <f aca="false">MAX(0,C65-C9+1)</f>
        <v>22.2785197373669</v>
      </c>
    </row>
    <row r="69" customFormat="false" ht="15" hidden="false" customHeight="false" outlineLevel="0" collapsed="false">
      <c r="B69" s="37" t="s">
        <v>387</v>
      </c>
      <c r="C69" s="57" t="n">
        <f aca="false">'ตั้งค่า Setup'!$C$11</f>
        <v>270</v>
      </c>
    </row>
  </sheetData>
  <sheetProtection sheet="true" formatCells="false" formatColumns="false" formatRows="false"/>
  <conditionalFormatting sqref="C32">
    <cfRule type="expression" priority="2" aboveAverage="0" equalAverage="0" bottom="0" percent="0" rank="0" text="" dxfId="0">
      <formula>ISNUMBER(SEARCH("ล่าช้ามาก",C32))</formula>
    </cfRule>
    <cfRule type="expression" priority="3" aboveAverage="0" equalAverage="0" bottom="0" percent="0" rank="0" text="" dxfId="1">
      <formula>ISNUMBER(SEARCH("เฝ้าระวัง",C32))</formula>
    </cfRule>
    <cfRule type="expression" priority="4" aboveAverage="0" equalAverage="0" bottom="0" percent="0" rank="0" text="" dxfId="2">
      <formula>C22&gt;=1</formula>
    </cfRule>
  </conditionalFormatting>
  <conditionalFormatting sqref="C7">
    <cfRule type="expression" priority="5" aboveAverage="0" equalAverage="0" bottom="0" percent="0" rank="0" text="" dxfId="3">
      <formula>C7&lt;&gt;C5</formula>
    </cfRule>
  </conditionalFormatting>
  <conditionalFormatting sqref="C22">
    <cfRule type="expression" priority="6" aboveAverage="0" equalAverage="0" bottom="0" percent="0" rank="0" text="" dxfId="3">
      <formula>C22&lt;0.9</formula>
    </cfRule>
    <cfRule type="expression" priority="7" aboveAverage="0" equalAverage="0" bottom="0" percent="0" rank="0" text="" dxfId="2">
      <formula>C22&gt;=1</formula>
    </cfRule>
  </conditionalFormatting>
  <conditionalFormatting sqref="C26">
    <cfRule type="expression" priority="8" aboveAverage="0" equalAverage="0" bottom="0" percent="0" rank="0" text="" dxfId="3">
      <formula>C26&lt;0.9</formula>
    </cfRule>
    <cfRule type="expression" priority="9" aboveAverage="0" equalAverage="0" bottom="0" percent="0" rank="0" text="" dxfId="2">
      <formula>C26&gt;=1</formula>
    </cfRule>
  </conditionalFormatting>
  <conditionalFormatting sqref="C57">
    <cfRule type="expression" priority="10" aboveAverage="0" equalAverage="0" bottom="0" percent="0" rank="0" text="" dxfId="3">
      <formula>LEFT(C57,1)="⚠"</formula>
    </cfRule>
  </conditionalFormatting>
  <conditionalFormatting sqref="C58">
    <cfRule type="expression" priority="11" aboveAverage="0" equalAverage="0" bottom="0" percent="0" rank="0" text="" dxfId="4">
      <formula>LEFT(C58,1)="⚠"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8" min="5" style="1" width="12"/>
    <col collapsed="false" customWidth="true" hidden="false" outlineLevel="0" max="10" min="9" style="1" width="14"/>
    <col collapsed="false" customWidth="true" hidden="false" outlineLevel="0" max="11" min="11" style="1" width="2"/>
    <col collapsed="false" customWidth="true" hidden="true" outlineLevel="0" max="12" min="12" style="1" width="13"/>
  </cols>
  <sheetData>
    <row r="1" customFormat="false" ht="30" hidden="false" customHeight="true" outlineLevel="0" collapsed="false">
      <c r="B1" s="58" t="s">
        <v>388</v>
      </c>
      <c r="C1" s="58"/>
      <c r="D1" s="58"/>
      <c r="E1" s="58"/>
      <c r="F1" s="58"/>
      <c r="G1" s="58"/>
      <c r="H1" s="58"/>
      <c r="I1" s="58"/>
      <c r="J1" s="58"/>
    </row>
    <row r="2" customFormat="false" ht="15" hidden="false" customHeight="false" outlineLevel="0" collapsed="false">
      <c r="B2" s="59" t="s">
        <v>389</v>
      </c>
      <c r="C2" s="59"/>
      <c r="D2" s="60" t="str">
        <f aca="false">'ตั้งค่า Setup'!C4&amp;IF('ตั้งค่า Setup'!C5&lt;&gt;""," ("&amp;'ตั้งค่า Setup'!C5&amp;")","")</f>
        <v>โครงการก่อสร้างอาคาร (แก้ไขชื่อได้) (Building Construction Project)</v>
      </c>
      <c r="E2" s="60"/>
      <c r="F2" s="60"/>
      <c r="G2" s="59" t="s">
        <v>390</v>
      </c>
      <c r="H2" s="59"/>
      <c r="I2" s="61" t="n">
        <f aca="false">'ตั้งค่า Setup'!C21</f>
        <v>1</v>
      </c>
      <c r="J2" s="61"/>
    </row>
    <row r="3" customFormat="false" ht="15" hidden="false" customHeight="false" outlineLevel="0" collapsed="false">
      <c r="B3" s="59" t="s">
        <v>391</v>
      </c>
      <c r="C3" s="59"/>
      <c r="D3" s="60" t="str">
        <f aca="false">'ตั้งค่า Setup'!C6&amp;""</f>
        <v/>
      </c>
      <c r="E3" s="60"/>
      <c r="F3" s="60"/>
      <c r="G3" s="59" t="s">
        <v>392</v>
      </c>
      <c r="H3" s="59"/>
      <c r="I3" s="62" t="n">
        <f aca="false">'ตั้งค่า Setup'!$C$15</f>
        <v>46293</v>
      </c>
      <c r="J3" s="62"/>
    </row>
    <row r="4" customFormat="false" ht="15" hidden="false" customHeight="false" outlineLevel="0" collapsed="false">
      <c r="B4" s="59" t="s">
        <v>393</v>
      </c>
      <c r="C4" s="59"/>
      <c r="D4" s="60" t="str">
        <f aca="false">'ตั้งค่า Setup'!C7&amp;""</f>
        <v/>
      </c>
      <c r="E4" s="60"/>
      <c r="F4" s="60"/>
      <c r="G4" s="59" t="s">
        <v>394</v>
      </c>
      <c r="H4" s="59"/>
      <c r="I4" s="63" t="str">
        <f aca="false">'ตั้งค่า Setup'!C8&amp;""</f>
        <v/>
      </c>
      <c r="J4" s="63"/>
    </row>
    <row r="6" customFormat="false" ht="19.5" hidden="false" customHeight="true" outlineLevel="0" collapsed="false">
      <c r="B6" s="64" t="s">
        <v>395</v>
      </c>
      <c r="C6" s="64"/>
      <c r="D6" s="64"/>
      <c r="E6" s="64"/>
      <c r="F6" s="64"/>
      <c r="G6" s="64"/>
      <c r="H6" s="64"/>
      <c r="I6" s="64"/>
      <c r="J6" s="64"/>
    </row>
    <row r="7" customFormat="false" ht="15" hidden="false" customHeight="false" outlineLevel="0" collapsed="false">
      <c r="B7" s="65" t="s">
        <v>396</v>
      </c>
      <c r="C7" s="65"/>
      <c r="D7" s="66" t="n">
        <f aca="false">Dashboard!C14</f>
        <v>0.818518518518519</v>
      </c>
    </row>
    <row r="8" customFormat="false" ht="15" hidden="false" customHeight="false" outlineLevel="0" collapsed="false">
      <c r="B8" s="65" t="s">
        <v>397</v>
      </c>
      <c r="C8" s="65"/>
      <c r="D8" s="66" t="n">
        <f aca="false">Dashboard!C16</f>
        <v>0.208203225806452</v>
      </c>
    </row>
    <row r="9" customFormat="false" ht="15" hidden="false" customHeight="false" outlineLevel="0" collapsed="false">
      <c r="B9" s="65" t="s">
        <v>398</v>
      </c>
      <c r="C9" s="65"/>
      <c r="D9" s="66" t="n">
        <f aca="false">Dashboard!C17</f>
        <v>0.208203225806452</v>
      </c>
    </row>
    <row r="10" customFormat="false" ht="15" hidden="false" customHeight="false" outlineLevel="0" collapsed="false">
      <c r="B10" s="65" t="s">
        <v>399</v>
      </c>
      <c r="C10" s="65"/>
      <c r="D10" s="66" t="n">
        <f aca="false">Dashboard!C19</f>
        <v>0.0513</v>
      </c>
    </row>
    <row r="11" customFormat="false" ht="15" hidden="false" customHeight="false" outlineLevel="0" collapsed="false">
      <c r="B11" s="65" t="s">
        <v>400</v>
      </c>
      <c r="C11" s="65"/>
      <c r="D11" s="67" t="n">
        <f aca="false">Dashboard!C20</f>
        <v>-0.156903225806452</v>
      </c>
    </row>
    <row r="12" customFormat="false" ht="15" hidden="false" customHeight="false" outlineLevel="0" collapsed="false">
      <c r="B12" s="68" t="s">
        <v>401</v>
      </c>
      <c r="C12" s="68"/>
      <c r="D12" s="69" t="str">
        <f aca="false">TEXT(Dashboard!C22,"0.00")&amp;"  |  "&amp;TEXT(Dashboard!C26,"0.00")</f>
        <v>0.25  |  0.32</v>
      </c>
    </row>
    <row r="13" customFormat="false" ht="15" hidden="false" customHeight="false" outlineLevel="0" collapsed="false">
      <c r="B13" s="65" t="s">
        <v>402</v>
      </c>
      <c r="C13" s="65"/>
      <c r="D13" s="70" t="n">
        <f aca="false">Dashboard!C25</f>
        <v>-47.7214802626331</v>
      </c>
    </row>
    <row r="14" customFormat="false" ht="15" hidden="false" customHeight="false" outlineLevel="0" collapsed="false">
      <c r="B14" s="65" t="s">
        <v>403</v>
      </c>
      <c r="C14" s="65"/>
      <c r="D14" s="71" t="n">
        <f aca="false">Dashboard!C27</f>
        <v>46920</v>
      </c>
    </row>
    <row r="15" customFormat="false" ht="15" hidden="false" customHeight="false" outlineLevel="0" collapsed="false">
      <c r="B15" s="65" t="s">
        <v>404</v>
      </c>
      <c r="C15" s="65"/>
      <c r="D15" s="72" t="n">
        <f aca="false">Dashboard!C28</f>
        <v>578</v>
      </c>
    </row>
    <row r="16" customFormat="false" ht="15" hidden="false" customHeight="false" outlineLevel="0" collapsed="false">
      <c r="B16" s="65" t="s">
        <v>405</v>
      </c>
      <c r="C16" s="65"/>
      <c r="D16" s="73" t="n">
        <f aca="false">Dashboard!C55</f>
        <v>6998424</v>
      </c>
    </row>
    <row r="17" customFormat="false" ht="15" hidden="false" customHeight="false" outlineLevel="0" collapsed="false">
      <c r="B17" s="68" t="s">
        <v>406</v>
      </c>
      <c r="C17" s="68"/>
      <c r="D17" s="74" t="str">
        <f aca="false">Dashboard!C41</f>
        <v>-</v>
      </c>
    </row>
    <row r="18" customFormat="false" ht="15" hidden="false" customHeight="false" outlineLevel="0" collapsed="false">
      <c r="B18" s="65" t="s">
        <v>407</v>
      </c>
      <c r="C18" s="65"/>
      <c r="D18" s="69" t="str">
        <f aca="false">Dashboard!C32</f>
        <v>ล่าช้ามาก / Critical Delay</v>
      </c>
    </row>
    <row r="19" customFormat="false" ht="15" hidden="false" customHeight="false" outlineLevel="0" collapsed="false">
      <c r="B19" s="65" t="s">
        <v>408</v>
      </c>
      <c r="C19" s="65"/>
      <c r="D19" s="71" t="n">
        <f aca="false">Dashboard!C7</f>
        <v>46142</v>
      </c>
    </row>
    <row r="21" customFormat="false" ht="19.5" hidden="false" customHeight="true" outlineLevel="0" collapsed="false">
      <c r="B21" s="64" t="s">
        <v>409</v>
      </c>
      <c r="C21" s="64"/>
      <c r="D21" s="64"/>
      <c r="E21" s="64"/>
      <c r="F21" s="64"/>
      <c r="G21" s="64"/>
      <c r="H21" s="64"/>
      <c r="I21" s="64"/>
      <c r="J21" s="64"/>
    </row>
    <row r="22" customFormat="false" ht="30" hidden="false" customHeight="true" outlineLevel="0" collapsed="false">
      <c r="B22" s="20" t="s">
        <v>410</v>
      </c>
      <c r="C22" s="20" t="s">
        <v>411</v>
      </c>
      <c r="D22" s="20" t="s">
        <v>412</v>
      </c>
      <c r="E22" s="20" t="s">
        <v>413</v>
      </c>
      <c r="F22" s="20" t="s">
        <v>414</v>
      </c>
      <c r="G22" s="20" t="s">
        <v>415</v>
      </c>
      <c r="H22" s="75" t="s">
        <v>416</v>
      </c>
      <c r="I22" s="20" t="s">
        <v>417</v>
      </c>
      <c r="J22" s="20" t="s">
        <v>418</v>
      </c>
    </row>
    <row r="23" customFormat="false" ht="15" hidden="false" customHeight="false" outlineLevel="0" collapsed="false">
      <c r="B23" s="76" t="n">
        <f aca="false">IF('ตั้งค่า Setup'!$C$26="","",1)</f>
        <v>1</v>
      </c>
      <c r="C23" s="77" t="str">
        <f aca="false">IF('ตั้งค่า Setup'!$C$26="","",'ตั้งค่า Setup'!$C$26)</f>
        <v>งานเตรียมการ / Preliminaries</v>
      </c>
      <c r="D23" s="78" t="n">
        <f aca="false">IF(C23="","",SUMIF('แผนงาน Schedule'!$B$7:$B$66,C23,'แผนงาน Schedule'!$F$7:$F$66))</f>
        <v>0.0811</v>
      </c>
      <c r="E23" s="78" t="n">
        <f aca="false">IF(OR(C23="",N(D23)=0),"",I23/D23)</f>
        <v>1</v>
      </c>
      <c r="F23" s="78" t="n">
        <f aca="false">IF(OR(C23="",N(D23)=0),"",J23/D23)</f>
        <v>0</v>
      </c>
      <c r="G23" s="79" t="n">
        <f aca="false">IF(E23="","",F23-E23)</f>
        <v>-1</v>
      </c>
      <c r="H23" s="80" t="n">
        <f aca="false">IF(OR(E23="",N(E23)=0),"",F23/E23)</f>
        <v>0</v>
      </c>
      <c r="I23" s="78" t="n">
        <f aca="false">IF(C23="","",SUMPRODUCT(('แผนงาน Schedule'!$B$7:$B$66=C23)*'แผนงาน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>0.0811</v>
      </c>
      <c r="J23" s="78" t="n">
        <f aca="false">IF(C23="","",SUMPRODUCT(('แผนงาน Schedule'!$B$7:$B$66=C23)*'แผนงาน Schedule'!$F$7:$F$66*'แผนงาน Schedule'!$O$7:$O$66))</f>
        <v>0</v>
      </c>
    </row>
    <row r="24" customFormat="false" ht="15" hidden="false" customHeight="false" outlineLevel="0" collapsed="false">
      <c r="B24" s="76" t="n">
        <f aca="false">IF('ตั้งค่า Setup'!$C$27="","",2)</f>
        <v>2</v>
      </c>
      <c r="C24" s="77" t="str">
        <f aca="false">IF('ตั้งค่า Setup'!$C$27="","",'ตั้งค่า Setup'!$C$27)</f>
        <v>งานโครงสร้าง / Structural Works</v>
      </c>
      <c r="D24" s="78" t="n">
        <f aca="false">IF(C24="","",SUMIF('แผนงาน Schedule'!$B$7:$B$66,C24,'แผนงาน Schedule'!$F$7:$F$66))</f>
        <v>0.285</v>
      </c>
      <c r="E24" s="78" t="n">
        <f aca="false">IF(OR(C24="",N(D24)=0),"",I24/D24)</f>
        <v>0.44597623089983</v>
      </c>
      <c r="F24" s="78" t="n">
        <f aca="false">IF(OR(C24="",N(D24)=0),"",J24/D24)</f>
        <v>0</v>
      </c>
      <c r="G24" s="79" t="n">
        <f aca="false">IF(E24="","",F24-E24)</f>
        <v>-0.44597623089983</v>
      </c>
      <c r="H24" s="80" t="n">
        <f aca="false">IF(OR(E24="",N(E24)=0),"",F24/E24)</f>
        <v>0</v>
      </c>
      <c r="I24" s="78" t="n">
        <f aca="false">IF(C24="","",SUMPRODUCT(('แผนงาน Schedule'!$B$7:$B$66=C24)*'แผนงาน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>0.127103225806452</v>
      </c>
      <c r="J24" s="78" t="n">
        <f aca="false">IF(C24="","",SUMPRODUCT(('แผนงาน Schedule'!$B$7:$B$66=C24)*'แผนงาน Schedule'!$F$7:$F$66*'แผนงาน Schedule'!$O$7:$O$66))</f>
        <v>0</v>
      </c>
    </row>
    <row r="25" customFormat="false" ht="15" hidden="false" customHeight="false" outlineLevel="0" collapsed="false">
      <c r="B25" s="76" t="n">
        <f aca="false">IF('ตั้งค่า Setup'!$C$28="","",3)</f>
        <v>3</v>
      </c>
      <c r="C25" s="77" t="str">
        <f aca="false">IF('ตั้งค่า Setup'!$C$28="","",'ตั้งค่า Setup'!$C$28)</f>
        <v>งานสถาปัตยกรรม / Architectural Works</v>
      </c>
      <c r="D25" s="78" t="n">
        <f aca="false">IF(C25="","",SUMIF('แผนงาน Schedule'!$B$7:$B$66,C25,'แผนงาน Schedule'!$F$7:$F$66))</f>
        <v>0.2407</v>
      </c>
      <c r="E25" s="78" t="n">
        <f aca="false">IF(OR(C25="",N(D25)=0),"",I25/D25)</f>
        <v>0</v>
      </c>
      <c r="F25" s="78" t="n">
        <f aca="false">IF(OR(C25="",N(D25)=0),"",J25/D25)</f>
        <v>0</v>
      </c>
      <c r="G25" s="79" t="n">
        <f aca="false">IF(E25="","",F25-E25)</f>
        <v>0</v>
      </c>
      <c r="H25" s="80" t="str">
        <f aca="false">IF(OR(E25="",N(E25)=0),"",F25/E25)</f>
        <v/>
      </c>
      <c r="I25" s="78" t="n">
        <f aca="false">IF(C25="","",SUMPRODUCT(('แผนงาน Schedule'!$B$7:$B$66=C25)*'แผนงาน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>0</v>
      </c>
      <c r="J25" s="78" t="n">
        <f aca="false">IF(C25="","",SUMPRODUCT(('แผนงาน Schedule'!$B$7:$B$66=C25)*'แผนงาน Schedule'!$F$7:$F$66*'แผนงาน Schedule'!$O$7:$O$66))</f>
        <v>0</v>
      </c>
    </row>
    <row r="26" customFormat="false" ht="15" hidden="false" customHeight="false" outlineLevel="0" collapsed="false">
      <c r="B26" s="76" t="n">
        <f aca="false">IF('ตั้งค่า Setup'!$C$29="","",4)</f>
        <v>4</v>
      </c>
      <c r="C26" s="77" t="str">
        <f aca="false">IF('ตั้งค่า Setup'!$C$29="","",'ตั้งค่า Setup'!$C$29)</f>
        <v>งานระบบ / MEP Works</v>
      </c>
      <c r="D26" s="78" t="n">
        <f aca="false">IF(C26="","",SUMIF('แผนงาน Schedule'!$B$7:$B$66,C26,'แผนงาน Schedule'!$F$7:$F$66))</f>
        <v>0.2769</v>
      </c>
      <c r="E26" s="78" t="n">
        <f aca="false">IF(OR(C26="",N(D26)=0),"",I26/D26)</f>
        <v>0</v>
      </c>
      <c r="F26" s="78" t="n">
        <f aca="false">IF(OR(C26="",N(D26)=0),"",J26/D26)</f>
        <v>0</v>
      </c>
      <c r="G26" s="79" t="n">
        <f aca="false">IF(E26="","",F26-E26)</f>
        <v>0</v>
      </c>
      <c r="H26" s="80" t="str">
        <f aca="false">IF(OR(E26="",N(E26)=0),"",F26/E26)</f>
        <v/>
      </c>
      <c r="I26" s="78" t="n">
        <f aca="false">IF(C26="","",SUMPRODUCT(('แผนงาน Schedule'!$B$7:$B$66=C26)*'แผนงาน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>0</v>
      </c>
      <c r="J26" s="78" t="n">
        <f aca="false">IF(C26="","",SUMPRODUCT(('แผนงาน Schedule'!$B$7:$B$66=C26)*'แผนงาน Schedule'!$F$7:$F$66*'แผนงาน Schedule'!$O$7:$O$66))</f>
        <v>0</v>
      </c>
    </row>
    <row r="27" customFormat="false" ht="23.85" hidden="false" customHeight="false" outlineLevel="0" collapsed="false">
      <c r="B27" s="76" t="n">
        <f aca="false">IF('ตั้งค่า Setup'!$C$30="","",5)</f>
        <v>5</v>
      </c>
      <c r="C27" s="77" t="str">
        <f aca="false">IF('ตั้งค่า Setup'!$C$30="","",'ตั้งค่า Setup'!$C$30)</f>
        <v>งานภายนอกและทดสอบระบบ / External &amp; Commissioning</v>
      </c>
      <c r="D27" s="78" t="n">
        <f aca="false">IF(C27="","",SUMIF('แผนงาน Schedule'!$B$7:$B$66,C27,'แผนงาน Schedule'!$F$7:$F$66))</f>
        <v>0.1163</v>
      </c>
      <c r="E27" s="78" t="n">
        <f aca="false">IF(OR(C27="",N(D27)=0),"",I27/D27)</f>
        <v>0</v>
      </c>
      <c r="F27" s="78" t="n">
        <f aca="false">IF(OR(C27="",N(D27)=0),"",J27/D27)</f>
        <v>0</v>
      </c>
      <c r="G27" s="79" t="n">
        <f aca="false">IF(E27="","",F27-E27)</f>
        <v>0</v>
      </c>
      <c r="H27" s="80" t="str">
        <f aca="false">IF(OR(E27="",N(E27)=0),"",F27/E27)</f>
        <v/>
      </c>
      <c r="I27" s="78" t="n">
        <f aca="false">IF(C27="","",SUMPRODUCT(('แผนงาน Schedule'!$B$7:$B$66=C27)*'แผนงาน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>0</v>
      </c>
      <c r="J27" s="78" t="n">
        <f aca="false">IF(C27="","",SUMPRODUCT(('แผนงาน Schedule'!$B$7:$B$66=C27)*'แผนงาน Schedule'!$F$7:$F$66*'แผนงาน Schedule'!$O$7:$O$66))</f>
        <v>0</v>
      </c>
    </row>
    <row r="28" customFormat="false" ht="15" hidden="false" customHeight="false" outlineLevel="0" collapsed="false">
      <c r="B28" s="76" t="str">
        <f aca="false">IF('ตั้งค่า Setup'!$C$31="","",6)</f>
        <v/>
      </c>
      <c r="C28" s="77" t="str">
        <f aca="false">IF('ตั้งค่า Setup'!$C$31="","",'ตั้งค่า Setup'!$C$31)</f>
        <v/>
      </c>
      <c r="D28" s="78" t="str">
        <f aca="false">IF(C28="","",SUMIF('แผนงาน Schedule'!$B$7:$B$66,C28,'แผนงาน Schedule'!$F$7:$F$66))</f>
        <v/>
      </c>
      <c r="E28" s="78" t="str">
        <f aca="false">IF(OR(C28="",N(D28)=0),"",I28/D28)</f>
        <v/>
      </c>
      <c r="F28" s="78" t="str">
        <f aca="false">IF(OR(C28="",N(D28)=0),"",J28/D28)</f>
        <v/>
      </c>
      <c r="G28" s="79" t="str">
        <f aca="false">IF(E28="","",F28-E28)</f>
        <v/>
      </c>
      <c r="H28" s="80" t="str">
        <f aca="false">IF(OR(E28="",N(E28)=0),"",F28/E28)</f>
        <v/>
      </c>
      <c r="I28" s="78" t="str">
        <f aca="false">IF(C28="","",SUMPRODUCT(('แผนงาน Schedule'!$B$7:$B$66=C28)*'แผนงาน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28" s="78" t="str">
        <f aca="false">IF(C28="","",SUMPRODUCT(('แผนงาน Schedule'!$B$7:$B$66=C28)*'แผนงาน Schedule'!$F$7:$F$66*'แผนงาน Schedule'!$O$7:$O$66))</f>
        <v/>
      </c>
    </row>
    <row r="29" customFormat="false" ht="15" hidden="false" customHeight="false" outlineLevel="0" collapsed="false">
      <c r="B29" s="76" t="str">
        <f aca="false">IF('ตั้งค่า Setup'!$C$32="","",7)</f>
        <v/>
      </c>
      <c r="C29" s="77" t="str">
        <f aca="false">IF('ตั้งค่า Setup'!$C$32="","",'ตั้งค่า Setup'!$C$32)</f>
        <v/>
      </c>
      <c r="D29" s="78" t="str">
        <f aca="false">IF(C29="","",SUMIF('แผนงาน Schedule'!$B$7:$B$66,C29,'แผนงาน Schedule'!$F$7:$F$66))</f>
        <v/>
      </c>
      <c r="E29" s="78" t="str">
        <f aca="false">IF(OR(C29="",N(D29)=0),"",I29/D29)</f>
        <v/>
      </c>
      <c r="F29" s="78" t="str">
        <f aca="false">IF(OR(C29="",N(D29)=0),"",J29/D29)</f>
        <v/>
      </c>
      <c r="G29" s="79" t="str">
        <f aca="false">IF(E29="","",F29-E29)</f>
        <v/>
      </c>
      <c r="H29" s="80" t="str">
        <f aca="false">IF(OR(E29="",N(E29)=0),"",F29/E29)</f>
        <v/>
      </c>
      <c r="I29" s="78" t="str">
        <f aca="false">IF(C29="","",SUMPRODUCT(('แผนงาน Schedule'!$B$7:$B$66=C29)*'แผนงาน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29" s="78" t="str">
        <f aca="false">IF(C29="","",SUMPRODUCT(('แผนงาน Schedule'!$B$7:$B$66=C29)*'แผนงาน Schedule'!$F$7:$F$66*'แผนงาน Schedule'!$O$7:$O$66))</f>
        <v/>
      </c>
    </row>
    <row r="30" customFormat="false" ht="15" hidden="false" customHeight="false" outlineLevel="0" collapsed="false">
      <c r="B30" s="76" t="str">
        <f aca="false">IF('ตั้งค่า Setup'!$C$33="","",8)</f>
        <v/>
      </c>
      <c r="C30" s="77" t="str">
        <f aca="false">IF('ตั้งค่า Setup'!$C$33="","",'ตั้งค่า Setup'!$C$33)</f>
        <v/>
      </c>
      <c r="D30" s="78" t="str">
        <f aca="false">IF(C30="","",SUMIF('แผนงาน Schedule'!$B$7:$B$66,C30,'แผนงาน Schedule'!$F$7:$F$66))</f>
        <v/>
      </c>
      <c r="E30" s="78" t="str">
        <f aca="false">IF(OR(C30="",N(D30)=0),"",I30/D30)</f>
        <v/>
      </c>
      <c r="F30" s="78" t="str">
        <f aca="false">IF(OR(C30="",N(D30)=0),"",J30/D30)</f>
        <v/>
      </c>
      <c r="G30" s="79" t="str">
        <f aca="false">IF(E30="","",F30-E30)</f>
        <v/>
      </c>
      <c r="H30" s="80" t="str">
        <f aca="false">IF(OR(E30="",N(E30)=0),"",F30/E30)</f>
        <v/>
      </c>
      <c r="I30" s="78" t="str">
        <f aca="false">IF(C30="","",SUMPRODUCT(('แผนงาน Schedule'!$B$7:$B$66=C30)*'แผนงาน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30" s="78" t="str">
        <f aca="false">IF(C30="","",SUMPRODUCT(('แผนงาน Schedule'!$B$7:$B$66=C30)*'แผนงาน Schedule'!$F$7:$F$66*'แผนงาน Schedule'!$O$7:$O$66))</f>
        <v/>
      </c>
    </row>
    <row r="31" customFormat="false" ht="15" hidden="false" customHeight="false" outlineLevel="0" collapsed="false">
      <c r="B31" s="76" t="str">
        <f aca="false">IF('ตั้งค่า Setup'!$C$34="","",9)</f>
        <v/>
      </c>
      <c r="C31" s="77" t="str">
        <f aca="false">IF('ตั้งค่า Setup'!$C$34="","",'ตั้งค่า Setup'!$C$34)</f>
        <v/>
      </c>
      <c r="D31" s="78" t="str">
        <f aca="false">IF(C31="","",SUMIF('แผนงาน Schedule'!$B$7:$B$66,C31,'แผนงาน Schedule'!$F$7:$F$66))</f>
        <v/>
      </c>
      <c r="E31" s="78" t="str">
        <f aca="false">IF(OR(C31="",N(D31)=0),"",I31/D31)</f>
        <v/>
      </c>
      <c r="F31" s="78" t="str">
        <f aca="false">IF(OR(C31="",N(D31)=0),"",J31/D31)</f>
        <v/>
      </c>
      <c r="G31" s="79" t="str">
        <f aca="false">IF(E31="","",F31-E31)</f>
        <v/>
      </c>
      <c r="H31" s="80" t="str">
        <f aca="false">IF(OR(E31="",N(E31)=0),"",F31/E31)</f>
        <v/>
      </c>
      <c r="I31" s="78" t="str">
        <f aca="false">IF(C31="","",SUMPRODUCT(('แผนงาน Schedule'!$B$7:$B$66=C31)*'แผนงาน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31" s="78" t="str">
        <f aca="false">IF(C31="","",SUMPRODUCT(('แผนงาน Schedule'!$B$7:$B$66=C31)*'แผนงาน Schedule'!$F$7:$F$66*'แผนงาน Schedule'!$O$7:$O$66))</f>
        <v/>
      </c>
    </row>
    <row r="32" customFormat="false" ht="15" hidden="false" customHeight="true" outlineLevel="0" collapsed="false">
      <c r="B32" s="76" t="str">
        <f aca="false">IF('ตั้งค่า Setup'!$C$35="","",10)</f>
        <v/>
      </c>
      <c r="C32" s="77" t="str">
        <f aca="false">IF('ตั้งค่า Setup'!$C$35="","",'ตั้งค่า Setup'!$C$35)</f>
        <v/>
      </c>
      <c r="D32" s="78" t="str">
        <f aca="false">IF(C32="","",SUMIF('แผนงาน Schedule'!$B$7:$B$66,C32,'แผนงาน Schedule'!$F$7:$F$66))</f>
        <v/>
      </c>
      <c r="E32" s="78" t="str">
        <f aca="false">IF(OR(C32="",N(D32)=0),"",I32/D32)</f>
        <v/>
      </c>
      <c r="F32" s="78" t="str">
        <f aca="false">IF(OR(C32="",N(D32)=0),"",J32/D32)</f>
        <v/>
      </c>
      <c r="G32" s="79" t="str">
        <f aca="false">IF(E32="","",F32-E32)</f>
        <v/>
      </c>
      <c r="H32" s="80" t="str">
        <f aca="false">IF(OR(E32="",N(E32)=0),"",F32/E32)</f>
        <v/>
      </c>
      <c r="I32" s="78" t="str">
        <f aca="false">IF(C32="","",SUMPRODUCT(('แผนงาน Schedule'!$B$7:$B$66=C32)*'แผนงาน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32" s="78" t="str">
        <f aca="false">IF(C32="","",SUMPRODUCT(('แผนงาน Schedule'!$B$7:$B$66=C32)*'แผนงาน Schedule'!$F$7:$F$66*'แผนงาน Schedule'!$O$7:$O$66))</f>
        <v/>
      </c>
    </row>
    <row r="33" customFormat="false" ht="15" hidden="false" customHeight="true" outlineLevel="0" collapsed="false">
      <c r="B33" s="76" t="str">
        <f aca="false">IF('ตั้งค่า Setup'!$C$36="","",11)</f>
        <v/>
      </c>
      <c r="C33" s="77" t="str">
        <f aca="false">IF('ตั้งค่า Setup'!$C$36="","",'ตั้งค่า Setup'!$C$36)</f>
        <v/>
      </c>
      <c r="D33" s="78" t="str">
        <f aca="false">IF(C33="","",SUMIF('แผนงาน Schedule'!$B$7:$B$66,C33,'แผนงาน Schedule'!$F$7:$F$66))</f>
        <v/>
      </c>
      <c r="E33" s="78" t="str">
        <f aca="false">IF(OR(C33="",N(D33)=0),"",I33/D33)</f>
        <v/>
      </c>
      <c r="F33" s="78" t="str">
        <f aca="false">IF(OR(C33="",N(D33)=0),"",J33/D33)</f>
        <v/>
      </c>
      <c r="G33" s="79" t="str">
        <f aca="false">IF(E33="","",F33-E33)</f>
        <v/>
      </c>
      <c r="H33" s="80" t="str">
        <f aca="false">IF(OR(E33="",N(E33)=0),"",F33/E33)</f>
        <v/>
      </c>
      <c r="I33" s="78" t="str">
        <f aca="false">IF(C33="","",SUMPRODUCT(('แผนงาน Schedule'!$B$7:$B$66=C33)*'แผนงาน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33" s="78" t="str">
        <f aca="false">IF(C33="","",SUMPRODUCT(('แผนงาน Schedule'!$B$7:$B$66=C33)*'แผนงาน Schedule'!$F$7:$F$66*'แผนงาน Schedule'!$O$7:$O$66))</f>
        <v/>
      </c>
    </row>
    <row r="34" customFormat="false" ht="15" hidden="false" customHeight="true" outlineLevel="0" collapsed="false">
      <c r="B34" s="76" t="str">
        <f aca="false">IF('ตั้งค่า Setup'!$C$37="","",12)</f>
        <v/>
      </c>
      <c r="C34" s="77" t="str">
        <f aca="false">IF('ตั้งค่า Setup'!$C$37="","",'ตั้งค่า Setup'!$C$37)</f>
        <v/>
      </c>
      <c r="D34" s="78" t="str">
        <f aca="false">IF(C34="","",SUMIF('แผนงาน Schedule'!$B$7:$B$66,C34,'แผนงาน Schedule'!$F$7:$F$66))</f>
        <v/>
      </c>
      <c r="E34" s="78" t="str">
        <f aca="false">IF(OR(C34="",N(D34)=0),"",I34/D34)</f>
        <v/>
      </c>
      <c r="F34" s="78" t="str">
        <f aca="false">IF(OR(C34="",N(D34)=0),"",J34/D34)</f>
        <v/>
      </c>
      <c r="G34" s="79" t="str">
        <f aca="false">IF(E34="","",F34-E34)</f>
        <v/>
      </c>
      <c r="H34" s="80" t="str">
        <f aca="false">IF(OR(E34="",N(E34)=0),"",F34/E34)</f>
        <v/>
      </c>
      <c r="I34" s="78" t="str">
        <f aca="false">IF(C34="","",SUMPRODUCT(('แผนงาน Schedule'!$B$7:$B$66=C34)*'แผนงาน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34" s="78" t="str">
        <f aca="false">IF(C34="","",SUMPRODUCT(('แผนงาน Schedule'!$B$7:$B$66=C34)*'แผนงาน Schedule'!$F$7:$F$66*'แผนงาน Schedule'!$O$7:$O$66))</f>
        <v/>
      </c>
    </row>
    <row r="35" customFormat="false" ht="15" hidden="false" customHeight="true" outlineLevel="0" collapsed="false">
      <c r="B35" s="76" t="str">
        <f aca="false">IF('ตั้งค่า Setup'!$C$38="","",13)</f>
        <v/>
      </c>
      <c r="C35" s="77" t="str">
        <f aca="false">IF('ตั้งค่า Setup'!$C$38="","",'ตั้งค่า Setup'!$C$38)</f>
        <v/>
      </c>
      <c r="D35" s="78" t="str">
        <f aca="false">IF(C35="","",SUMIF('แผนงาน Schedule'!$B$7:$B$66,C35,'แผนงาน Schedule'!$F$7:$F$66))</f>
        <v/>
      </c>
      <c r="E35" s="78" t="str">
        <f aca="false">IF(OR(C35="",N(D35)=0),"",I35/D35)</f>
        <v/>
      </c>
      <c r="F35" s="78" t="str">
        <f aca="false">IF(OR(C35="",N(D35)=0),"",J35/D35)</f>
        <v/>
      </c>
      <c r="G35" s="79" t="str">
        <f aca="false">IF(E35="","",F35-E35)</f>
        <v/>
      </c>
      <c r="H35" s="80" t="str">
        <f aca="false">IF(OR(E35="",N(E35)=0),"",F35/E35)</f>
        <v/>
      </c>
      <c r="I35" s="78" t="str">
        <f aca="false">IF(C35="","",SUMPRODUCT(('แผนงาน Schedule'!$B$7:$B$66=C35)*'แผนงาน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35" s="78" t="str">
        <f aca="false">IF(C35="","",SUMPRODUCT(('แผนงาน Schedule'!$B$7:$B$66=C35)*'แผนงาน Schedule'!$F$7:$F$66*'แผนงาน Schedule'!$O$7:$O$66))</f>
        <v/>
      </c>
    </row>
    <row r="36" customFormat="false" ht="15" hidden="false" customHeight="true" outlineLevel="0" collapsed="false">
      <c r="B36" s="76" t="str">
        <f aca="false">IF('ตั้งค่า Setup'!$C$39="","",14)</f>
        <v/>
      </c>
      <c r="C36" s="77" t="str">
        <f aca="false">IF('ตั้งค่า Setup'!$C$39="","",'ตั้งค่า Setup'!$C$39)</f>
        <v/>
      </c>
      <c r="D36" s="78" t="str">
        <f aca="false">IF(C36="","",SUMIF('แผนงาน Schedule'!$B$7:$B$66,C36,'แผนงาน Schedule'!$F$7:$F$66))</f>
        <v/>
      </c>
      <c r="E36" s="78" t="str">
        <f aca="false">IF(OR(C36="",N(D36)=0),"",I36/D36)</f>
        <v/>
      </c>
      <c r="F36" s="78" t="str">
        <f aca="false">IF(OR(C36="",N(D36)=0),"",J36/D36)</f>
        <v/>
      </c>
      <c r="G36" s="79" t="str">
        <f aca="false">IF(E36="","",F36-E36)</f>
        <v/>
      </c>
      <c r="H36" s="80" t="str">
        <f aca="false">IF(OR(E36="",N(E36)=0),"",F36/E36)</f>
        <v/>
      </c>
      <c r="I36" s="78" t="str">
        <f aca="false">IF(C36="","",SUMPRODUCT(('แผนงาน Schedule'!$B$7:$B$66=C36)*'แผนงาน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36" s="78" t="str">
        <f aca="false">IF(C36="","",SUMPRODUCT(('แผนงาน Schedule'!$B$7:$B$66=C36)*'แผนงาน Schedule'!$F$7:$F$66*'แผนงาน Schedule'!$O$7:$O$66))</f>
        <v/>
      </c>
    </row>
    <row r="37" customFormat="false" ht="15" hidden="false" customHeight="true" outlineLevel="0" collapsed="false">
      <c r="B37" s="76" t="str">
        <f aca="false">IF('ตั้งค่า Setup'!$C$40="","",15)</f>
        <v/>
      </c>
      <c r="C37" s="77" t="str">
        <f aca="false">IF('ตั้งค่า Setup'!$C$40="","",'ตั้งค่า Setup'!$C$40)</f>
        <v/>
      </c>
      <c r="D37" s="78" t="str">
        <f aca="false">IF(C37="","",SUMIF('แผนงาน Schedule'!$B$7:$B$66,C37,'แผนงาน Schedule'!$F$7:$F$66))</f>
        <v/>
      </c>
      <c r="E37" s="78" t="str">
        <f aca="false">IF(OR(C37="",N(D37)=0),"",I37/D37)</f>
        <v/>
      </c>
      <c r="F37" s="78" t="str">
        <f aca="false">IF(OR(C37="",N(D37)=0),"",J37/D37)</f>
        <v/>
      </c>
      <c r="G37" s="79" t="str">
        <f aca="false">IF(E37="","",F37-E37)</f>
        <v/>
      </c>
      <c r="H37" s="80" t="str">
        <f aca="false">IF(OR(E37="",N(E37)=0),"",F37/E37)</f>
        <v/>
      </c>
      <c r="I37" s="78" t="str">
        <f aca="false">IF(C37="","",SUMPRODUCT(('แผนงาน Schedule'!$B$7:$B$66=C37)*'แผนงาน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37" s="78" t="str">
        <f aca="false">IF(C37="","",SUMPRODUCT(('แผนงาน Schedule'!$B$7:$B$66=C37)*'แผนงาน Schedule'!$F$7:$F$66*'แผนงาน Schedule'!$O$7:$O$66))</f>
        <v/>
      </c>
    </row>
    <row r="38" customFormat="false" ht="15" hidden="false" customHeight="true" outlineLevel="0" collapsed="false">
      <c r="B38" s="76" t="str">
        <f aca="false">IF('ตั้งค่า Setup'!$C$41="","",16)</f>
        <v/>
      </c>
      <c r="C38" s="77" t="str">
        <f aca="false">IF('ตั้งค่า Setup'!$C$41="","",'ตั้งค่า Setup'!$C$41)</f>
        <v/>
      </c>
      <c r="D38" s="78" t="str">
        <f aca="false">IF(C38="","",SUMIF('แผนงาน Schedule'!$B$7:$B$66,C38,'แผนงาน Schedule'!$F$7:$F$66))</f>
        <v/>
      </c>
      <c r="E38" s="78" t="str">
        <f aca="false">IF(OR(C38="",N(D38)=0),"",I38/D38)</f>
        <v/>
      </c>
      <c r="F38" s="78" t="str">
        <f aca="false">IF(OR(C38="",N(D38)=0),"",J38/D38)</f>
        <v/>
      </c>
      <c r="G38" s="79" t="str">
        <f aca="false">IF(E38="","",F38-E38)</f>
        <v/>
      </c>
      <c r="H38" s="80" t="str">
        <f aca="false">IF(OR(E38="",N(E38)=0),"",F38/E38)</f>
        <v/>
      </c>
      <c r="I38" s="78" t="str">
        <f aca="false">IF(C38="","",SUMPRODUCT(('แผนงาน Schedule'!$B$7:$B$66=C38)*'แผนงาน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38" s="78" t="str">
        <f aca="false">IF(C38="","",SUMPRODUCT(('แผนงาน Schedule'!$B$7:$B$66=C38)*'แผนงาน Schedule'!$F$7:$F$66*'แผนงาน Schedule'!$O$7:$O$66))</f>
        <v/>
      </c>
    </row>
    <row r="39" customFormat="false" ht="15" hidden="false" customHeight="true" outlineLevel="0" collapsed="false">
      <c r="B39" s="76" t="str">
        <f aca="false">IF('ตั้งค่า Setup'!$C$42="","",17)</f>
        <v/>
      </c>
      <c r="C39" s="77" t="str">
        <f aca="false">IF('ตั้งค่า Setup'!$C$42="","",'ตั้งค่า Setup'!$C$42)</f>
        <v/>
      </c>
      <c r="D39" s="78" t="str">
        <f aca="false">IF(C39="","",SUMIF('แผนงาน Schedule'!$B$7:$B$66,C39,'แผนงาน Schedule'!$F$7:$F$66))</f>
        <v/>
      </c>
      <c r="E39" s="78" t="str">
        <f aca="false">IF(OR(C39="",N(D39)=0),"",I39/D39)</f>
        <v/>
      </c>
      <c r="F39" s="78" t="str">
        <f aca="false">IF(OR(C39="",N(D39)=0),"",J39/D39)</f>
        <v/>
      </c>
      <c r="G39" s="79" t="str">
        <f aca="false">IF(E39="","",F39-E39)</f>
        <v/>
      </c>
      <c r="H39" s="80" t="str">
        <f aca="false">IF(OR(E39="",N(E39)=0),"",F39/E39)</f>
        <v/>
      </c>
      <c r="I39" s="78" t="str">
        <f aca="false">IF(C39="","",SUMPRODUCT(('แผนงาน Schedule'!$B$7:$B$66=C39)*'แผนงาน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39" s="78" t="str">
        <f aca="false">IF(C39="","",SUMPRODUCT(('แผนงาน Schedule'!$B$7:$B$66=C39)*'แผนงาน Schedule'!$F$7:$F$66*'แผนงาน Schedule'!$O$7:$O$66))</f>
        <v/>
      </c>
    </row>
    <row r="40" customFormat="false" ht="15" hidden="false" customHeight="true" outlineLevel="0" collapsed="false">
      <c r="B40" s="76" t="str">
        <f aca="false">IF('ตั้งค่า Setup'!$C$43="","",18)</f>
        <v/>
      </c>
      <c r="C40" s="77" t="str">
        <f aca="false">IF('ตั้งค่า Setup'!$C$43="","",'ตั้งค่า Setup'!$C$43)</f>
        <v/>
      </c>
      <c r="D40" s="78" t="str">
        <f aca="false">IF(C40="","",SUMIF('แผนงาน Schedule'!$B$7:$B$66,C40,'แผนงาน Schedule'!$F$7:$F$66))</f>
        <v/>
      </c>
      <c r="E40" s="78" t="str">
        <f aca="false">IF(OR(C40="",N(D40)=0),"",I40/D40)</f>
        <v/>
      </c>
      <c r="F40" s="78" t="str">
        <f aca="false">IF(OR(C40="",N(D40)=0),"",J40/D40)</f>
        <v/>
      </c>
      <c r="G40" s="79" t="str">
        <f aca="false">IF(E40="","",F40-E40)</f>
        <v/>
      </c>
      <c r="H40" s="80" t="str">
        <f aca="false">IF(OR(E40="",N(E40)=0),"",F40/E40)</f>
        <v/>
      </c>
      <c r="I40" s="78" t="str">
        <f aca="false">IF(C40="","",SUMPRODUCT(('แผนงาน Schedule'!$B$7:$B$66=C40)*'แผนงาน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40" s="78" t="str">
        <f aca="false">IF(C40="","",SUMPRODUCT(('แผนงาน Schedule'!$B$7:$B$66=C40)*'แผนงาน Schedule'!$F$7:$F$66*'แผนงาน Schedule'!$O$7:$O$66))</f>
        <v/>
      </c>
    </row>
    <row r="41" customFormat="false" ht="15" hidden="false" customHeight="true" outlineLevel="0" collapsed="false">
      <c r="B41" s="76" t="str">
        <f aca="false">IF('ตั้งค่า Setup'!$C$44="","",19)</f>
        <v/>
      </c>
      <c r="C41" s="77" t="str">
        <f aca="false">IF('ตั้งค่า Setup'!$C$44="","",'ตั้งค่า Setup'!$C$44)</f>
        <v/>
      </c>
      <c r="D41" s="78" t="str">
        <f aca="false">IF(C41="","",SUMIF('แผนงาน Schedule'!$B$7:$B$66,C41,'แผนงาน Schedule'!$F$7:$F$66))</f>
        <v/>
      </c>
      <c r="E41" s="78" t="str">
        <f aca="false">IF(OR(C41="",N(D41)=0),"",I41/D41)</f>
        <v/>
      </c>
      <c r="F41" s="78" t="str">
        <f aca="false">IF(OR(C41="",N(D41)=0),"",J41/D41)</f>
        <v/>
      </c>
      <c r="G41" s="79" t="str">
        <f aca="false">IF(E41="","",F41-E41)</f>
        <v/>
      </c>
      <c r="H41" s="80" t="str">
        <f aca="false">IF(OR(E41="",N(E41)=0),"",F41/E41)</f>
        <v/>
      </c>
      <c r="I41" s="78" t="str">
        <f aca="false">IF(C41="","",SUMPRODUCT(('แผนงาน Schedule'!$B$7:$B$66=C41)*'แผนงาน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41" s="78" t="str">
        <f aca="false">IF(C41="","",SUMPRODUCT(('แผนงาน Schedule'!$B$7:$B$66=C41)*'แผนงาน Schedule'!$F$7:$F$66*'แผนงาน Schedule'!$O$7:$O$66))</f>
        <v/>
      </c>
    </row>
    <row r="42" customFormat="false" ht="15" hidden="false" customHeight="true" outlineLevel="0" collapsed="false">
      <c r="B42" s="76" t="str">
        <f aca="false">IF('ตั้งค่า Setup'!$C$45="","",20)</f>
        <v/>
      </c>
      <c r="C42" s="77" t="str">
        <f aca="false">IF('ตั้งค่า Setup'!$C$45="","",'ตั้งค่า Setup'!$C$45)</f>
        <v/>
      </c>
      <c r="D42" s="78" t="str">
        <f aca="false">IF(C42="","",SUMIF('แผนงาน Schedule'!$B$7:$B$66,C42,'แผนงาน Schedule'!$F$7:$F$66))</f>
        <v/>
      </c>
      <c r="E42" s="78" t="str">
        <f aca="false">IF(OR(C42="",N(D42)=0),"",I42/D42)</f>
        <v/>
      </c>
      <c r="F42" s="78" t="str">
        <f aca="false">IF(OR(C42="",N(D42)=0),"",J42/D42)</f>
        <v/>
      </c>
      <c r="G42" s="79" t="str">
        <f aca="false">IF(E42="","",F42-E42)</f>
        <v/>
      </c>
      <c r="H42" s="80" t="str">
        <f aca="false">IF(OR(E42="",N(E42)=0),"",F42/E42)</f>
        <v/>
      </c>
      <c r="I42" s="78" t="str">
        <f aca="false">IF(C42="","",SUMPRODUCT(('แผนงาน Schedule'!$B$7:$B$66=C42)*'แผนงาน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42" s="78" t="str">
        <f aca="false">IF(C42="","",SUMPRODUCT(('แผนงาน Schedule'!$B$7:$B$66=C42)*'แผนงาน Schedule'!$F$7:$F$66*'แผนงาน Schedule'!$O$7:$O$66))</f>
        <v/>
      </c>
    </row>
    <row r="43" customFormat="false" ht="15" hidden="false" customHeight="true" outlineLevel="0" collapsed="false">
      <c r="B43" s="76" t="str">
        <f aca="false">IF('ตั้งค่า Setup'!$C$46="","",21)</f>
        <v/>
      </c>
      <c r="C43" s="77" t="str">
        <f aca="false">IF('ตั้งค่า Setup'!$C$46="","",'ตั้งค่า Setup'!$C$46)</f>
        <v/>
      </c>
      <c r="D43" s="78" t="str">
        <f aca="false">IF(C43="","",SUMIF('แผนงาน Schedule'!$B$7:$B$66,C43,'แผนงาน Schedule'!$F$7:$F$66))</f>
        <v/>
      </c>
      <c r="E43" s="78" t="str">
        <f aca="false">IF(OR(C43="",N(D43)=0),"",I43/D43)</f>
        <v/>
      </c>
      <c r="F43" s="78" t="str">
        <f aca="false">IF(OR(C43="",N(D43)=0),"",J43/D43)</f>
        <v/>
      </c>
      <c r="G43" s="79" t="str">
        <f aca="false">IF(E43="","",F43-E43)</f>
        <v/>
      </c>
      <c r="H43" s="80" t="str">
        <f aca="false">IF(OR(E43="",N(E43)=0),"",F43/E43)</f>
        <v/>
      </c>
      <c r="I43" s="78" t="str">
        <f aca="false">IF(C43="","",SUMPRODUCT(('แผนงาน Schedule'!$B$7:$B$66=C43)*'แผนงาน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43" s="78" t="str">
        <f aca="false">IF(C43="","",SUMPRODUCT(('แผนงาน Schedule'!$B$7:$B$66=C43)*'แผนงาน Schedule'!$F$7:$F$66*'แผนงาน Schedule'!$O$7:$O$66))</f>
        <v/>
      </c>
    </row>
    <row r="44" customFormat="false" ht="15" hidden="false" customHeight="true" outlineLevel="0" collapsed="false">
      <c r="B44" s="76" t="str">
        <f aca="false">IF('ตั้งค่า Setup'!$C$47="","",22)</f>
        <v/>
      </c>
      <c r="C44" s="77" t="str">
        <f aca="false">IF('ตั้งค่า Setup'!$C$47="","",'ตั้งค่า Setup'!$C$47)</f>
        <v/>
      </c>
      <c r="D44" s="78" t="str">
        <f aca="false">IF(C44="","",SUMIF('แผนงาน Schedule'!$B$7:$B$66,C44,'แผนงาน Schedule'!$F$7:$F$66))</f>
        <v/>
      </c>
      <c r="E44" s="78" t="str">
        <f aca="false">IF(OR(C44="",N(D44)=0),"",I44/D44)</f>
        <v/>
      </c>
      <c r="F44" s="78" t="str">
        <f aca="false">IF(OR(C44="",N(D44)=0),"",J44/D44)</f>
        <v/>
      </c>
      <c r="G44" s="79" t="str">
        <f aca="false">IF(E44="","",F44-E44)</f>
        <v/>
      </c>
      <c r="H44" s="80" t="str">
        <f aca="false">IF(OR(E44="",N(E44)=0),"",F44/E44)</f>
        <v/>
      </c>
      <c r="I44" s="78" t="str">
        <f aca="false">IF(C44="","",SUMPRODUCT(('แผนงาน Schedule'!$B$7:$B$66=C44)*'แผนงาน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44" s="78" t="str">
        <f aca="false">IF(C44="","",SUMPRODUCT(('แผนงาน Schedule'!$B$7:$B$66=C44)*'แผนงาน Schedule'!$F$7:$F$66*'แผนงาน Schedule'!$O$7:$O$66))</f>
        <v/>
      </c>
    </row>
    <row r="45" customFormat="false" ht="15" hidden="false" customHeight="true" outlineLevel="0" collapsed="false">
      <c r="B45" s="76" t="str">
        <f aca="false">IF('ตั้งค่า Setup'!$C$48="","",23)</f>
        <v/>
      </c>
      <c r="C45" s="77" t="str">
        <f aca="false">IF('ตั้งค่า Setup'!$C$48="","",'ตั้งค่า Setup'!$C$48)</f>
        <v/>
      </c>
      <c r="D45" s="78" t="str">
        <f aca="false">IF(C45="","",SUMIF('แผนงาน Schedule'!$B$7:$B$66,C45,'แผนงาน Schedule'!$F$7:$F$66))</f>
        <v/>
      </c>
      <c r="E45" s="78" t="str">
        <f aca="false">IF(OR(C45="",N(D45)=0),"",I45/D45)</f>
        <v/>
      </c>
      <c r="F45" s="78" t="str">
        <f aca="false">IF(OR(C45="",N(D45)=0),"",J45/D45)</f>
        <v/>
      </c>
      <c r="G45" s="79" t="str">
        <f aca="false">IF(E45="","",F45-E45)</f>
        <v/>
      </c>
      <c r="H45" s="80" t="str">
        <f aca="false">IF(OR(E45="",N(E45)=0),"",F45/E45)</f>
        <v/>
      </c>
      <c r="I45" s="78" t="str">
        <f aca="false">IF(C45="","",SUMPRODUCT(('แผนงาน Schedule'!$B$7:$B$66=C45)*'แผนงาน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45" s="78" t="str">
        <f aca="false">IF(C45="","",SUMPRODUCT(('แผนงาน Schedule'!$B$7:$B$66=C45)*'แผนงาน Schedule'!$F$7:$F$66*'แผนงาน Schedule'!$O$7:$O$66))</f>
        <v/>
      </c>
    </row>
    <row r="46" customFormat="false" ht="15" hidden="false" customHeight="true" outlineLevel="0" collapsed="false">
      <c r="B46" s="76" t="str">
        <f aca="false">IF('ตั้งค่า Setup'!$C$49="","",24)</f>
        <v/>
      </c>
      <c r="C46" s="77" t="str">
        <f aca="false">IF('ตั้งค่า Setup'!$C$49="","",'ตั้งค่า Setup'!$C$49)</f>
        <v/>
      </c>
      <c r="D46" s="78" t="str">
        <f aca="false">IF(C46="","",SUMIF('แผนงาน Schedule'!$B$7:$B$66,C46,'แผนงาน Schedule'!$F$7:$F$66))</f>
        <v/>
      </c>
      <c r="E46" s="78" t="str">
        <f aca="false">IF(OR(C46="",N(D46)=0),"",I46/D46)</f>
        <v/>
      </c>
      <c r="F46" s="78" t="str">
        <f aca="false">IF(OR(C46="",N(D46)=0),"",J46/D46)</f>
        <v/>
      </c>
      <c r="G46" s="79" t="str">
        <f aca="false">IF(E46="","",F46-E46)</f>
        <v/>
      </c>
      <c r="H46" s="80" t="str">
        <f aca="false">IF(OR(E46="",N(E46)=0),"",F46/E46)</f>
        <v/>
      </c>
      <c r="I46" s="78" t="str">
        <f aca="false">IF(C46="","",SUMPRODUCT(('แผนงาน Schedule'!$B$7:$B$66=C46)*'แผนงาน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46" s="78" t="str">
        <f aca="false">IF(C46="","",SUMPRODUCT(('แผนงาน Schedule'!$B$7:$B$66=C46)*'แผนงาน Schedule'!$F$7:$F$66*'แผนงาน Schedule'!$O$7:$O$66))</f>
        <v/>
      </c>
    </row>
    <row r="47" customFormat="false" ht="15" hidden="false" customHeight="true" outlineLevel="0" collapsed="false">
      <c r="B47" s="76" t="str">
        <f aca="false">IF('ตั้งค่า Setup'!$C$50="","",25)</f>
        <v/>
      </c>
      <c r="C47" s="77" t="str">
        <f aca="false">IF('ตั้งค่า Setup'!$C$50="","",'ตั้งค่า Setup'!$C$50)</f>
        <v/>
      </c>
      <c r="D47" s="78" t="str">
        <f aca="false">IF(C47="","",SUMIF('แผนงาน Schedule'!$B$7:$B$66,C47,'แผนงาน Schedule'!$F$7:$F$66))</f>
        <v/>
      </c>
      <c r="E47" s="78" t="str">
        <f aca="false">IF(OR(C47="",N(D47)=0),"",I47/D47)</f>
        <v/>
      </c>
      <c r="F47" s="78" t="str">
        <f aca="false">IF(OR(C47="",N(D47)=0),"",J47/D47)</f>
        <v/>
      </c>
      <c r="G47" s="79" t="str">
        <f aca="false">IF(E47="","",F47-E47)</f>
        <v/>
      </c>
      <c r="H47" s="80" t="str">
        <f aca="false">IF(OR(E47="",N(E47)=0),"",F47/E47)</f>
        <v/>
      </c>
      <c r="I47" s="78" t="str">
        <f aca="false">IF(C47="","",SUMPRODUCT(('แผนงาน Schedule'!$B$7:$B$66=C47)*'แผนงาน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47" s="78" t="str">
        <f aca="false">IF(C47="","",SUMPRODUCT(('แผนงาน Schedule'!$B$7:$B$66=C47)*'แผนงาน Schedule'!$F$7:$F$66*'แผนงาน Schedule'!$O$7:$O$66))</f>
        <v/>
      </c>
    </row>
    <row r="48" customFormat="false" ht="15" hidden="false" customHeight="true" outlineLevel="0" collapsed="false">
      <c r="B48" s="76" t="str">
        <f aca="false">IF('ตั้งค่า Setup'!$C$51="","",26)</f>
        <v/>
      </c>
      <c r="C48" s="77" t="str">
        <f aca="false">IF('ตั้งค่า Setup'!$C$51="","",'ตั้งค่า Setup'!$C$51)</f>
        <v/>
      </c>
      <c r="D48" s="78" t="str">
        <f aca="false">IF(C48="","",SUMIF('แผนงาน Schedule'!$B$7:$B$66,C48,'แผนงาน Schedule'!$F$7:$F$66))</f>
        <v/>
      </c>
      <c r="E48" s="78" t="str">
        <f aca="false">IF(OR(C48="",N(D48)=0),"",I48/D48)</f>
        <v/>
      </c>
      <c r="F48" s="78" t="str">
        <f aca="false">IF(OR(C48="",N(D48)=0),"",J48/D48)</f>
        <v/>
      </c>
      <c r="G48" s="79" t="str">
        <f aca="false">IF(E48="","",F48-E48)</f>
        <v/>
      </c>
      <c r="H48" s="80" t="str">
        <f aca="false">IF(OR(E48="",N(E48)=0),"",F48/E48)</f>
        <v/>
      </c>
      <c r="I48" s="78" t="str">
        <f aca="false">IF(C48="","",SUMPRODUCT(('แผนงาน Schedule'!$B$7:$B$66=C48)*'แผนงาน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48" s="78" t="str">
        <f aca="false">IF(C48="","",SUMPRODUCT(('แผนงาน Schedule'!$B$7:$B$66=C48)*'แผนงาน Schedule'!$F$7:$F$66*'แผนงาน Schedule'!$O$7:$O$66))</f>
        <v/>
      </c>
    </row>
    <row r="49" customFormat="false" ht="15" hidden="false" customHeight="true" outlineLevel="0" collapsed="false">
      <c r="B49" s="76" t="str">
        <f aca="false">IF('ตั้งค่า Setup'!$C$52="","",27)</f>
        <v/>
      </c>
      <c r="C49" s="77" t="str">
        <f aca="false">IF('ตั้งค่า Setup'!$C$52="","",'ตั้งค่า Setup'!$C$52)</f>
        <v/>
      </c>
      <c r="D49" s="78" t="str">
        <f aca="false">IF(C49="","",SUMIF('แผนงาน Schedule'!$B$7:$B$66,C49,'แผนงาน Schedule'!$F$7:$F$66))</f>
        <v/>
      </c>
      <c r="E49" s="78" t="str">
        <f aca="false">IF(OR(C49="",N(D49)=0),"",I49/D49)</f>
        <v/>
      </c>
      <c r="F49" s="78" t="str">
        <f aca="false">IF(OR(C49="",N(D49)=0),"",J49/D49)</f>
        <v/>
      </c>
      <c r="G49" s="79" t="str">
        <f aca="false">IF(E49="","",F49-E49)</f>
        <v/>
      </c>
      <c r="H49" s="80" t="str">
        <f aca="false">IF(OR(E49="",N(E49)=0),"",F49/E49)</f>
        <v/>
      </c>
      <c r="I49" s="78" t="str">
        <f aca="false">IF(C49="","",SUMPRODUCT(('แผนงาน Schedule'!$B$7:$B$66=C49)*'แผนงาน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49" s="78" t="str">
        <f aca="false">IF(C49="","",SUMPRODUCT(('แผนงาน Schedule'!$B$7:$B$66=C49)*'แผนงาน Schedule'!$F$7:$F$66*'แผนงาน Schedule'!$O$7:$O$66))</f>
        <v/>
      </c>
    </row>
    <row r="50" customFormat="false" ht="15" hidden="false" customHeight="true" outlineLevel="0" collapsed="false">
      <c r="B50" s="76" t="str">
        <f aca="false">IF('ตั้งค่า Setup'!$C$53="","",28)</f>
        <v/>
      </c>
      <c r="C50" s="77" t="str">
        <f aca="false">IF('ตั้งค่า Setup'!$C$53="","",'ตั้งค่า Setup'!$C$53)</f>
        <v/>
      </c>
      <c r="D50" s="78" t="str">
        <f aca="false">IF(C50="","",SUMIF('แผนงาน Schedule'!$B$7:$B$66,C50,'แผนงาน Schedule'!$F$7:$F$66))</f>
        <v/>
      </c>
      <c r="E50" s="78" t="str">
        <f aca="false">IF(OR(C50="",N(D50)=0),"",I50/D50)</f>
        <v/>
      </c>
      <c r="F50" s="78" t="str">
        <f aca="false">IF(OR(C50="",N(D50)=0),"",J50/D50)</f>
        <v/>
      </c>
      <c r="G50" s="79" t="str">
        <f aca="false">IF(E50="","",F50-E50)</f>
        <v/>
      </c>
      <c r="H50" s="80" t="str">
        <f aca="false">IF(OR(E50="",N(E50)=0),"",F50/E50)</f>
        <v/>
      </c>
      <c r="I50" s="78" t="str">
        <f aca="false">IF(C50="","",SUMPRODUCT(('แผนงาน Schedule'!$B$7:$B$66=C50)*'แผนงาน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50" s="78" t="str">
        <f aca="false">IF(C50="","",SUMPRODUCT(('แผนงาน Schedule'!$B$7:$B$66=C50)*'แผนงาน Schedule'!$F$7:$F$66*'แผนงาน Schedule'!$O$7:$O$66))</f>
        <v/>
      </c>
    </row>
    <row r="51" customFormat="false" ht="15" hidden="false" customHeight="true" outlineLevel="0" collapsed="false">
      <c r="B51" s="76" t="str">
        <f aca="false">IF('ตั้งค่า Setup'!$C$54="","",29)</f>
        <v/>
      </c>
      <c r="C51" s="77" t="str">
        <f aca="false">IF('ตั้งค่า Setup'!$C$54="","",'ตั้งค่า Setup'!$C$54)</f>
        <v/>
      </c>
      <c r="D51" s="78" t="str">
        <f aca="false">IF(C51="","",SUMIF('แผนงาน Schedule'!$B$7:$B$66,C51,'แผนงาน Schedule'!$F$7:$F$66))</f>
        <v/>
      </c>
      <c r="E51" s="78" t="str">
        <f aca="false">IF(OR(C51="",N(D51)=0),"",I51/D51)</f>
        <v/>
      </c>
      <c r="F51" s="78" t="str">
        <f aca="false">IF(OR(C51="",N(D51)=0),"",J51/D51)</f>
        <v/>
      </c>
      <c r="G51" s="79" t="str">
        <f aca="false">IF(E51="","",F51-E51)</f>
        <v/>
      </c>
      <c r="H51" s="80" t="str">
        <f aca="false">IF(OR(E51="",N(E51)=0),"",F51/E51)</f>
        <v/>
      </c>
      <c r="I51" s="78" t="str">
        <f aca="false">IF(C51="","",SUMPRODUCT(('แผนงาน Schedule'!$B$7:$B$66=C51)*'แผนงาน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51" s="78" t="str">
        <f aca="false">IF(C51="","",SUMPRODUCT(('แผนงาน Schedule'!$B$7:$B$66=C51)*'แผนงาน Schedule'!$F$7:$F$66*'แผนงาน Schedule'!$O$7:$O$66))</f>
        <v/>
      </c>
    </row>
    <row r="52" customFormat="false" ht="15" hidden="false" customHeight="true" outlineLevel="0" collapsed="false">
      <c r="B52" s="76" t="str">
        <f aca="false">IF('ตั้งค่า Setup'!$C$55="","",30)</f>
        <v/>
      </c>
      <c r="C52" s="77" t="str">
        <f aca="false">IF('ตั้งค่า Setup'!$C$55="","",'ตั้งค่า Setup'!$C$55)</f>
        <v/>
      </c>
      <c r="D52" s="78" t="str">
        <f aca="false">IF(C52="","",SUMIF('แผนงาน Schedule'!$B$7:$B$66,C52,'แผนงาน Schedule'!$F$7:$F$66))</f>
        <v/>
      </c>
      <c r="E52" s="78" t="str">
        <f aca="false">IF(OR(C52="",N(D52)=0),"",I52/D52)</f>
        <v/>
      </c>
      <c r="F52" s="78" t="str">
        <f aca="false">IF(OR(C52="",N(D52)=0),"",J52/D52)</f>
        <v/>
      </c>
      <c r="G52" s="79" t="str">
        <f aca="false">IF(E52="","",F52-E52)</f>
        <v/>
      </c>
      <c r="H52" s="80" t="str">
        <f aca="false">IF(OR(E52="",N(E52)=0),"",F52/E52)</f>
        <v/>
      </c>
      <c r="I52" s="78" t="str">
        <f aca="false">IF(C52="","",SUMPRODUCT(('แผนงาน Schedule'!$B$7:$B$66=C52)*'แผนงาน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52" s="78" t="str">
        <f aca="false">IF(C52="","",SUMPRODUCT(('แผนงาน Schedule'!$B$7:$B$66=C52)*'แผนงาน Schedule'!$F$7:$F$66*'แผนงาน Schedule'!$O$7:$O$66))</f>
        <v/>
      </c>
    </row>
    <row r="53" customFormat="false" ht="15" hidden="false" customHeight="true" outlineLevel="0" collapsed="false">
      <c r="B53" s="76" t="str">
        <f aca="false">IF('ตั้งค่า Setup'!$C$56="","",31)</f>
        <v/>
      </c>
      <c r="C53" s="77" t="str">
        <f aca="false">IF('ตั้งค่า Setup'!$C$56="","",'ตั้งค่า Setup'!$C$56)</f>
        <v/>
      </c>
      <c r="D53" s="78" t="str">
        <f aca="false">IF(C53="","",SUMIF('แผนงาน Schedule'!$B$7:$B$66,C53,'แผนงาน Schedule'!$F$7:$F$66))</f>
        <v/>
      </c>
      <c r="E53" s="78" t="str">
        <f aca="false">IF(OR(C53="",N(D53)=0),"",I53/D53)</f>
        <v/>
      </c>
      <c r="F53" s="78" t="str">
        <f aca="false">IF(OR(C53="",N(D53)=0),"",J53/D53)</f>
        <v/>
      </c>
      <c r="G53" s="79" t="str">
        <f aca="false">IF(E53="","",F53-E53)</f>
        <v/>
      </c>
      <c r="H53" s="80" t="str">
        <f aca="false">IF(OR(E53="",N(E53)=0),"",F53/E53)</f>
        <v/>
      </c>
      <c r="I53" s="78" t="str">
        <f aca="false">IF(C53="","",SUMPRODUCT(('แผนงาน Schedule'!$B$7:$B$66=C53)*'แผนงาน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53" s="78" t="str">
        <f aca="false">IF(C53="","",SUMPRODUCT(('แผนงาน Schedule'!$B$7:$B$66=C53)*'แผนงาน Schedule'!$F$7:$F$66*'แผนงาน Schedule'!$O$7:$O$66))</f>
        <v/>
      </c>
    </row>
    <row r="54" customFormat="false" ht="15" hidden="false" customHeight="true" outlineLevel="0" collapsed="false">
      <c r="B54" s="76" t="str">
        <f aca="false">IF('ตั้งค่า Setup'!$C$57="","",32)</f>
        <v/>
      </c>
      <c r="C54" s="77" t="str">
        <f aca="false">IF('ตั้งค่า Setup'!$C$57="","",'ตั้งค่า Setup'!$C$57)</f>
        <v/>
      </c>
      <c r="D54" s="78" t="str">
        <f aca="false">IF(C54="","",SUMIF('แผนงาน Schedule'!$B$7:$B$66,C54,'แผนงาน Schedule'!$F$7:$F$66))</f>
        <v/>
      </c>
      <c r="E54" s="78" t="str">
        <f aca="false">IF(OR(C54="",N(D54)=0),"",I54/D54)</f>
        <v/>
      </c>
      <c r="F54" s="78" t="str">
        <f aca="false">IF(OR(C54="",N(D54)=0),"",J54/D54)</f>
        <v/>
      </c>
      <c r="G54" s="79" t="str">
        <f aca="false">IF(E54="","",F54-E54)</f>
        <v/>
      </c>
      <c r="H54" s="80" t="str">
        <f aca="false">IF(OR(E54="",N(E54)=0),"",F54/E54)</f>
        <v/>
      </c>
      <c r="I54" s="78" t="str">
        <f aca="false">IF(C54="","",SUMPRODUCT(('แผนงาน Schedule'!$B$7:$B$66=C54)*'แผนงาน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54" s="78" t="str">
        <f aca="false">IF(C54="","",SUMPRODUCT(('แผนงาน Schedule'!$B$7:$B$66=C54)*'แผนงาน Schedule'!$F$7:$F$66*'แผนงาน Schedule'!$O$7:$O$66))</f>
        <v/>
      </c>
    </row>
    <row r="55" customFormat="false" ht="15" hidden="false" customHeight="true" outlineLevel="0" collapsed="false">
      <c r="B55" s="76" t="str">
        <f aca="false">IF('ตั้งค่า Setup'!$C$58="","",33)</f>
        <v/>
      </c>
      <c r="C55" s="77" t="str">
        <f aca="false">IF('ตั้งค่า Setup'!$C$58="","",'ตั้งค่า Setup'!$C$58)</f>
        <v/>
      </c>
      <c r="D55" s="78" t="str">
        <f aca="false">IF(C55="","",SUMIF('แผนงาน Schedule'!$B$7:$B$66,C55,'แผนงาน Schedule'!$F$7:$F$66))</f>
        <v/>
      </c>
      <c r="E55" s="78" t="str">
        <f aca="false">IF(OR(C55="",N(D55)=0),"",I55/D55)</f>
        <v/>
      </c>
      <c r="F55" s="78" t="str">
        <f aca="false">IF(OR(C55="",N(D55)=0),"",J55/D55)</f>
        <v/>
      </c>
      <c r="G55" s="79" t="str">
        <f aca="false">IF(E55="","",F55-E55)</f>
        <v/>
      </c>
      <c r="H55" s="80" t="str">
        <f aca="false">IF(OR(E55="",N(E55)=0),"",F55/E55)</f>
        <v/>
      </c>
      <c r="I55" s="78" t="str">
        <f aca="false">IF(C55="","",SUMPRODUCT(('แผนงาน Schedule'!$B$7:$B$66=C55)*'แผนงาน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55" s="78" t="str">
        <f aca="false">IF(C55="","",SUMPRODUCT(('แผนงาน Schedule'!$B$7:$B$66=C55)*'แผนงาน Schedule'!$F$7:$F$66*'แผนงาน Schedule'!$O$7:$O$66))</f>
        <v/>
      </c>
    </row>
    <row r="56" customFormat="false" ht="15" hidden="false" customHeight="true" outlineLevel="0" collapsed="false">
      <c r="B56" s="76" t="str">
        <f aca="false">IF('ตั้งค่า Setup'!$C$59="","",34)</f>
        <v/>
      </c>
      <c r="C56" s="77" t="str">
        <f aca="false">IF('ตั้งค่า Setup'!$C$59="","",'ตั้งค่า Setup'!$C$59)</f>
        <v/>
      </c>
      <c r="D56" s="78" t="str">
        <f aca="false">IF(C56="","",SUMIF('แผนงาน Schedule'!$B$7:$B$66,C56,'แผนงาน Schedule'!$F$7:$F$66))</f>
        <v/>
      </c>
      <c r="E56" s="78" t="str">
        <f aca="false">IF(OR(C56="",N(D56)=0),"",I56/D56)</f>
        <v/>
      </c>
      <c r="F56" s="78" t="str">
        <f aca="false">IF(OR(C56="",N(D56)=0),"",J56/D56)</f>
        <v/>
      </c>
      <c r="G56" s="79" t="str">
        <f aca="false">IF(E56="","",F56-E56)</f>
        <v/>
      </c>
      <c r="H56" s="80" t="str">
        <f aca="false">IF(OR(E56="",N(E56)=0),"",F56/E56)</f>
        <v/>
      </c>
      <c r="I56" s="78" t="str">
        <f aca="false">IF(C56="","",SUMPRODUCT(('แผนงาน Schedule'!$B$7:$B$66=C56)*'แผนงาน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56" s="78" t="str">
        <f aca="false">IF(C56="","",SUMPRODUCT(('แผนงาน Schedule'!$B$7:$B$66=C56)*'แผนงาน Schedule'!$F$7:$F$66*'แผนงาน Schedule'!$O$7:$O$66))</f>
        <v/>
      </c>
    </row>
    <row r="57" customFormat="false" ht="15" hidden="false" customHeight="true" outlineLevel="0" collapsed="false">
      <c r="B57" s="76" t="str">
        <f aca="false">IF('ตั้งค่า Setup'!$C$60="","",35)</f>
        <v/>
      </c>
      <c r="C57" s="77" t="str">
        <f aca="false">IF('ตั้งค่า Setup'!$C$60="","",'ตั้งค่า Setup'!$C$60)</f>
        <v/>
      </c>
      <c r="D57" s="78" t="str">
        <f aca="false">IF(C57="","",SUMIF('แผนงาน Schedule'!$B$7:$B$66,C57,'แผนงาน Schedule'!$F$7:$F$66))</f>
        <v/>
      </c>
      <c r="E57" s="78" t="str">
        <f aca="false">IF(OR(C57="",N(D57)=0),"",I57/D57)</f>
        <v/>
      </c>
      <c r="F57" s="78" t="str">
        <f aca="false">IF(OR(C57="",N(D57)=0),"",J57/D57)</f>
        <v/>
      </c>
      <c r="G57" s="79" t="str">
        <f aca="false">IF(E57="","",F57-E57)</f>
        <v/>
      </c>
      <c r="H57" s="80" t="str">
        <f aca="false">IF(OR(E57="",N(E57)=0),"",F57/E57)</f>
        <v/>
      </c>
      <c r="I57" s="78" t="str">
        <f aca="false">IF(C57="","",SUMPRODUCT(('แผนงาน Schedule'!$B$7:$B$66=C57)*'แผนงาน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57" s="78" t="str">
        <f aca="false">IF(C57="","",SUMPRODUCT(('แผนงาน Schedule'!$B$7:$B$66=C57)*'แผนงาน Schedule'!$F$7:$F$66*'แผนงาน Schedule'!$O$7:$O$66))</f>
        <v/>
      </c>
    </row>
    <row r="58" customFormat="false" ht="15" hidden="false" customHeight="true" outlineLevel="0" collapsed="false">
      <c r="B58" s="76" t="str">
        <f aca="false">IF('ตั้งค่า Setup'!$C$61="","",36)</f>
        <v/>
      </c>
      <c r="C58" s="77" t="str">
        <f aca="false">IF('ตั้งค่า Setup'!$C$61="","",'ตั้งค่า Setup'!$C$61)</f>
        <v/>
      </c>
      <c r="D58" s="78" t="str">
        <f aca="false">IF(C58="","",SUMIF('แผนงาน Schedule'!$B$7:$B$66,C58,'แผนงาน Schedule'!$F$7:$F$66))</f>
        <v/>
      </c>
      <c r="E58" s="78" t="str">
        <f aca="false">IF(OR(C58="",N(D58)=0),"",I58/D58)</f>
        <v/>
      </c>
      <c r="F58" s="78" t="str">
        <f aca="false">IF(OR(C58="",N(D58)=0),"",J58/D58)</f>
        <v/>
      </c>
      <c r="G58" s="79" t="str">
        <f aca="false">IF(E58="","",F58-E58)</f>
        <v/>
      </c>
      <c r="H58" s="80" t="str">
        <f aca="false">IF(OR(E58="",N(E58)=0),"",F58/E58)</f>
        <v/>
      </c>
      <c r="I58" s="78" t="str">
        <f aca="false">IF(C58="","",SUMPRODUCT(('แผนงาน Schedule'!$B$7:$B$66=C58)*'แผนงาน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58" s="78" t="str">
        <f aca="false">IF(C58="","",SUMPRODUCT(('แผนงาน Schedule'!$B$7:$B$66=C58)*'แผนงาน Schedule'!$F$7:$F$66*'แผนงาน Schedule'!$O$7:$O$66))</f>
        <v/>
      </c>
    </row>
    <row r="59" customFormat="false" ht="15" hidden="false" customHeight="true" outlineLevel="0" collapsed="false">
      <c r="B59" s="76" t="str">
        <f aca="false">IF('ตั้งค่า Setup'!$C$62="","",37)</f>
        <v/>
      </c>
      <c r="C59" s="77" t="str">
        <f aca="false">IF('ตั้งค่า Setup'!$C$62="","",'ตั้งค่า Setup'!$C$62)</f>
        <v/>
      </c>
      <c r="D59" s="78" t="str">
        <f aca="false">IF(C59="","",SUMIF('แผนงาน Schedule'!$B$7:$B$66,C59,'แผนงาน Schedule'!$F$7:$F$66))</f>
        <v/>
      </c>
      <c r="E59" s="78" t="str">
        <f aca="false">IF(OR(C59="",N(D59)=0),"",I59/D59)</f>
        <v/>
      </c>
      <c r="F59" s="78" t="str">
        <f aca="false">IF(OR(C59="",N(D59)=0),"",J59/D59)</f>
        <v/>
      </c>
      <c r="G59" s="79" t="str">
        <f aca="false">IF(E59="","",F59-E59)</f>
        <v/>
      </c>
      <c r="H59" s="80" t="str">
        <f aca="false">IF(OR(E59="",N(E59)=0),"",F59/E59)</f>
        <v/>
      </c>
      <c r="I59" s="78" t="str">
        <f aca="false">IF(C59="","",SUMPRODUCT(('แผนงาน Schedule'!$B$7:$B$66=C59)*'แผนงาน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59" s="78" t="str">
        <f aca="false">IF(C59="","",SUMPRODUCT(('แผนงาน Schedule'!$B$7:$B$66=C59)*'แผนงาน Schedule'!$F$7:$F$66*'แผนงาน Schedule'!$O$7:$O$66))</f>
        <v/>
      </c>
    </row>
    <row r="60" customFormat="false" ht="15" hidden="false" customHeight="true" outlineLevel="0" collapsed="false">
      <c r="B60" s="76" t="str">
        <f aca="false">IF('ตั้งค่า Setup'!$C$63="","",38)</f>
        <v/>
      </c>
      <c r="C60" s="77" t="str">
        <f aca="false">IF('ตั้งค่า Setup'!$C$63="","",'ตั้งค่า Setup'!$C$63)</f>
        <v/>
      </c>
      <c r="D60" s="78" t="str">
        <f aca="false">IF(C60="","",SUMIF('แผนงาน Schedule'!$B$7:$B$66,C60,'แผนงาน Schedule'!$F$7:$F$66))</f>
        <v/>
      </c>
      <c r="E60" s="78" t="str">
        <f aca="false">IF(OR(C60="",N(D60)=0),"",I60/D60)</f>
        <v/>
      </c>
      <c r="F60" s="78" t="str">
        <f aca="false">IF(OR(C60="",N(D60)=0),"",J60/D60)</f>
        <v/>
      </c>
      <c r="G60" s="79" t="str">
        <f aca="false">IF(E60="","",F60-E60)</f>
        <v/>
      </c>
      <c r="H60" s="80" t="str">
        <f aca="false">IF(OR(E60="",N(E60)=0),"",F60/E60)</f>
        <v/>
      </c>
      <c r="I60" s="78" t="str">
        <f aca="false">IF(C60="","",SUMPRODUCT(('แผนงาน Schedule'!$B$7:$B$66=C60)*'แผนงาน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60" s="78" t="str">
        <f aca="false">IF(C60="","",SUMPRODUCT(('แผนงาน Schedule'!$B$7:$B$66=C60)*'แผนงาน Schedule'!$F$7:$F$66*'แผนงาน Schedule'!$O$7:$O$66))</f>
        <v/>
      </c>
    </row>
    <row r="61" customFormat="false" ht="15" hidden="false" customHeight="true" outlineLevel="0" collapsed="false">
      <c r="B61" s="76" t="str">
        <f aca="false">IF('ตั้งค่า Setup'!$C$64="","",39)</f>
        <v/>
      </c>
      <c r="C61" s="77" t="str">
        <f aca="false">IF('ตั้งค่า Setup'!$C$64="","",'ตั้งค่า Setup'!$C$64)</f>
        <v/>
      </c>
      <c r="D61" s="78" t="str">
        <f aca="false">IF(C61="","",SUMIF('แผนงาน Schedule'!$B$7:$B$66,C61,'แผนงาน Schedule'!$F$7:$F$66))</f>
        <v/>
      </c>
      <c r="E61" s="78" t="str">
        <f aca="false">IF(OR(C61="",N(D61)=0),"",I61/D61)</f>
        <v/>
      </c>
      <c r="F61" s="78" t="str">
        <f aca="false">IF(OR(C61="",N(D61)=0),"",J61/D61)</f>
        <v/>
      </c>
      <c r="G61" s="79" t="str">
        <f aca="false">IF(E61="","",F61-E61)</f>
        <v/>
      </c>
      <c r="H61" s="80" t="str">
        <f aca="false">IF(OR(E61="",N(E61)=0),"",F61/E61)</f>
        <v/>
      </c>
      <c r="I61" s="78" t="str">
        <f aca="false">IF(C61="","",SUMPRODUCT(('แผนงาน Schedule'!$B$7:$B$66=C61)*'แผนงาน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61" s="78" t="str">
        <f aca="false">IF(C61="","",SUMPRODUCT(('แผนงาน Schedule'!$B$7:$B$66=C61)*'แผนงาน Schedule'!$F$7:$F$66*'แผนงาน Schedule'!$O$7:$O$66))</f>
        <v/>
      </c>
    </row>
    <row r="62" customFormat="false" ht="15" hidden="false" customHeight="false" outlineLevel="0" collapsed="false">
      <c r="B62" s="76" t="str">
        <f aca="false">IF('ตั้งค่า Setup'!$C$65="","",40)</f>
        <v/>
      </c>
      <c r="C62" s="77" t="str">
        <f aca="false">IF('ตั้งค่า Setup'!$C$65="","",'ตั้งค่า Setup'!$C$65)</f>
        <v/>
      </c>
      <c r="D62" s="78" t="str">
        <f aca="false">IF(C62="","",SUMIF('แผนงาน Schedule'!$B$7:$B$66,C62,'แผนงาน Schedule'!$F$7:$F$66))</f>
        <v/>
      </c>
      <c r="E62" s="78" t="str">
        <f aca="false">IF(OR(C62="",N(D62)=0),"",I62/D62)</f>
        <v/>
      </c>
      <c r="F62" s="78" t="str">
        <f aca="false">IF(OR(C62="",N(D62)=0),"",J62/D62)</f>
        <v/>
      </c>
      <c r="G62" s="79" t="str">
        <f aca="false">IF(E62="","",F62-E62)</f>
        <v/>
      </c>
      <c r="H62" s="80" t="str">
        <f aca="false">IF(OR(E62="",N(E62)=0),"",F62/E62)</f>
        <v/>
      </c>
      <c r="I62" s="78" t="str">
        <f aca="false">IF(C62="","",SUMPRODUCT(('แผนงาน Schedule'!$B$7:$B$66=C62)*'แผนงาน Schedule'!$F$7:$F$66*(('แผนงาน Schedule'!$I$7:$I$66&lt;=Dashboard!$C$7)+('แผนงาน Schedule'!$H$7:$H$66&lt;=Dashboard!$C$7)*('แผนงาน Schedule'!$I$7:$I$66&gt;Dashboard!$C$7)*(Dashboard!$C$7-'แผนงาน Schedule'!$H$7:$H$66+1)/('แผนงาน Schedule'!$I$7:$I$66-'แผนงาน Schedule'!$H$7:$H$66+1))))</f>
        <v/>
      </c>
      <c r="J62" s="78" t="str">
        <f aca="false">IF(C62="","",SUMPRODUCT(('แผนงาน Schedule'!$B$7:$B$66=C62)*'แผนงาน Schedule'!$F$7:$F$66*'แผนงาน Schedule'!$O$7:$O$66))</f>
        <v/>
      </c>
    </row>
    <row r="63" customFormat="false" ht="15" hidden="false" customHeight="false" outlineLevel="0" collapsed="false">
      <c r="B63" s="81"/>
      <c r="C63" s="82" t="s">
        <v>419</v>
      </c>
      <c r="D63" s="83" t="n">
        <f aca="false">SUM(D23:D62)</f>
        <v>1</v>
      </c>
      <c r="E63" s="83" t="n">
        <f aca="false">I63</f>
        <v>0.208203225806452</v>
      </c>
      <c r="F63" s="83" t="n">
        <f aca="false">J63</f>
        <v>0</v>
      </c>
      <c r="G63" s="84" t="n">
        <f aca="false">F63-E63</f>
        <v>-0.208203225806452</v>
      </c>
      <c r="H63" s="85" t="n">
        <f aca="false">IFERROR(F63/E63,"")</f>
        <v>0</v>
      </c>
      <c r="I63" s="83" t="n">
        <f aca="false">SUM(I23:I62)</f>
        <v>0.208203225806452</v>
      </c>
      <c r="J63" s="83" t="n">
        <f aca="false">SUM(J23:J62)</f>
        <v>0</v>
      </c>
    </row>
    <row r="64" customFormat="false" ht="15" hidden="false" customHeight="false" outlineLevel="0" collapsed="false">
      <c r="B64" s="86" t="s">
        <v>420</v>
      </c>
    </row>
    <row r="66" customFormat="false" ht="19.5" hidden="false" customHeight="true" outlineLevel="0" collapsed="false">
      <c r="B66" s="64" t="s">
        <v>421</v>
      </c>
      <c r="C66" s="64"/>
      <c r="D66" s="64"/>
      <c r="E66" s="64"/>
      <c r="F66" s="64"/>
      <c r="G66" s="64"/>
      <c r="H66" s="64"/>
      <c r="I66" s="64"/>
      <c r="J66" s="64"/>
    </row>
    <row r="67" customFormat="false" ht="30" hidden="false" customHeight="true" outlineLevel="0" collapsed="false">
      <c r="B67" s="20" t="s">
        <v>422</v>
      </c>
      <c r="C67" s="75" t="s">
        <v>423</v>
      </c>
      <c r="D67" s="20" t="s">
        <v>424</v>
      </c>
      <c r="E67" s="20" t="s">
        <v>425</v>
      </c>
      <c r="F67" s="20" t="s">
        <v>426</v>
      </c>
      <c r="G67" s="75" t="s">
        <v>427</v>
      </c>
      <c r="H67" s="20" t="s">
        <v>428</v>
      </c>
      <c r="I67" s="20"/>
      <c r="J67" s="20" t="s">
        <v>429</v>
      </c>
    </row>
    <row r="68" customFormat="false" ht="15" hidden="false" customHeight="false" outlineLevel="0" collapsed="false">
      <c r="B68" s="87" t="n">
        <f aca="false">IF(L68="","",1)</f>
        <v>1</v>
      </c>
      <c r="C68" s="77" t="str">
        <f aca="false">IF(L68="","",INDEX('แผนงาน Schedule'!$A$7:$A$66,L68)&amp;"  "&amp;INDEX('แผนงาน Schedule'!$C$7:$C$66,L68))</f>
        <v>1.1  งานเตรียมการ ติดตั้งป้ายโครงการ และรื้อถอนระบบเดิม</v>
      </c>
      <c r="D68" s="88" t="n">
        <f aca="false">IF(L68="","",INDEX('แผนงาน Schedule'!$I$7:$I$66,L68))</f>
        <v>46087</v>
      </c>
      <c r="E68" s="88" t="n">
        <f aca="false">IF(L68="","",INDEX('แผนงาน Schedule'!$V$7:$V$66,L68))</f>
        <v>46308</v>
      </c>
      <c r="F68" s="89" t="n">
        <f aca="false">IF(L68="","",INDEX('แผนงาน Schedule'!$W$7:$W$66,L68))</f>
        <v>221</v>
      </c>
      <c r="G68" s="90" t="n">
        <f aca="false">IF(L68="","",N(INDEX('แผนงาน Schedule'!$O$7:$O$66,L68)))</f>
        <v>0</v>
      </c>
      <c r="H68" s="87" t="str">
        <f aca="false">IF(L68="","",INDEX('แผนงาน Schedule'!$X$7:$X$66,L68))</f>
        <v>เกินกำหนด / Overdue</v>
      </c>
      <c r="I68" s="87"/>
      <c r="J68" s="77" t="str">
        <f aca="false">IF(L68="","",INDEX('แผนงาน Schedule'!$Y$7:$Y$66,L68)&amp;"")</f>
        <v/>
      </c>
      <c r="L68" s="91" t="n">
        <f aca="false">IFERROR(MATCH(LARGE('แผนงาน Schedule'!$AB$7:$AB$66,1),'แผนงาน Schedule'!$AB$7:$AB$66,0),"")</f>
        <v>1</v>
      </c>
    </row>
    <row r="69" customFormat="false" ht="15" hidden="false" customHeight="false" outlineLevel="0" collapsed="false">
      <c r="B69" s="87" t="n">
        <f aca="false">IF(L69="","",2)</f>
        <v>2</v>
      </c>
      <c r="C69" s="77" t="str">
        <f aca="false">IF(L69="","",INDEX('แผนงาน Schedule'!$A$7:$A$66,L69)&amp;"  "&amp;INDEX('แผนงาน Schedule'!$C$7:$C$66,L69))</f>
        <v>1.2  ก่อสร้างสำนักงานชั่วคราวและจัดเตรียมอุปกรณ์สำนักงาน</v>
      </c>
      <c r="D69" s="88" t="n">
        <f aca="false">IF(L69="","",INDEX('แผนงาน Schedule'!$I$7:$I$66,L69))</f>
        <v>46127</v>
      </c>
      <c r="E69" s="88" t="n">
        <f aca="false">IF(L69="","",INDEX('แผนงาน Schedule'!$V$7:$V$66,L69))</f>
        <v>46337</v>
      </c>
      <c r="F69" s="89" t="n">
        <f aca="false">IF(L69="","",INDEX('แผนงาน Schedule'!$W$7:$W$66,L69))</f>
        <v>210</v>
      </c>
      <c r="G69" s="90" t="n">
        <f aca="false">IF(L69="","",N(INDEX('แผนงาน Schedule'!$O$7:$O$66,L69)))</f>
        <v>0</v>
      </c>
      <c r="H69" s="87" t="str">
        <f aca="false">IF(L69="","",INDEX('แผนงาน Schedule'!$X$7:$X$66,L69))</f>
        <v>เกินกำหนด / Overdue</v>
      </c>
      <c r="I69" s="87"/>
      <c r="J69" s="77" t="str">
        <f aca="false">IF(L69="","",INDEX('แผนงาน Schedule'!$Y$7:$Y$66,L69)&amp;"")</f>
        <v/>
      </c>
      <c r="L69" s="91" t="n">
        <f aca="false">IFERROR(MATCH(LARGE('แผนงาน Schedule'!$AB$7:$AB$66,2),'แผนงาน Schedule'!$AB$7:$AB$66,0),"")</f>
        <v>2</v>
      </c>
    </row>
    <row r="70" customFormat="false" ht="15" hidden="false" customHeight="false" outlineLevel="0" collapsed="false">
      <c r="B70" s="87" t="n">
        <f aca="false">IF(L70="","",3)</f>
        <v>3</v>
      </c>
      <c r="C70" s="77" t="str">
        <f aca="false">IF(L70="","",INDEX('แผนงาน Schedule'!$A$7:$A$66,L70)&amp;"  "&amp;INDEX('แผนงาน Schedule'!$C$7:$C$66,L70))</f>
        <v>1.3  งานรื้อถอนโครงสร้างเดิมและเตรียมพื้นที่ติดตั้งใหม่</v>
      </c>
      <c r="D70" s="88" t="n">
        <f aca="false">IF(L70="","",INDEX('แผนงาน Schedule'!$I$7:$I$66,L70))</f>
        <v>46132</v>
      </c>
      <c r="E70" s="88" t="n">
        <f aca="false">IF(L70="","",INDEX('แผนงาน Schedule'!$V$7:$V$66,L70))</f>
        <v>46333</v>
      </c>
      <c r="F70" s="89" t="n">
        <f aca="false">IF(L70="","",INDEX('แผนงาน Schedule'!$W$7:$W$66,L70))</f>
        <v>201</v>
      </c>
      <c r="G70" s="90" t="n">
        <f aca="false">IF(L70="","",N(INDEX('แผนงาน Schedule'!$O$7:$O$66,L70)))</f>
        <v>0</v>
      </c>
      <c r="H70" s="87" t="str">
        <f aca="false">IF(L70="","",INDEX('แผนงาน Schedule'!$X$7:$X$66,L70))</f>
        <v>เกินกำหนด / Overdue</v>
      </c>
      <c r="I70" s="87"/>
      <c r="J70" s="77" t="str">
        <f aca="false">IF(L70="","",INDEX('แผนงาน Schedule'!$Y$7:$Y$66,L70)&amp;"")</f>
        <v/>
      </c>
      <c r="L70" s="91" t="n">
        <f aca="false">IFERROR(MATCH(LARGE('แผนงาน Schedule'!$AB$7:$AB$66,3),'แผนงาน Schedule'!$AB$7:$AB$66,0),"")</f>
        <v>3</v>
      </c>
    </row>
    <row r="71" customFormat="false" ht="15" hidden="false" customHeight="false" outlineLevel="0" collapsed="false">
      <c r="B71" s="87" t="n">
        <f aca="false">IF(L71="","",4)</f>
        <v>4</v>
      </c>
      <c r="C71" s="77" t="str">
        <f aca="false">IF(L71="","",INDEX('แผนงาน Schedule'!$A$7:$A$66,L71)&amp;"  "&amp;INDEX('แผนงาน Schedule'!$C$7:$C$66,L71))</f>
        <v>2.1  งานฐานราก คานคอดิน พื้นชั้น 1 และเสาชั้น 1</v>
      </c>
      <c r="D71" s="88" t="n">
        <f aca="false">IF(L71="","",INDEX('แผนงาน Schedule'!$I$7:$I$66,L71))</f>
        <v>46142</v>
      </c>
      <c r="E71" s="88" t="n">
        <f aca="false">IF(L71="","",INDEX('แผนงาน Schedule'!$V$7:$V$66,L71))</f>
        <v>46339</v>
      </c>
      <c r="F71" s="89" t="n">
        <f aca="false">IF(L71="","",INDEX('แผนงาน Schedule'!$W$7:$W$66,L71))</f>
        <v>197</v>
      </c>
      <c r="G71" s="90" t="n">
        <f aca="false">IF(L71="","",N(INDEX('แผนงาน Schedule'!$O$7:$O$66,L71)))</f>
        <v>0</v>
      </c>
      <c r="H71" s="87" t="str">
        <f aca="false">IF(L71="","",INDEX('แผนงาน Schedule'!$X$7:$X$66,L71))</f>
        <v>เกินกำหนด / Overdue</v>
      </c>
      <c r="I71" s="87"/>
      <c r="J71" s="77" t="str">
        <f aca="false">IF(L71="","",INDEX('แผนงาน Schedule'!$Y$7:$Y$66,L71)&amp;"")</f>
        <v/>
      </c>
      <c r="L71" s="91" t="n">
        <f aca="false">IFERROR(MATCH(LARGE('แผนงาน Schedule'!$AB$7:$AB$66,4),'แผนงาน Schedule'!$AB$7:$AB$66,0),"")</f>
        <v>4</v>
      </c>
    </row>
    <row r="72" customFormat="false" ht="23.85" hidden="false" customHeight="false" outlineLevel="0" collapsed="false">
      <c r="B72" s="87" t="n">
        <f aca="false">IF(L72="","",5)</f>
        <v>5</v>
      </c>
      <c r="C72" s="77" t="str">
        <f aca="false">IF(L72="","",INDEX('แผนงาน Schedule'!$A$7:$A$66,L72)&amp;"  "&amp;INDEX('แผนงาน Schedule'!$C$7:$C$66,L72))</f>
        <v>2.2  งานวาง SLEEVE/เดินท่อฝังในโครงสร้าง และโครงสร้างชั้น 1–2</v>
      </c>
      <c r="D72" s="88" t="n">
        <f aca="false">IF(L72="","",INDEX('แผนงาน Schedule'!$I$7:$I$66,L72))</f>
        <v>46157</v>
      </c>
      <c r="E72" s="88" t="n">
        <f aca="false">IF(L72="","",INDEX('แผนงาน Schedule'!$V$7:$V$66,L72))</f>
        <v>46323</v>
      </c>
      <c r="F72" s="89" t="n">
        <f aca="false">IF(L72="","",INDEX('แผนงาน Schedule'!$W$7:$W$66,L72))</f>
        <v>166</v>
      </c>
      <c r="G72" s="90" t="n">
        <f aca="false">IF(L72="","",N(INDEX('แผนงาน Schedule'!$O$7:$O$66,L72)))</f>
        <v>0</v>
      </c>
      <c r="H72" s="87" t="str">
        <f aca="false">IF(L72="","",INDEX('แผนงาน Schedule'!$X$7:$X$66,L72))</f>
        <v>เกินกำหนด / Overdue</v>
      </c>
      <c r="I72" s="87"/>
      <c r="J72" s="77" t="str">
        <f aca="false">IF(L72="","",INDEX('แผนงาน Schedule'!$Y$7:$Y$66,L72)&amp;"")</f>
        <v/>
      </c>
      <c r="L72" s="91" t="n">
        <f aca="false">IFERROR(MATCH(LARGE('แผนงาน Schedule'!$AB$7:$AB$66,5),'แผนงาน Schedule'!$AB$7:$AB$66,0),"")</f>
        <v>5</v>
      </c>
    </row>
    <row r="74" customFormat="false" ht="19.5" hidden="false" customHeight="true" outlineLevel="0" collapsed="false">
      <c r="B74" s="64" t="str">
        <f aca="false">"4. แผนงานล่วงหน้า "&amp;'ตั้งค่า Setup'!$C$20&amp;" วัน (งานค้างและงานที่ต้องเริ่ม) / "&amp;'ตั้งค่า Setup'!$C$20&amp;"-Day Look-ahead"</f>
        <v>4. แผนงานล่วงหน้า 30 วัน (งานค้างและงานที่ต้องเริ่ม) / 30-Day Look-ahead</v>
      </c>
      <c r="C74" s="64"/>
      <c r="D74" s="64"/>
      <c r="E74" s="64"/>
      <c r="F74" s="64"/>
      <c r="G74" s="64"/>
      <c r="H74" s="64"/>
      <c r="I74" s="64"/>
      <c r="J74" s="64"/>
    </row>
    <row r="75" customFormat="false" ht="30" hidden="false" customHeight="true" outlineLevel="0" collapsed="false">
      <c r="B75" s="20" t="s">
        <v>430</v>
      </c>
      <c r="C75" s="75" t="s">
        <v>423</v>
      </c>
      <c r="D75" s="20" t="s">
        <v>431</v>
      </c>
      <c r="E75" s="20" t="s">
        <v>432</v>
      </c>
      <c r="F75" s="75" t="s">
        <v>427</v>
      </c>
      <c r="G75" s="20" t="s">
        <v>425</v>
      </c>
      <c r="H75" s="20" t="s">
        <v>428</v>
      </c>
      <c r="I75" s="20"/>
      <c r="J75" s="20" t="s">
        <v>429</v>
      </c>
    </row>
    <row r="76" customFormat="false" ht="15" hidden="false" customHeight="false" outlineLevel="0" collapsed="false">
      <c r="B76" s="87" t="n">
        <f aca="false">IF(L76="","",1)</f>
        <v>1</v>
      </c>
      <c r="C76" s="77" t="str">
        <f aca="false">IF(L76="","",INDEX('แผนงาน Schedule'!$A$7:$A$66,L76)&amp;"  "&amp;INDEX('แผนงาน Schedule'!$C$7:$C$66,L76))</f>
        <v>1.1  งานเตรียมการ ติดตั้งป้ายโครงการ และรื้อถอนระบบเดิม</v>
      </c>
      <c r="D76" s="88" t="n">
        <f aca="false">IF(L76="","",INDEX('แผนงาน Schedule'!$Z$7:$Z$66,L76))</f>
        <v>46072</v>
      </c>
      <c r="E76" s="88" t="n">
        <f aca="false">IF(L76="","",INDEX('แผนงาน Schedule'!$AA$7:$AA$66,L76))</f>
        <v>46087</v>
      </c>
      <c r="F76" s="90" t="n">
        <f aca="false">IF(L76="","",N(INDEX('แผนงาน Schedule'!$O$7:$O$66,L76)))</f>
        <v>0</v>
      </c>
      <c r="G76" s="88" t="n">
        <f aca="false">IF(L76="","",INDEX('แผนงาน Schedule'!$V$7:$V$66,L76))</f>
        <v>46308</v>
      </c>
      <c r="H76" s="87" t="str">
        <f aca="false">IF(L76="","",INDEX('แผนงาน Schedule'!$X$7:$X$66,L76))</f>
        <v>เกินกำหนด / Overdue</v>
      </c>
      <c r="I76" s="87"/>
      <c r="J76" s="77" t="str">
        <f aca="false">IF(L76="","",INDEX('แผนงาน Schedule'!$Y$7:$Y$66,L76)&amp;"")</f>
        <v/>
      </c>
      <c r="L76" s="91" t="n">
        <f aca="false">IFERROR(MATCH(1,'แผนงาน Schedule'!$AD$7:$AD$66,0),"")</f>
        <v>1</v>
      </c>
    </row>
    <row r="77" customFormat="false" ht="15" hidden="false" customHeight="false" outlineLevel="0" collapsed="false">
      <c r="B77" s="87" t="n">
        <f aca="false">IF(L77="","",2)</f>
        <v>2</v>
      </c>
      <c r="C77" s="77" t="str">
        <f aca="false">IF(L77="","",INDEX('แผนงาน Schedule'!$A$7:$A$66,L77)&amp;"  "&amp;INDEX('แผนงาน Schedule'!$C$7:$C$66,L77))</f>
        <v>1.2  ก่อสร้างสำนักงานชั่วคราวและจัดเตรียมอุปกรณ์สำนักงาน</v>
      </c>
      <c r="D77" s="88" t="n">
        <f aca="false">IF(L77="","",INDEX('แผนงาน Schedule'!$Z$7:$Z$66,L77))</f>
        <v>46083</v>
      </c>
      <c r="E77" s="88" t="n">
        <f aca="false">IF(L77="","",INDEX('แผนงาน Schedule'!$AA$7:$AA$66,L77))</f>
        <v>46127</v>
      </c>
      <c r="F77" s="90" t="n">
        <f aca="false">IF(L77="","",N(INDEX('แผนงาน Schedule'!$O$7:$O$66,L77)))</f>
        <v>0</v>
      </c>
      <c r="G77" s="88" t="n">
        <f aca="false">IF(L77="","",INDEX('แผนงาน Schedule'!$V$7:$V$66,L77))</f>
        <v>46337</v>
      </c>
      <c r="H77" s="87" t="str">
        <f aca="false">IF(L77="","",INDEX('แผนงาน Schedule'!$X$7:$X$66,L77))</f>
        <v>เกินกำหนด / Overdue</v>
      </c>
      <c r="I77" s="87"/>
      <c r="J77" s="77" t="str">
        <f aca="false">IF(L77="","",INDEX('แผนงาน Schedule'!$Y$7:$Y$66,L77)&amp;"")</f>
        <v/>
      </c>
      <c r="L77" s="91" t="n">
        <f aca="false">IFERROR(MATCH(2,'แผนงาน Schedule'!$AD$7:$AD$66,0),"")</f>
        <v>2</v>
      </c>
    </row>
    <row r="78" customFormat="false" ht="15" hidden="false" customHeight="false" outlineLevel="0" collapsed="false">
      <c r="B78" s="87" t="n">
        <f aca="false">IF(L78="","",3)</f>
        <v>3</v>
      </c>
      <c r="C78" s="77" t="str">
        <f aca="false">IF(L78="","",INDEX('แผนงาน Schedule'!$A$7:$A$66,L78)&amp;"  "&amp;INDEX('แผนงาน Schedule'!$C$7:$C$66,L78))</f>
        <v>1.3  งานรื้อถอนโครงสร้างเดิมและเตรียมพื้นที่ติดตั้งใหม่</v>
      </c>
      <c r="D78" s="88" t="n">
        <f aca="false">IF(L78="","",INDEX('แผนงาน Schedule'!$Z$7:$Z$66,L78))</f>
        <v>46092</v>
      </c>
      <c r="E78" s="88" t="n">
        <f aca="false">IF(L78="","",INDEX('แผนงาน Schedule'!$AA$7:$AA$66,L78))</f>
        <v>46132</v>
      </c>
      <c r="F78" s="90" t="n">
        <f aca="false">IF(L78="","",N(INDEX('แผนงาน Schedule'!$O$7:$O$66,L78)))</f>
        <v>0</v>
      </c>
      <c r="G78" s="88" t="n">
        <f aca="false">IF(L78="","",INDEX('แผนงาน Schedule'!$V$7:$V$66,L78))</f>
        <v>46333</v>
      </c>
      <c r="H78" s="87" t="str">
        <f aca="false">IF(L78="","",INDEX('แผนงาน Schedule'!$X$7:$X$66,L78))</f>
        <v>เกินกำหนด / Overdue</v>
      </c>
      <c r="I78" s="87"/>
      <c r="J78" s="77" t="str">
        <f aca="false">IF(L78="","",INDEX('แผนงาน Schedule'!$Y$7:$Y$66,L78)&amp;"")</f>
        <v/>
      </c>
      <c r="L78" s="91" t="n">
        <f aca="false">IFERROR(MATCH(3,'แผนงาน Schedule'!$AD$7:$AD$66,0),"")</f>
        <v>3</v>
      </c>
    </row>
    <row r="79" customFormat="false" ht="15" hidden="false" customHeight="false" outlineLevel="0" collapsed="false">
      <c r="B79" s="87" t="n">
        <f aca="false">IF(L79="","",4)</f>
        <v>4</v>
      </c>
      <c r="C79" s="77" t="str">
        <f aca="false">IF(L79="","",INDEX('แผนงาน Schedule'!$A$7:$A$66,L79)&amp;"  "&amp;INDEX('แผนงาน Schedule'!$C$7:$C$66,L79))</f>
        <v>2.1  งานฐานราก คานคอดิน พื้นชั้น 1 และเสาชั้น 1</v>
      </c>
      <c r="D79" s="88" t="n">
        <f aca="false">IF(L79="","",INDEX('แผนงาน Schedule'!$Z$7:$Z$66,L79))</f>
        <v>46096</v>
      </c>
      <c r="E79" s="88" t="n">
        <f aca="false">IF(L79="","",INDEX('แผนงาน Schedule'!$AA$7:$AA$66,L79))</f>
        <v>46142</v>
      </c>
      <c r="F79" s="90" t="n">
        <f aca="false">IF(L79="","",N(INDEX('แผนงาน Schedule'!$O$7:$O$66,L79)))</f>
        <v>0</v>
      </c>
      <c r="G79" s="88" t="n">
        <f aca="false">IF(L79="","",INDEX('แผนงาน Schedule'!$V$7:$V$66,L79))</f>
        <v>46339</v>
      </c>
      <c r="H79" s="87" t="str">
        <f aca="false">IF(L79="","",INDEX('แผนงาน Schedule'!$X$7:$X$66,L79))</f>
        <v>เกินกำหนด / Overdue</v>
      </c>
      <c r="I79" s="87"/>
      <c r="J79" s="77" t="str">
        <f aca="false">IF(L79="","",INDEX('แผนงาน Schedule'!$Y$7:$Y$66,L79)&amp;"")</f>
        <v/>
      </c>
      <c r="L79" s="91" t="n">
        <f aca="false">IFERROR(MATCH(4,'แผนงาน Schedule'!$AD$7:$AD$66,0),"")</f>
        <v>4</v>
      </c>
    </row>
    <row r="80" customFormat="false" ht="23.85" hidden="false" customHeight="false" outlineLevel="0" collapsed="false">
      <c r="B80" s="87" t="n">
        <f aca="false">IF(L80="","",5)</f>
        <v>5</v>
      </c>
      <c r="C80" s="77" t="str">
        <f aca="false">IF(L80="","",INDEX('แผนงาน Schedule'!$A$7:$A$66,L80)&amp;"  "&amp;INDEX('แผนงาน Schedule'!$C$7:$C$66,L80))</f>
        <v>2.2  งานวาง SLEEVE/เดินท่อฝังในโครงสร้าง และโครงสร้างชั้น 1–2</v>
      </c>
      <c r="D80" s="88" t="n">
        <f aca="false">IF(L80="","",INDEX('แผนงาน Schedule'!$Z$7:$Z$66,L80))</f>
        <v>46127</v>
      </c>
      <c r="E80" s="88" t="n">
        <f aca="false">IF(L80="","",INDEX('แผนงาน Schedule'!$AA$7:$AA$66,L80))</f>
        <v>46157</v>
      </c>
      <c r="F80" s="90" t="n">
        <f aca="false">IF(L80="","",N(INDEX('แผนงาน Schedule'!$O$7:$O$66,L80)))</f>
        <v>0</v>
      </c>
      <c r="G80" s="88" t="n">
        <f aca="false">IF(L80="","",INDEX('แผนงาน Schedule'!$V$7:$V$66,L80))</f>
        <v>46323</v>
      </c>
      <c r="H80" s="87" t="str">
        <f aca="false">IF(L80="","",INDEX('แผนงาน Schedule'!$X$7:$X$66,L80))</f>
        <v>เกินกำหนด / Overdue</v>
      </c>
      <c r="I80" s="87"/>
      <c r="J80" s="77" t="str">
        <f aca="false">IF(L80="","",INDEX('แผนงาน Schedule'!$Y$7:$Y$66,L80)&amp;"")</f>
        <v/>
      </c>
      <c r="L80" s="91" t="n">
        <f aca="false">IFERROR(MATCH(5,'แผนงาน Schedule'!$AD$7:$AD$66,0),"")</f>
        <v>5</v>
      </c>
    </row>
    <row r="81" customFormat="false" ht="15" hidden="false" customHeight="false" outlineLevel="0" collapsed="false">
      <c r="B81" s="87" t="n">
        <f aca="false">IF(L81="","",6)</f>
        <v>6</v>
      </c>
      <c r="C81" s="77" t="str">
        <f aca="false">IF(L81="","",INDEX('แผนงาน Schedule'!$A$7:$A$66,L81)&amp;"  "&amp;INDEX('แผนงาน Schedule'!$C$7:$C$66,L81))</f>
        <v>2.3  งานคานและพื้นชั้น 2 พร้อมวาง SLEEVE ชั้น 2</v>
      </c>
      <c r="D81" s="88" t="n">
        <f aca="false">IF(L81="","",INDEX('แผนงาน Schedule'!$Z$7:$Z$66,L81))</f>
        <v>46153</v>
      </c>
      <c r="E81" s="88" t="n">
        <f aca="false">IF(L81="","",INDEX('แผนงาน Schedule'!$AA$7:$AA$66,L81))</f>
        <v>46178</v>
      </c>
      <c r="F81" s="90" t="n">
        <f aca="false">IF(L81="","",N(INDEX('แผนงาน Schedule'!$O$7:$O$66,L81)))</f>
        <v>0</v>
      </c>
      <c r="G81" s="88" t="n">
        <f aca="false">IF(L81="","",INDEX('แผนงาน Schedule'!$V$7:$V$66,L81))</f>
        <v>46318</v>
      </c>
      <c r="H81" s="87" t="str">
        <f aca="false">IF(L81="","",INDEX('แผนงาน Schedule'!$X$7:$X$66,L81))</f>
        <v>เกินกำหนด / Overdue</v>
      </c>
      <c r="I81" s="87"/>
      <c r="J81" s="77" t="str">
        <f aca="false">IF(L81="","",INDEX('แผนงาน Schedule'!$Y$7:$Y$66,L81)&amp;"")</f>
        <v/>
      </c>
      <c r="L81" s="91" t="n">
        <f aca="false">IFERROR(MATCH(6,'แผนงาน Schedule'!$AD$7:$AD$66,0),"")</f>
        <v>6</v>
      </c>
    </row>
    <row r="82" customFormat="false" ht="15" hidden="false" customHeight="false" outlineLevel="0" collapsed="false">
      <c r="B82" s="87" t="n">
        <f aca="false">IF(L82="","",7)</f>
        <v>7</v>
      </c>
      <c r="C82" s="77" t="str">
        <f aca="false">IF(L82="","",INDEX('แผนงาน Schedule'!$A$7:$A$66,L82)&amp;"  "&amp;INDEX('แผนงาน Schedule'!$C$7:$C$66,L82))</f>
        <v>2.4  งานโครงสร้างหลังคาและมุงหลังคา</v>
      </c>
      <c r="D82" s="88" t="n">
        <f aca="false">IF(L82="","",INDEX('แผนงาน Schedule'!$Z$7:$Z$66,L82))</f>
        <v>46174</v>
      </c>
      <c r="E82" s="88" t="n">
        <f aca="false">IF(L82="","",INDEX('แผนงาน Schedule'!$AA$7:$AA$66,L82))</f>
        <v>46198</v>
      </c>
      <c r="F82" s="90" t="n">
        <f aca="false">IF(L82="","",N(INDEX('แผนงาน Schedule'!$O$7:$O$66,L82)))</f>
        <v>0</v>
      </c>
      <c r="G82" s="88" t="n">
        <f aca="false">IF(L82="","",INDEX('แผนงาน Schedule'!$V$7:$V$66,L82))</f>
        <v>46317</v>
      </c>
      <c r="H82" s="87" t="str">
        <f aca="false">IF(L82="","",INDEX('แผนงาน Schedule'!$X$7:$X$66,L82))</f>
        <v>เกินกำหนด / Overdue</v>
      </c>
      <c r="I82" s="87"/>
      <c r="J82" s="77" t="str">
        <f aca="false">IF(L82="","",INDEX('แผนงาน Schedule'!$Y$7:$Y$66,L82)&amp;"")</f>
        <v/>
      </c>
      <c r="L82" s="91" t="n">
        <f aca="false">IFERROR(MATCH(7,'แผนงาน Schedule'!$AD$7:$AD$66,0),"")</f>
        <v>7</v>
      </c>
    </row>
    <row r="83" customFormat="false" ht="15" hidden="false" customHeight="false" outlineLevel="0" collapsed="false">
      <c r="B83" s="87" t="n">
        <f aca="false">IF(L83="","",8)</f>
        <v>8</v>
      </c>
      <c r="C83" s="77" t="str">
        <f aca="false">IF(L83="","",INDEX('แผนงาน Schedule'!$A$7:$A$66,L83)&amp;"  "&amp;INDEX('แผนงาน Schedule'!$C$7:$C$66,L83))</f>
        <v>3.1  งานผนัง/โครงเคร่า ติดตั้งฉนวน PU Foam และรางน้ำ</v>
      </c>
      <c r="D83" s="88" t="n">
        <f aca="false">IF(L83="","",INDEX('แผนงาน Schedule'!$Z$7:$Z$66,L83))</f>
        <v>46188</v>
      </c>
      <c r="E83" s="88" t="n">
        <f aca="false">IF(L83="","",INDEX('แผนงาน Schedule'!$AA$7:$AA$66,L83))</f>
        <v>46218</v>
      </c>
      <c r="F83" s="90" t="n">
        <f aca="false">IF(L83="","",N(INDEX('แผนงาน Schedule'!$O$7:$O$66,L83)))</f>
        <v>0</v>
      </c>
      <c r="G83" s="88" t="n">
        <f aca="false">IF(L83="","",INDEX('แผนงาน Schedule'!$V$7:$V$66,L83))</f>
        <v>46323</v>
      </c>
      <c r="H83" s="87" t="str">
        <f aca="false">IF(L83="","",INDEX('แผนงาน Schedule'!$X$7:$X$66,L83))</f>
        <v>เกินกำหนด / Overdue</v>
      </c>
      <c r="I83" s="87"/>
      <c r="J83" s="77" t="str">
        <f aca="false">IF(L83="","",INDEX('แผนงาน Schedule'!$Y$7:$Y$66,L83)&amp;"")</f>
        <v/>
      </c>
      <c r="L83" s="91" t="n">
        <f aca="false">IFERROR(MATCH(8,'แผนงาน Schedule'!$AD$7:$AD$66,0),"")</f>
        <v>8</v>
      </c>
    </row>
    <row r="84" customFormat="false" ht="15" hidden="false" customHeight="false" outlineLevel="0" collapsed="false">
      <c r="B84" s="87" t="n">
        <f aca="false">IF(L84="","",9)</f>
        <v>9</v>
      </c>
      <c r="C84" s="77" t="str">
        <f aca="false">IF(L84="","",INDEX('แผนงาน Schedule'!$A$7:$A$66,L84)&amp;"  "&amp;INDEX('แผนงาน Schedule'!$C$7:$C$66,L84))</f>
        <v>4.1  งานเดินท่อประปา ท่อน้ำทิ้ง และงานระบบในผนัง</v>
      </c>
      <c r="D84" s="88" t="n">
        <f aca="false">IF(L84="","",INDEX('แผนงาน Schedule'!$Z$7:$Z$66,L84))</f>
        <v>46214</v>
      </c>
      <c r="E84" s="88" t="n">
        <f aca="false">IF(L84="","",INDEX('แผนงาน Schedule'!$AA$7:$AA$66,L84))</f>
        <v>46233</v>
      </c>
      <c r="F84" s="90" t="n">
        <f aca="false">IF(L84="","",N(INDEX('แผนงาน Schedule'!$O$7:$O$66,L84)))</f>
        <v>0</v>
      </c>
      <c r="G84" s="88" t="n">
        <f aca="false">IF(L84="","",INDEX('แผนงาน Schedule'!$V$7:$V$66,L84))</f>
        <v>46312</v>
      </c>
      <c r="H84" s="87" t="str">
        <f aca="false">IF(L84="","",INDEX('แผนงาน Schedule'!$X$7:$X$66,L84))</f>
        <v>เกินกำหนด / Overdue</v>
      </c>
      <c r="I84" s="87"/>
      <c r="J84" s="77" t="str">
        <f aca="false">IF(L84="","",INDEX('แผนงาน Schedule'!$Y$7:$Y$66,L84)&amp;"")</f>
        <v/>
      </c>
      <c r="L84" s="91" t="n">
        <f aca="false">IFERROR(MATCH(9,'แผนงาน Schedule'!$AD$7:$AD$66,0),"")</f>
        <v>9</v>
      </c>
    </row>
    <row r="85" customFormat="false" ht="15" hidden="false" customHeight="false" outlineLevel="0" collapsed="false">
      <c r="B85" s="87" t="n">
        <f aca="false">IF(L85="","",10)</f>
        <v>10</v>
      </c>
      <c r="C85" s="77" t="str">
        <f aca="false">IF(L85="","",INDEX('แผนงาน Schedule'!$A$7:$A$66,L85)&amp;"  "&amp;INDEX('แผนงาน Schedule'!$C$7:$C$66,L85))</f>
        <v>3.2  งานฉาบปูน ฝ้าเพดาน ปูพื้น และทาสีภายใน-ภายนอก</v>
      </c>
      <c r="D85" s="88" t="n">
        <f aca="false">IF(L85="","",INDEX('แผนงาน Schedule'!$Z$7:$Z$66,L85))</f>
        <v>46204</v>
      </c>
      <c r="E85" s="88" t="n">
        <f aca="false">IF(L85="","",INDEX('แผนงาน Schedule'!$AA$7:$AA$66,L85))</f>
        <v>46249</v>
      </c>
      <c r="F85" s="90" t="n">
        <f aca="false">IF(L85="","",N(INDEX('แผนงาน Schedule'!$O$7:$O$66,L85)))</f>
        <v>0</v>
      </c>
      <c r="G85" s="88" t="n">
        <f aca="false">IF(L85="","",INDEX('แผนงาน Schedule'!$V$7:$V$66,L85))</f>
        <v>46338</v>
      </c>
      <c r="H85" s="87" t="str">
        <f aca="false">IF(L85="","",INDEX('แผนงาน Schedule'!$X$7:$X$66,L85))</f>
        <v>เกินกำหนด / Overdue</v>
      </c>
      <c r="I85" s="87"/>
      <c r="J85" s="77" t="str">
        <f aca="false">IF(L85="","",INDEX('แผนงาน Schedule'!$Y$7:$Y$66,L85)&amp;"")</f>
        <v/>
      </c>
      <c r="L85" s="91" t="n">
        <f aca="false">IFERROR(MATCH(10,'แผนงาน Schedule'!$AD$7:$AD$66,0),"")</f>
        <v>10</v>
      </c>
    </row>
    <row r="87" customFormat="false" ht="19.5" hidden="false" customHeight="true" outlineLevel="0" collapsed="false">
      <c r="B87" s="64" t="s">
        <v>433</v>
      </c>
      <c r="C87" s="64"/>
      <c r="D87" s="64"/>
      <c r="E87" s="64"/>
      <c r="F87" s="64"/>
      <c r="G87" s="64"/>
      <c r="H87" s="64"/>
      <c r="I87" s="64"/>
      <c r="J87" s="64"/>
    </row>
    <row r="88" customFormat="false" ht="15" hidden="false" customHeight="false" outlineLevel="0" collapsed="false">
      <c r="B88" s="65" t="s">
        <v>434</v>
      </c>
      <c r="C88" s="65"/>
      <c r="D88" s="92" t="n">
        <f aca="false">Dashboard!C49</f>
        <v>0</v>
      </c>
      <c r="F88" s="65" t="s">
        <v>435</v>
      </c>
      <c r="G88" s="65"/>
      <c r="H88" s="65"/>
      <c r="I88" s="92" t="n">
        <f aca="false">Dashboard!C50</f>
        <v>0</v>
      </c>
      <c r="J88" s="92"/>
    </row>
    <row r="89" customFormat="false" ht="15" hidden="false" customHeight="false" outlineLevel="0" collapsed="false">
      <c r="B89" s="65" t="s">
        <v>436</v>
      </c>
      <c r="C89" s="65"/>
      <c r="D89" s="92" t="n">
        <f aca="false">Dashboard!C51</f>
        <v>0</v>
      </c>
      <c r="F89" s="65" t="s">
        <v>437</v>
      </c>
      <c r="G89" s="65"/>
      <c r="H89" s="65"/>
      <c r="I89" s="71" t="n">
        <f aca="false">Dashboard!C12</f>
        <v>46342</v>
      </c>
      <c r="J89" s="71"/>
    </row>
    <row r="90" customFormat="false" ht="15" hidden="false" customHeight="false" outlineLevel="0" collapsed="false">
      <c r="B90" s="65" t="s">
        <v>438</v>
      </c>
      <c r="C90" s="65"/>
      <c r="D90" s="73" t="n">
        <f aca="false">Dashboard!C52</f>
        <v>12108</v>
      </c>
      <c r="F90" s="65" t="s">
        <v>439</v>
      </c>
      <c r="G90" s="65"/>
      <c r="H90" s="65"/>
      <c r="I90" s="73" t="n">
        <f aca="false">Dashboard!C54</f>
        <v>0</v>
      </c>
      <c r="J90" s="73"/>
    </row>
    <row r="91" customFormat="false" ht="30" hidden="false" customHeight="true" outlineLevel="0" collapsed="false">
      <c r="B91" s="65" t="s">
        <v>405</v>
      </c>
      <c r="C91" s="65"/>
      <c r="D91" s="73" t="n">
        <f aca="false">Dashboard!C55</f>
        <v>6998424</v>
      </c>
      <c r="F91" s="65" t="s">
        <v>440</v>
      </c>
      <c r="G91" s="65"/>
      <c r="H91" s="65"/>
      <c r="I91" s="93" t="str">
        <f aca="false">Dashboard!C57</f>
        <v>⚠ เกินเกณฑ์ 10% – ความเสี่ยงถูกบอกเลิกสัญญา</v>
      </c>
      <c r="J91" s="93"/>
    </row>
    <row r="93" customFormat="false" ht="19.5" hidden="false" customHeight="true" outlineLevel="0" collapsed="false">
      <c r="B93" s="64" t="s">
        <v>441</v>
      </c>
      <c r="C93" s="64"/>
      <c r="D93" s="64"/>
      <c r="E93" s="64"/>
      <c r="F93" s="64"/>
      <c r="G93" s="64"/>
      <c r="H93" s="64"/>
      <c r="I93" s="64"/>
      <c r="J93" s="64"/>
    </row>
    <row r="94" customFormat="false" ht="15" hidden="false" customHeight="true" outlineLevel="0" collapsed="false">
      <c r="B94" s="20" t="s">
        <v>430</v>
      </c>
      <c r="C94" s="94" t="s">
        <v>442</v>
      </c>
      <c r="D94" s="94"/>
      <c r="E94" s="94"/>
      <c r="F94" s="94"/>
      <c r="G94" s="94" t="s">
        <v>443</v>
      </c>
      <c r="H94" s="94"/>
      <c r="I94" s="94"/>
      <c r="J94" s="94"/>
    </row>
    <row r="95" customFormat="false" ht="27.75" hidden="false" customHeight="true" outlineLevel="0" collapsed="false">
      <c r="B95" s="95" t="n">
        <v>1</v>
      </c>
      <c r="C95" s="96"/>
      <c r="D95" s="96"/>
      <c r="E95" s="96"/>
      <c r="F95" s="96"/>
      <c r="G95" s="96"/>
      <c r="H95" s="96"/>
      <c r="I95" s="96"/>
      <c r="J95" s="96"/>
    </row>
    <row r="96" customFormat="false" ht="27.75" hidden="false" customHeight="true" outlineLevel="0" collapsed="false">
      <c r="B96" s="95" t="n">
        <v>2</v>
      </c>
      <c r="C96" s="96"/>
      <c r="D96" s="96"/>
      <c r="E96" s="96"/>
      <c r="F96" s="96"/>
      <c r="G96" s="96"/>
      <c r="H96" s="96"/>
      <c r="I96" s="96"/>
      <c r="J96" s="96"/>
    </row>
    <row r="97" customFormat="false" ht="27.75" hidden="false" customHeight="true" outlineLevel="0" collapsed="false">
      <c r="B97" s="95" t="n">
        <v>3</v>
      </c>
      <c r="C97" s="96"/>
      <c r="D97" s="96"/>
      <c r="E97" s="96"/>
      <c r="F97" s="96"/>
      <c r="G97" s="96"/>
      <c r="H97" s="96"/>
      <c r="I97" s="96"/>
      <c r="J97" s="96"/>
    </row>
    <row r="98" customFormat="false" ht="27.75" hidden="false" customHeight="true" outlineLevel="0" collapsed="false">
      <c r="B98" s="95" t="n">
        <v>4</v>
      </c>
      <c r="C98" s="96"/>
      <c r="D98" s="96"/>
      <c r="E98" s="96"/>
      <c r="F98" s="96"/>
      <c r="G98" s="96"/>
      <c r="H98" s="96"/>
      <c r="I98" s="96"/>
      <c r="J98" s="96"/>
    </row>
    <row r="99" customFormat="false" ht="27.75" hidden="false" customHeight="true" outlineLevel="0" collapsed="false">
      <c r="B99" s="95" t="n">
        <v>5</v>
      </c>
      <c r="C99" s="96"/>
      <c r="D99" s="96"/>
      <c r="E99" s="96"/>
      <c r="F99" s="96"/>
      <c r="G99" s="96"/>
      <c r="H99" s="96"/>
      <c r="I99" s="96"/>
      <c r="J99" s="96"/>
    </row>
    <row r="102" customFormat="false" ht="15" hidden="false" customHeight="false" outlineLevel="0" collapsed="false">
      <c r="B102" s="97" t="s">
        <v>444</v>
      </c>
      <c r="D102" s="98" t="str">
        <f aca="false">IF('ตั้งค่า Setup'!C22&lt;&gt;"",'ตั้งค่า Setup'!C22,"")</f>
        <v/>
      </c>
      <c r="E102" s="97" t="s">
        <v>444</v>
      </c>
      <c r="H102" s="97" t="s">
        <v>444</v>
      </c>
    </row>
    <row r="103" customFormat="false" ht="15" hidden="false" customHeight="false" outlineLevel="0" collapsed="false">
      <c r="B103" s="99" t="s">
        <v>445</v>
      </c>
      <c r="E103" s="99" t="s">
        <v>445</v>
      </c>
      <c r="H103" s="99" t="s">
        <v>445</v>
      </c>
    </row>
    <row r="104" customFormat="false" ht="15" hidden="false" customHeight="false" outlineLevel="0" collapsed="false">
      <c r="B104" s="100" t="s">
        <v>446</v>
      </c>
      <c r="E104" s="100" t="s">
        <v>447</v>
      </c>
      <c r="H104" s="100" t="s">
        <v>448</v>
      </c>
    </row>
    <row r="105" customFormat="false" ht="15" hidden="false" customHeight="false" outlineLevel="0" collapsed="false">
      <c r="B105" s="97" t="s">
        <v>449</v>
      </c>
      <c r="E105" s="97" t="s">
        <v>449</v>
      </c>
      <c r="H105" s="97" t="s">
        <v>449</v>
      </c>
    </row>
  </sheetData>
  <sheetProtection sheet="true" formatCells="false" formatColumns="false" formatRows="false"/>
  <mergeCells count="73">
    <mergeCell ref="B1:J1"/>
    <mergeCell ref="B2:C2"/>
    <mergeCell ref="D2:F2"/>
    <mergeCell ref="G2:H2"/>
    <mergeCell ref="I2:J2"/>
    <mergeCell ref="B3:C3"/>
    <mergeCell ref="D3:F3"/>
    <mergeCell ref="G3:H3"/>
    <mergeCell ref="I3:J3"/>
    <mergeCell ref="B4:C4"/>
    <mergeCell ref="D4:F4"/>
    <mergeCell ref="G4:H4"/>
    <mergeCell ref="I4:J4"/>
    <mergeCell ref="B6:J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1:J21"/>
    <mergeCell ref="B66:J66"/>
    <mergeCell ref="H67:I67"/>
    <mergeCell ref="H68:I68"/>
    <mergeCell ref="H69:I69"/>
    <mergeCell ref="H70:I70"/>
    <mergeCell ref="H71:I71"/>
    <mergeCell ref="H72:I72"/>
    <mergeCell ref="B74:J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B87:J87"/>
    <mergeCell ref="B88:C88"/>
    <mergeCell ref="F88:H88"/>
    <mergeCell ref="I88:J88"/>
    <mergeCell ref="B89:C89"/>
    <mergeCell ref="F89:H89"/>
    <mergeCell ref="I89:J89"/>
    <mergeCell ref="B90:C90"/>
    <mergeCell ref="F90:H90"/>
    <mergeCell ref="I90:J90"/>
    <mergeCell ref="B91:C91"/>
    <mergeCell ref="F91:H91"/>
    <mergeCell ref="I91:J91"/>
    <mergeCell ref="B93:J93"/>
    <mergeCell ref="C94:F94"/>
    <mergeCell ref="G94:J94"/>
    <mergeCell ref="C95:F95"/>
    <mergeCell ref="G95:J95"/>
    <mergeCell ref="C96:F96"/>
    <mergeCell ref="G96:J96"/>
    <mergeCell ref="C97:F97"/>
    <mergeCell ref="G97:J97"/>
    <mergeCell ref="C98:F98"/>
    <mergeCell ref="G98:J98"/>
    <mergeCell ref="C99:F99"/>
    <mergeCell ref="G99:J99"/>
  </mergeCells>
  <conditionalFormatting sqref="D18">
    <cfRule type="expression" priority="2" aboveAverage="0" equalAverage="0" bottom="0" percent="0" rank="0" text="" dxfId="0">
      <formula>ISNUMBER(SEARCH("ล่าช้ามาก",D18))</formula>
    </cfRule>
    <cfRule type="expression" priority="3" aboveAverage="0" equalAverage="0" bottom="0" percent="0" rank="0" text="" dxfId="5">
      <formula>ISNUMBER(SEARCH("เฝ้าระวัง",D18))</formula>
    </cfRule>
  </conditionalFormatting>
  <conditionalFormatting sqref="D11">
    <cfRule type="expression" priority="4" aboveAverage="0" equalAverage="0" bottom="0" percent="0" rank="0" text="" dxfId="4">
      <formula>D11&lt;0</formula>
    </cfRule>
  </conditionalFormatting>
  <conditionalFormatting sqref="I91">
    <cfRule type="expression" priority="5" aboveAverage="0" equalAverage="0" bottom="0" percent="0" rank="0" text="" dxfId="4">
      <formula>LEFT(I91,1)="⚠"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/ &amp;N&amp;RProject Control v2</oddFooter>
  </headerFooter>
  <rowBreaks count="1" manualBreakCount="1">
    <brk id="65" man="true" max="16383" min="0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6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9"/>
    <col collapsed="false" customWidth="true" hidden="false" outlineLevel="0" max="8" min="7" style="1" width="12"/>
    <col collapsed="false" customWidth="true" hidden="false" outlineLevel="0" max="9" min="9" style="1" width="15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8"/>
    <col collapsed="false" customWidth="true" hidden="false" outlineLevel="0" max="13" min="13" style="1" width="28"/>
  </cols>
  <sheetData>
    <row r="1" customFormat="false" ht="20.1" hidden="false" customHeight="false" outlineLevel="0" collapsed="false">
      <c r="A1" s="2" t="s">
        <v>450</v>
      </c>
    </row>
    <row r="2" customFormat="false" ht="15" hidden="false" customHeight="false" outlineLevel="0" collapsed="false">
      <c r="A2" s="19" t="s">
        <v>451</v>
      </c>
    </row>
    <row r="3" customFormat="false" ht="15" hidden="false" customHeight="false" outlineLevel="0" collapsed="false">
      <c r="A3" s="101" t="s">
        <v>452</v>
      </c>
    </row>
    <row r="6" customFormat="false" ht="39.75" hidden="false" customHeight="true" outlineLevel="0" collapsed="false">
      <c r="A6" s="20" t="s">
        <v>453</v>
      </c>
      <c r="B6" s="20" t="s">
        <v>454</v>
      </c>
      <c r="C6" s="20" t="s">
        <v>455</v>
      </c>
      <c r="D6" s="20" t="s">
        <v>456</v>
      </c>
      <c r="E6" s="20" t="s">
        <v>457</v>
      </c>
      <c r="F6" s="75" t="s">
        <v>458</v>
      </c>
      <c r="G6" s="20" t="s">
        <v>459</v>
      </c>
      <c r="H6" s="20" t="s">
        <v>460</v>
      </c>
      <c r="I6" s="20" t="s">
        <v>461</v>
      </c>
      <c r="J6" s="20" t="s">
        <v>462</v>
      </c>
      <c r="K6" s="20" t="s">
        <v>463</v>
      </c>
      <c r="L6" s="20" t="s">
        <v>464</v>
      </c>
      <c r="M6" s="20" t="s">
        <v>465</v>
      </c>
    </row>
    <row r="7" customFormat="false" ht="15" hidden="false" customHeight="false" outlineLevel="0" collapsed="false">
      <c r="A7" s="22"/>
      <c r="B7" s="35"/>
      <c r="C7" s="102"/>
      <c r="D7" s="27"/>
      <c r="E7" s="103"/>
      <c r="F7" s="104" t="str">
        <f aca="false">IF(E7="","",E7/'ตั้งค่า Setup'!$C$9)</f>
        <v/>
      </c>
      <c r="G7" s="27"/>
      <c r="H7" s="27"/>
      <c r="I7" s="105" t="str">
        <f aca="false">IF(OR(E7="",H7=""),"",E7)</f>
        <v/>
      </c>
      <c r="J7" s="106" t="str">
        <f aca="false">IF(OR(B7="",C7=""),"",IF(Dashboard!$C$19&gt;=C7,"✓ ถึงเกณฑ์แล้ว","ยังขาด "&amp;TEXT(C7-Dashboard!$C$19,"0.00%")))</f>
        <v/>
      </c>
      <c r="K7" s="106" t="str">
        <f aca="false">IF(B7="","",IF(H7&lt;&gt;"","ตรวจรับแล้ว",IF(G7&lt;&gt;"","ส่งมอบแล้ว รอตรวจรับ",IF(D7="","-",IF('ตั้งค่า Setup'!$C$15&gt;D7,"เกินกำหนด",IF(D7-'ตั้งค่า Setup'!$C$15&lt;=14,"ใกล้ครบกำหนด (≤14 วัน)","ยังไม่ถึงกำหนด"))))))</f>
        <v/>
      </c>
      <c r="L7" s="107" t="str">
        <f aca="false">IF(OR(B7="",D7=""),"",MAX(0,IF(G7&lt;&gt;"",G7,IF(H7&lt;&gt;"",H7,'ตั้งค่า Setup'!$C$15))-D7))</f>
        <v/>
      </c>
      <c r="M7" s="35"/>
    </row>
    <row r="8" customFormat="false" ht="15" hidden="false" customHeight="false" outlineLevel="0" collapsed="false">
      <c r="A8" s="22"/>
      <c r="B8" s="35"/>
      <c r="C8" s="102"/>
      <c r="D8" s="27"/>
      <c r="E8" s="103"/>
      <c r="F8" s="104" t="str">
        <f aca="false">IF(E8="","",E8/'ตั้งค่า Setup'!$C$9)</f>
        <v/>
      </c>
      <c r="G8" s="27"/>
      <c r="H8" s="27"/>
      <c r="I8" s="105" t="str">
        <f aca="false">IF(OR(E8="",H8=""),"",E8)</f>
        <v/>
      </c>
      <c r="J8" s="106" t="str">
        <f aca="false">IF(OR(B8="",C8=""),"",IF(Dashboard!$C$19&gt;=C8,"✓ ถึงเกณฑ์แล้ว","ยังขาด "&amp;TEXT(C8-Dashboard!$C$19,"0.00%")))</f>
        <v/>
      </c>
      <c r="K8" s="106" t="str">
        <f aca="false">IF(B8="","",IF(H8&lt;&gt;"","ตรวจรับแล้ว",IF(G8&lt;&gt;"","ส่งมอบแล้ว รอตรวจรับ",IF(D8="","-",IF('ตั้งค่า Setup'!$C$15&gt;D8,"เกินกำหนด",IF(D8-'ตั้งค่า Setup'!$C$15&lt;=14,"ใกล้ครบกำหนด (≤14 วัน)","ยังไม่ถึงกำหนด"))))))</f>
        <v/>
      </c>
      <c r="L8" s="107" t="str">
        <f aca="false">IF(OR(B8="",D8=""),"",MAX(0,IF(G8&lt;&gt;"",G8,IF(H8&lt;&gt;"",H8,'ตั้งค่า Setup'!$C$15))-D8))</f>
        <v/>
      </c>
      <c r="M8" s="35"/>
    </row>
    <row r="9" customFormat="false" ht="15" hidden="false" customHeight="false" outlineLevel="0" collapsed="false">
      <c r="A9" s="22"/>
      <c r="B9" s="35"/>
      <c r="C9" s="102"/>
      <c r="D9" s="27"/>
      <c r="E9" s="103"/>
      <c r="F9" s="104" t="str">
        <f aca="false">IF(E9="","",E9/'ตั้งค่า Setup'!$C$9)</f>
        <v/>
      </c>
      <c r="G9" s="27"/>
      <c r="H9" s="27"/>
      <c r="I9" s="105" t="str">
        <f aca="false">IF(OR(E9="",H9=""),"",E9)</f>
        <v/>
      </c>
      <c r="J9" s="106" t="str">
        <f aca="false">IF(OR(B9="",C9=""),"",IF(Dashboard!$C$19&gt;=C9,"✓ ถึงเกณฑ์แล้ว","ยังขาด "&amp;TEXT(C9-Dashboard!$C$19,"0.00%")))</f>
        <v/>
      </c>
      <c r="K9" s="106" t="str">
        <f aca="false">IF(B9="","",IF(H9&lt;&gt;"","ตรวจรับแล้ว",IF(G9&lt;&gt;"","ส่งมอบแล้ว รอตรวจรับ",IF(D9="","-",IF('ตั้งค่า Setup'!$C$15&gt;D9,"เกินกำหนด",IF(D9-'ตั้งค่า Setup'!$C$15&lt;=14,"ใกล้ครบกำหนด (≤14 วัน)","ยังไม่ถึงกำหนด"))))))</f>
        <v/>
      </c>
      <c r="L9" s="107" t="str">
        <f aca="false">IF(OR(B9="",D9=""),"",MAX(0,IF(G9&lt;&gt;"",G9,IF(H9&lt;&gt;"",H9,'ตั้งค่า Setup'!$C$15))-D9))</f>
        <v/>
      </c>
      <c r="M9" s="35"/>
    </row>
    <row r="10" customFormat="false" ht="15" hidden="false" customHeight="false" outlineLevel="0" collapsed="false">
      <c r="A10" s="22"/>
      <c r="B10" s="35"/>
      <c r="C10" s="102"/>
      <c r="D10" s="27"/>
      <c r="E10" s="103"/>
      <c r="F10" s="104" t="str">
        <f aca="false">IF(E10="","",E10/'ตั้งค่า Setup'!$C$9)</f>
        <v/>
      </c>
      <c r="G10" s="27"/>
      <c r="H10" s="27"/>
      <c r="I10" s="105" t="str">
        <f aca="false">IF(OR(E10="",H10=""),"",E10)</f>
        <v/>
      </c>
      <c r="J10" s="106" t="str">
        <f aca="false">IF(OR(B10="",C10=""),"",IF(Dashboard!$C$19&gt;=C10,"✓ ถึงเกณฑ์แล้ว","ยังขาด "&amp;TEXT(C10-Dashboard!$C$19,"0.00%")))</f>
        <v/>
      </c>
      <c r="K10" s="106" t="str">
        <f aca="false">IF(B10="","",IF(H10&lt;&gt;"","ตรวจรับแล้ว",IF(G10&lt;&gt;"","ส่งมอบแล้ว รอตรวจรับ",IF(D10="","-",IF('ตั้งค่า Setup'!$C$15&gt;D10,"เกินกำหนด",IF(D10-'ตั้งค่า Setup'!$C$15&lt;=14,"ใกล้ครบกำหนด (≤14 วัน)","ยังไม่ถึงกำหนด"))))))</f>
        <v/>
      </c>
      <c r="L10" s="107" t="str">
        <f aca="false">IF(OR(B10="",D10=""),"",MAX(0,IF(G10&lt;&gt;"",G10,IF(H10&lt;&gt;"",H10,'ตั้งค่า Setup'!$C$15))-D10))</f>
        <v/>
      </c>
      <c r="M10" s="35"/>
    </row>
    <row r="11" customFormat="false" ht="15" hidden="false" customHeight="false" outlineLevel="0" collapsed="false">
      <c r="A11" s="22"/>
      <c r="B11" s="35"/>
      <c r="C11" s="102"/>
      <c r="D11" s="27"/>
      <c r="E11" s="103"/>
      <c r="F11" s="104" t="str">
        <f aca="false">IF(E11="","",E11/'ตั้งค่า Setup'!$C$9)</f>
        <v/>
      </c>
      <c r="G11" s="27"/>
      <c r="H11" s="27"/>
      <c r="I11" s="105" t="str">
        <f aca="false">IF(OR(E11="",H11=""),"",E11)</f>
        <v/>
      </c>
      <c r="J11" s="106" t="str">
        <f aca="false">IF(OR(B11="",C11=""),"",IF(Dashboard!$C$19&gt;=C11,"✓ ถึงเกณฑ์แล้ว","ยังขาด "&amp;TEXT(C11-Dashboard!$C$19,"0.00%")))</f>
        <v/>
      </c>
      <c r="K11" s="106" t="str">
        <f aca="false">IF(B11="","",IF(H11&lt;&gt;"","ตรวจรับแล้ว",IF(G11&lt;&gt;"","ส่งมอบแล้ว รอตรวจรับ",IF(D11="","-",IF('ตั้งค่า Setup'!$C$15&gt;D11,"เกินกำหนด",IF(D11-'ตั้งค่า Setup'!$C$15&lt;=14,"ใกล้ครบกำหนด (≤14 วัน)","ยังไม่ถึงกำหนด"))))))</f>
        <v/>
      </c>
      <c r="L11" s="107" t="str">
        <f aca="false">IF(OR(B11="",D11=""),"",MAX(0,IF(G11&lt;&gt;"",G11,IF(H11&lt;&gt;"",H11,'ตั้งค่า Setup'!$C$15))-D11))</f>
        <v/>
      </c>
      <c r="M11" s="35"/>
    </row>
    <row r="12" customFormat="false" ht="15" hidden="false" customHeight="false" outlineLevel="0" collapsed="false">
      <c r="A12" s="22"/>
      <c r="B12" s="35"/>
      <c r="C12" s="102"/>
      <c r="D12" s="27"/>
      <c r="E12" s="103"/>
      <c r="F12" s="104" t="str">
        <f aca="false">IF(E12="","",E12/'ตั้งค่า Setup'!$C$9)</f>
        <v/>
      </c>
      <c r="G12" s="27"/>
      <c r="H12" s="27"/>
      <c r="I12" s="105" t="str">
        <f aca="false">IF(OR(E12="",H12=""),"",E12)</f>
        <v/>
      </c>
      <c r="J12" s="106" t="str">
        <f aca="false">IF(OR(B12="",C12=""),"",IF(Dashboard!$C$19&gt;=C12,"✓ ถึงเกณฑ์แล้ว","ยังขาด "&amp;TEXT(C12-Dashboard!$C$19,"0.00%")))</f>
        <v/>
      </c>
      <c r="K12" s="106" t="str">
        <f aca="false">IF(B12="","",IF(H12&lt;&gt;"","ตรวจรับแล้ว",IF(G12&lt;&gt;"","ส่งมอบแล้ว รอตรวจรับ",IF(D12="","-",IF('ตั้งค่า Setup'!$C$15&gt;D12,"เกินกำหนด",IF(D12-'ตั้งค่า Setup'!$C$15&lt;=14,"ใกล้ครบกำหนด (≤14 วัน)","ยังไม่ถึงกำหนด"))))))</f>
        <v/>
      </c>
      <c r="L12" s="107" t="str">
        <f aca="false">IF(OR(B12="",D12=""),"",MAX(0,IF(G12&lt;&gt;"",G12,IF(H12&lt;&gt;"",H12,'ตั้งค่า Setup'!$C$15))-D12))</f>
        <v/>
      </c>
      <c r="M12" s="35"/>
    </row>
    <row r="13" customFormat="false" ht="15" hidden="false" customHeight="false" outlineLevel="0" collapsed="false">
      <c r="A13" s="22"/>
      <c r="B13" s="35"/>
      <c r="C13" s="102"/>
      <c r="D13" s="27"/>
      <c r="E13" s="103"/>
      <c r="F13" s="104" t="str">
        <f aca="false">IF(E13="","",E13/'ตั้งค่า Setup'!$C$9)</f>
        <v/>
      </c>
      <c r="G13" s="27"/>
      <c r="H13" s="27"/>
      <c r="I13" s="105" t="str">
        <f aca="false">IF(OR(E13="",H13=""),"",E13)</f>
        <v/>
      </c>
      <c r="J13" s="106" t="str">
        <f aca="false">IF(OR(B13="",C13=""),"",IF(Dashboard!$C$19&gt;=C13,"✓ ถึงเกณฑ์แล้ว","ยังขาด "&amp;TEXT(C13-Dashboard!$C$19,"0.00%")))</f>
        <v/>
      </c>
      <c r="K13" s="106" t="str">
        <f aca="false">IF(B13="","",IF(H13&lt;&gt;"","ตรวจรับแล้ว",IF(G13&lt;&gt;"","ส่งมอบแล้ว รอตรวจรับ",IF(D13="","-",IF('ตั้งค่า Setup'!$C$15&gt;D13,"เกินกำหนด",IF(D13-'ตั้งค่า Setup'!$C$15&lt;=14,"ใกล้ครบกำหนด (≤14 วัน)","ยังไม่ถึงกำหนด"))))))</f>
        <v/>
      </c>
      <c r="L13" s="107" t="str">
        <f aca="false">IF(OR(B13="",D13=""),"",MAX(0,IF(G13&lt;&gt;"",G13,IF(H13&lt;&gt;"",H13,'ตั้งค่า Setup'!$C$15))-D13))</f>
        <v/>
      </c>
      <c r="M13" s="35"/>
    </row>
    <row r="14" customFormat="false" ht="15" hidden="false" customHeight="false" outlineLevel="0" collapsed="false">
      <c r="A14" s="22"/>
      <c r="B14" s="35"/>
      <c r="C14" s="102"/>
      <c r="D14" s="27"/>
      <c r="E14" s="103"/>
      <c r="F14" s="104" t="str">
        <f aca="false">IF(E14="","",E14/'ตั้งค่า Setup'!$C$9)</f>
        <v/>
      </c>
      <c r="G14" s="27"/>
      <c r="H14" s="27"/>
      <c r="I14" s="105" t="str">
        <f aca="false">IF(OR(E14="",H14=""),"",E14)</f>
        <v/>
      </c>
      <c r="J14" s="106" t="str">
        <f aca="false">IF(OR(B14="",C14=""),"",IF(Dashboard!$C$19&gt;=C14,"✓ ถึงเกณฑ์แล้ว","ยังขาด "&amp;TEXT(C14-Dashboard!$C$19,"0.00%")))</f>
        <v/>
      </c>
      <c r="K14" s="106" t="str">
        <f aca="false">IF(B14="","",IF(H14&lt;&gt;"","ตรวจรับแล้ว",IF(G14&lt;&gt;"","ส่งมอบแล้ว รอตรวจรับ",IF(D14="","-",IF('ตั้งค่า Setup'!$C$15&gt;D14,"เกินกำหนด",IF(D14-'ตั้งค่า Setup'!$C$15&lt;=14,"ใกล้ครบกำหนด (≤14 วัน)","ยังไม่ถึงกำหนด"))))))</f>
        <v/>
      </c>
      <c r="L14" s="107" t="str">
        <f aca="false">IF(OR(B14="",D14=""),"",MAX(0,IF(G14&lt;&gt;"",G14,IF(H14&lt;&gt;"",H14,'ตั้งค่า Setup'!$C$15))-D14))</f>
        <v/>
      </c>
      <c r="M14" s="35"/>
    </row>
    <row r="15" customFormat="false" ht="15" hidden="false" customHeight="false" outlineLevel="0" collapsed="false">
      <c r="A15" s="22"/>
      <c r="B15" s="35"/>
      <c r="C15" s="102"/>
      <c r="D15" s="27"/>
      <c r="E15" s="103"/>
      <c r="F15" s="104" t="str">
        <f aca="false">IF(E15="","",E15/'ตั้งค่า Setup'!$C$9)</f>
        <v/>
      </c>
      <c r="G15" s="27"/>
      <c r="H15" s="27"/>
      <c r="I15" s="105" t="str">
        <f aca="false">IF(OR(E15="",H15=""),"",E15)</f>
        <v/>
      </c>
      <c r="J15" s="106" t="str">
        <f aca="false">IF(OR(B15="",C15=""),"",IF(Dashboard!$C$19&gt;=C15,"✓ ถึงเกณฑ์แล้ว","ยังขาด "&amp;TEXT(C15-Dashboard!$C$19,"0.00%")))</f>
        <v/>
      </c>
      <c r="K15" s="106" t="str">
        <f aca="false">IF(B15="","",IF(H15&lt;&gt;"","ตรวจรับแล้ว",IF(G15&lt;&gt;"","ส่งมอบแล้ว รอตรวจรับ",IF(D15="","-",IF('ตั้งค่า Setup'!$C$15&gt;D15,"เกินกำหนด",IF(D15-'ตั้งค่า Setup'!$C$15&lt;=14,"ใกล้ครบกำหนด (≤14 วัน)","ยังไม่ถึงกำหนด"))))))</f>
        <v/>
      </c>
      <c r="L15" s="107" t="str">
        <f aca="false">IF(OR(B15="",D15=""),"",MAX(0,IF(G15&lt;&gt;"",G15,IF(H15&lt;&gt;"",H15,'ตั้งค่า Setup'!$C$15))-D15))</f>
        <v/>
      </c>
      <c r="M15" s="35"/>
    </row>
    <row r="16" customFormat="false" ht="15" hidden="false" customHeight="false" outlineLevel="0" collapsed="false">
      <c r="A16" s="22"/>
      <c r="B16" s="35"/>
      <c r="C16" s="102"/>
      <c r="D16" s="27"/>
      <c r="E16" s="103"/>
      <c r="F16" s="104" t="str">
        <f aca="false">IF(E16="","",E16/'ตั้งค่า Setup'!$C$9)</f>
        <v/>
      </c>
      <c r="G16" s="27"/>
      <c r="H16" s="27"/>
      <c r="I16" s="105" t="str">
        <f aca="false">IF(OR(E16="",H16=""),"",E16)</f>
        <v/>
      </c>
      <c r="J16" s="106" t="str">
        <f aca="false">IF(OR(B16="",C16=""),"",IF(Dashboard!$C$19&gt;=C16,"✓ ถึงเกณฑ์แล้ว","ยังขาด "&amp;TEXT(C16-Dashboard!$C$19,"0.00%")))</f>
        <v/>
      </c>
      <c r="K16" s="106" t="str">
        <f aca="false">IF(B16="","",IF(H16&lt;&gt;"","ตรวจรับแล้ว",IF(G16&lt;&gt;"","ส่งมอบแล้ว รอตรวจรับ",IF(D16="","-",IF('ตั้งค่า Setup'!$C$15&gt;D16,"เกินกำหนด",IF(D16-'ตั้งค่า Setup'!$C$15&lt;=14,"ใกล้ครบกำหนด (≤14 วัน)","ยังไม่ถึงกำหนด"))))))</f>
        <v/>
      </c>
      <c r="L16" s="107" t="str">
        <f aca="false">IF(OR(B16="",D16=""),"",MAX(0,IF(G16&lt;&gt;"",G16,IF(H16&lt;&gt;"",H16,'ตั้งค่า Setup'!$C$15))-D16))</f>
        <v/>
      </c>
      <c r="M16" s="35"/>
    </row>
    <row r="17" customFormat="false" ht="15" hidden="false" customHeight="false" outlineLevel="0" collapsed="false">
      <c r="A17" s="22"/>
      <c r="B17" s="35"/>
      <c r="C17" s="102"/>
      <c r="D17" s="27"/>
      <c r="E17" s="103"/>
      <c r="F17" s="104" t="str">
        <f aca="false">IF(E17="","",E17/'ตั้งค่า Setup'!$C$9)</f>
        <v/>
      </c>
      <c r="G17" s="27"/>
      <c r="H17" s="27"/>
      <c r="I17" s="105" t="str">
        <f aca="false">IF(OR(E17="",H17=""),"",E17)</f>
        <v/>
      </c>
      <c r="J17" s="106" t="str">
        <f aca="false">IF(OR(B17="",C17=""),"",IF(Dashboard!$C$19&gt;=C17,"✓ ถึงเกณฑ์แล้ว","ยังขาด "&amp;TEXT(C17-Dashboard!$C$19,"0.00%")))</f>
        <v/>
      </c>
      <c r="K17" s="106" t="str">
        <f aca="false">IF(B17="","",IF(H17&lt;&gt;"","ตรวจรับแล้ว",IF(G17&lt;&gt;"","ส่งมอบแล้ว รอตรวจรับ",IF(D17="","-",IF('ตั้งค่า Setup'!$C$15&gt;D17,"เกินกำหนด",IF(D17-'ตั้งค่า Setup'!$C$15&lt;=14,"ใกล้ครบกำหนด (≤14 วัน)","ยังไม่ถึงกำหนด"))))))</f>
        <v/>
      </c>
      <c r="L17" s="107" t="str">
        <f aca="false">IF(OR(B17="",D17=""),"",MAX(0,IF(G17&lt;&gt;"",G17,IF(H17&lt;&gt;"",H17,'ตั้งค่า Setup'!$C$15))-D17))</f>
        <v/>
      </c>
      <c r="M17" s="35"/>
    </row>
    <row r="18" customFormat="false" ht="15" hidden="false" customHeight="false" outlineLevel="0" collapsed="false">
      <c r="A18" s="22"/>
      <c r="B18" s="35"/>
      <c r="C18" s="102"/>
      <c r="D18" s="27"/>
      <c r="E18" s="103"/>
      <c r="F18" s="104" t="str">
        <f aca="false">IF(E18="","",E18/'ตั้งค่า Setup'!$C$9)</f>
        <v/>
      </c>
      <c r="G18" s="27"/>
      <c r="H18" s="27"/>
      <c r="I18" s="105" t="str">
        <f aca="false">IF(OR(E18="",H18=""),"",E18)</f>
        <v/>
      </c>
      <c r="J18" s="106" t="str">
        <f aca="false">IF(OR(B18="",C18=""),"",IF(Dashboard!$C$19&gt;=C18,"✓ ถึงเกณฑ์แล้ว","ยังขาด "&amp;TEXT(C18-Dashboard!$C$19,"0.00%")))</f>
        <v/>
      </c>
      <c r="K18" s="106" t="str">
        <f aca="false">IF(B18="","",IF(H18&lt;&gt;"","ตรวจรับแล้ว",IF(G18&lt;&gt;"","ส่งมอบแล้ว รอตรวจรับ",IF(D18="","-",IF('ตั้งค่า Setup'!$C$15&gt;D18,"เกินกำหนด",IF(D18-'ตั้งค่า Setup'!$C$15&lt;=14,"ใกล้ครบกำหนด (≤14 วัน)","ยังไม่ถึงกำหนด"))))))</f>
        <v/>
      </c>
      <c r="L18" s="107" t="str">
        <f aca="false">IF(OR(B18="",D18=""),"",MAX(0,IF(G18&lt;&gt;"",G18,IF(H18&lt;&gt;"",H18,'ตั้งค่า Setup'!$C$15))-D18))</f>
        <v/>
      </c>
      <c r="M18" s="35"/>
    </row>
    <row r="19" customFormat="false" ht="15" hidden="false" customHeight="false" outlineLevel="0" collapsed="false">
      <c r="A19" s="22"/>
      <c r="B19" s="35"/>
      <c r="C19" s="102"/>
      <c r="D19" s="27"/>
      <c r="E19" s="103"/>
      <c r="F19" s="104" t="str">
        <f aca="false">IF(E19="","",E19/'ตั้งค่า Setup'!$C$9)</f>
        <v/>
      </c>
      <c r="G19" s="27"/>
      <c r="H19" s="27"/>
      <c r="I19" s="105" t="str">
        <f aca="false">IF(OR(E19="",H19=""),"",E19)</f>
        <v/>
      </c>
      <c r="J19" s="106" t="str">
        <f aca="false">IF(OR(B19="",C19=""),"",IF(Dashboard!$C$19&gt;=C19,"✓ ถึงเกณฑ์แล้ว","ยังขาด "&amp;TEXT(C19-Dashboard!$C$19,"0.00%")))</f>
        <v/>
      </c>
      <c r="K19" s="106" t="str">
        <f aca="false">IF(B19="","",IF(H19&lt;&gt;"","ตรวจรับแล้ว",IF(G19&lt;&gt;"","ส่งมอบแล้ว รอตรวจรับ",IF(D19="","-",IF('ตั้งค่า Setup'!$C$15&gt;D19,"เกินกำหนด",IF(D19-'ตั้งค่า Setup'!$C$15&lt;=14,"ใกล้ครบกำหนด (≤14 วัน)","ยังไม่ถึงกำหนด"))))))</f>
        <v/>
      </c>
      <c r="L19" s="107" t="str">
        <f aca="false">IF(OR(B19="",D19=""),"",MAX(0,IF(G19&lt;&gt;"",G19,IF(H19&lt;&gt;"",H19,'ตั้งค่า Setup'!$C$15))-D19))</f>
        <v/>
      </c>
      <c r="M19" s="35"/>
    </row>
    <row r="20" customFormat="false" ht="15" hidden="false" customHeight="false" outlineLevel="0" collapsed="false">
      <c r="A20" s="22"/>
      <c r="B20" s="35"/>
      <c r="C20" s="102"/>
      <c r="D20" s="27"/>
      <c r="E20" s="103"/>
      <c r="F20" s="104" t="str">
        <f aca="false">IF(E20="","",E20/'ตั้งค่า Setup'!$C$9)</f>
        <v/>
      </c>
      <c r="G20" s="27"/>
      <c r="H20" s="27"/>
      <c r="I20" s="105" t="str">
        <f aca="false">IF(OR(E20="",H20=""),"",E20)</f>
        <v/>
      </c>
      <c r="J20" s="106" t="str">
        <f aca="false">IF(OR(B20="",C20=""),"",IF(Dashboard!$C$19&gt;=C20,"✓ ถึงเกณฑ์แล้ว","ยังขาด "&amp;TEXT(C20-Dashboard!$C$19,"0.00%")))</f>
        <v/>
      </c>
      <c r="K20" s="106" t="str">
        <f aca="false">IF(B20="","",IF(H20&lt;&gt;"","ตรวจรับแล้ว",IF(G20&lt;&gt;"","ส่งมอบแล้ว รอตรวจรับ",IF(D20="","-",IF('ตั้งค่า Setup'!$C$15&gt;D20,"เกินกำหนด",IF(D20-'ตั้งค่า Setup'!$C$15&lt;=14,"ใกล้ครบกำหนด (≤14 วัน)","ยังไม่ถึงกำหนด"))))))</f>
        <v/>
      </c>
      <c r="L20" s="107" t="str">
        <f aca="false">IF(OR(B20="",D20=""),"",MAX(0,IF(G20&lt;&gt;"",G20,IF(H20&lt;&gt;"",H20,'ตั้งค่า Setup'!$C$15))-D20))</f>
        <v/>
      </c>
      <c r="M20" s="35"/>
    </row>
    <row r="21" customFormat="false" ht="15" hidden="false" customHeight="false" outlineLevel="0" collapsed="false">
      <c r="A21" s="22"/>
      <c r="B21" s="35"/>
      <c r="C21" s="102"/>
      <c r="D21" s="27"/>
      <c r="E21" s="103"/>
      <c r="F21" s="104" t="str">
        <f aca="false">IF(E21="","",E21/'ตั้งค่า Setup'!$C$9)</f>
        <v/>
      </c>
      <c r="G21" s="27"/>
      <c r="H21" s="27"/>
      <c r="I21" s="105" t="str">
        <f aca="false">IF(OR(E21="",H21=""),"",E21)</f>
        <v/>
      </c>
      <c r="J21" s="106" t="str">
        <f aca="false">IF(OR(B21="",C21=""),"",IF(Dashboard!$C$19&gt;=C21,"✓ ถึงเกณฑ์แล้ว","ยังขาด "&amp;TEXT(C21-Dashboard!$C$19,"0.00%")))</f>
        <v/>
      </c>
      <c r="K21" s="106" t="str">
        <f aca="false">IF(B21="","",IF(H21&lt;&gt;"","ตรวจรับแล้ว",IF(G21&lt;&gt;"","ส่งมอบแล้ว รอตรวจรับ",IF(D21="","-",IF('ตั้งค่า Setup'!$C$15&gt;D21,"เกินกำหนด",IF(D21-'ตั้งค่า Setup'!$C$15&lt;=14,"ใกล้ครบกำหนด (≤14 วัน)","ยังไม่ถึงกำหนด"))))))</f>
        <v/>
      </c>
      <c r="L21" s="107" t="str">
        <f aca="false">IF(OR(B21="",D21=""),"",MAX(0,IF(G21&lt;&gt;"",G21,IF(H21&lt;&gt;"",H21,'ตั้งค่า Setup'!$C$15))-D21))</f>
        <v/>
      </c>
      <c r="M21" s="35"/>
    </row>
    <row r="22" customFormat="false" ht="15" hidden="false" customHeight="false" outlineLevel="0" collapsed="false">
      <c r="A22" s="22"/>
      <c r="B22" s="35"/>
      <c r="C22" s="102"/>
      <c r="D22" s="27"/>
      <c r="E22" s="103"/>
      <c r="F22" s="104" t="str">
        <f aca="false">IF(E22="","",E22/'ตั้งค่า Setup'!$C$9)</f>
        <v/>
      </c>
      <c r="G22" s="27"/>
      <c r="H22" s="27"/>
      <c r="I22" s="105" t="str">
        <f aca="false">IF(OR(E22="",H22=""),"",E22)</f>
        <v/>
      </c>
      <c r="J22" s="106" t="str">
        <f aca="false">IF(OR(B22="",C22=""),"",IF(Dashboard!$C$19&gt;=C22,"✓ ถึงเกณฑ์แล้ว","ยังขาด "&amp;TEXT(C22-Dashboard!$C$19,"0.00%")))</f>
        <v/>
      </c>
      <c r="K22" s="106" t="str">
        <f aca="false">IF(B22="","",IF(H22&lt;&gt;"","ตรวจรับแล้ว",IF(G22&lt;&gt;"","ส่งมอบแล้ว รอตรวจรับ",IF(D22="","-",IF('ตั้งค่า Setup'!$C$15&gt;D22,"เกินกำหนด",IF(D22-'ตั้งค่า Setup'!$C$15&lt;=14,"ใกล้ครบกำหนด (≤14 วัน)","ยังไม่ถึงกำหนด"))))))</f>
        <v/>
      </c>
      <c r="L22" s="107" t="str">
        <f aca="false">IF(OR(B22="",D22=""),"",MAX(0,IF(G22&lt;&gt;"",G22,IF(H22&lt;&gt;"",H22,'ตั้งค่า Setup'!$C$15))-D22))</f>
        <v/>
      </c>
      <c r="M22" s="35"/>
    </row>
    <row r="23" customFormat="false" ht="15" hidden="false" customHeight="false" outlineLevel="0" collapsed="false">
      <c r="A23" s="22"/>
      <c r="B23" s="35"/>
      <c r="C23" s="102"/>
      <c r="D23" s="27"/>
      <c r="E23" s="103"/>
      <c r="F23" s="104" t="str">
        <f aca="false">IF(E23="","",E23/'ตั้งค่า Setup'!$C$9)</f>
        <v/>
      </c>
      <c r="G23" s="27"/>
      <c r="H23" s="27"/>
      <c r="I23" s="105" t="str">
        <f aca="false">IF(OR(E23="",H23=""),"",E23)</f>
        <v/>
      </c>
      <c r="J23" s="106" t="str">
        <f aca="false">IF(OR(B23="",C23=""),"",IF(Dashboard!$C$19&gt;=C23,"✓ ถึงเกณฑ์แล้ว","ยังขาด "&amp;TEXT(C23-Dashboard!$C$19,"0.00%")))</f>
        <v/>
      </c>
      <c r="K23" s="106" t="str">
        <f aca="false">IF(B23="","",IF(H23&lt;&gt;"","ตรวจรับแล้ว",IF(G23&lt;&gt;"","ส่งมอบแล้ว รอตรวจรับ",IF(D23="","-",IF('ตั้งค่า Setup'!$C$15&gt;D23,"เกินกำหนด",IF(D23-'ตั้งค่า Setup'!$C$15&lt;=14,"ใกล้ครบกำหนด (≤14 วัน)","ยังไม่ถึงกำหนด"))))))</f>
        <v/>
      </c>
      <c r="L23" s="107" t="str">
        <f aca="false">IF(OR(B23="",D23=""),"",MAX(0,IF(G23&lt;&gt;"",G23,IF(H23&lt;&gt;"",H23,'ตั้งค่า Setup'!$C$15))-D23))</f>
        <v/>
      </c>
      <c r="M23" s="35"/>
    </row>
    <row r="24" customFormat="false" ht="15" hidden="false" customHeight="false" outlineLevel="0" collapsed="false">
      <c r="A24" s="22"/>
      <c r="B24" s="35"/>
      <c r="C24" s="102"/>
      <c r="D24" s="27"/>
      <c r="E24" s="103"/>
      <c r="F24" s="104" t="str">
        <f aca="false">IF(E24="","",E24/'ตั้งค่า Setup'!$C$9)</f>
        <v/>
      </c>
      <c r="G24" s="27"/>
      <c r="H24" s="27"/>
      <c r="I24" s="105" t="str">
        <f aca="false">IF(OR(E24="",H24=""),"",E24)</f>
        <v/>
      </c>
      <c r="J24" s="106" t="str">
        <f aca="false">IF(OR(B24="",C24=""),"",IF(Dashboard!$C$19&gt;=C24,"✓ ถึงเกณฑ์แล้ว","ยังขาด "&amp;TEXT(C24-Dashboard!$C$19,"0.00%")))</f>
        <v/>
      </c>
      <c r="K24" s="106" t="str">
        <f aca="false">IF(B24="","",IF(H24&lt;&gt;"","ตรวจรับแล้ว",IF(G24&lt;&gt;"","ส่งมอบแล้ว รอตรวจรับ",IF(D24="","-",IF('ตั้งค่า Setup'!$C$15&gt;D24,"เกินกำหนด",IF(D24-'ตั้งค่า Setup'!$C$15&lt;=14,"ใกล้ครบกำหนด (≤14 วัน)","ยังไม่ถึงกำหนด"))))))</f>
        <v/>
      </c>
      <c r="L24" s="107" t="str">
        <f aca="false">IF(OR(B24="",D24=""),"",MAX(0,IF(G24&lt;&gt;"",G24,IF(H24&lt;&gt;"",H24,'ตั้งค่า Setup'!$C$15))-D24))</f>
        <v/>
      </c>
      <c r="M24" s="35"/>
    </row>
    <row r="25" customFormat="false" ht="15" hidden="false" customHeight="false" outlineLevel="0" collapsed="false">
      <c r="A25" s="22"/>
      <c r="B25" s="35"/>
      <c r="C25" s="102"/>
      <c r="D25" s="27"/>
      <c r="E25" s="103"/>
      <c r="F25" s="104" t="str">
        <f aca="false">IF(E25="","",E25/'ตั้งค่า Setup'!$C$9)</f>
        <v/>
      </c>
      <c r="G25" s="27"/>
      <c r="H25" s="27"/>
      <c r="I25" s="105" t="str">
        <f aca="false">IF(OR(E25="",H25=""),"",E25)</f>
        <v/>
      </c>
      <c r="J25" s="106" t="str">
        <f aca="false">IF(OR(B25="",C25=""),"",IF(Dashboard!$C$19&gt;=C25,"✓ ถึงเกณฑ์แล้ว","ยังขาด "&amp;TEXT(C25-Dashboard!$C$19,"0.00%")))</f>
        <v/>
      </c>
      <c r="K25" s="106" t="str">
        <f aca="false">IF(B25="","",IF(H25&lt;&gt;"","ตรวจรับแล้ว",IF(G25&lt;&gt;"","ส่งมอบแล้ว รอตรวจรับ",IF(D25="","-",IF('ตั้งค่า Setup'!$C$15&gt;D25,"เกินกำหนด",IF(D25-'ตั้งค่า Setup'!$C$15&lt;=14,"ใกล้ครบกำหนด (≤14 วัน)","ยังไม่ถึงกำหนด"))))))</f>
        <v/>
      </c>
      <c r="L25" s="107" t="str">
        <f aca="false">IF(OR(B25="",D25=""),"",MAX(0,IF(G25&lt;&gt;"",G25,IF(H25&lt;&gt;"",H25,'ตั้งค่า Setup'!$C$15))-D25))</f>
        <v/>
      </c>
      <c r="M25" s="35"/>
    </row>
    <row r="26" customFormat="false" ht="15" hidden="false" customHeight="false" outlineLevel="0" collapsed="false">
      <c r="A26" s="22"/>
      <c r="B26" s="35"/>
      <c r="C26" s="102"/>
      <c r="D26" s="27"/>
      <c r="E26" s="103"/>
      <c r="F26" s="104" t="str">
        <f aca="false">IF(E26="","",E26/'ตั้งค่า Setup'!$C$9)</f>
        <v/>
      </c>
      <c r="G26" s="27"/>
      <c r="H26" s="27"/>
      <c r="I26" s="105" t="str">
        <f aca="false">IF(OR(E26="",H26=""),"",E26)</f>
        <v/>
      </c>
      <c r="J26" s="106" t="str">
        <f aca="false">IF(OR(B26="",C26=""),"",IF(Dashboard!$C$19&gt;=C26,"✓ ถึงเกณฑ์แล้ว","ยังขาด "&amp;TEXT(C26-Dashboard!$C$19,"0.00%")))</f>
        <v/>
      </c>
      <c r="K26" s="106" t="str">
        <f aca="false">IF(B26="","",IF(H26&lt;&gt;"","ตรวจรับแล้ว",IF(G26&lt;&gt;"","ส่งมอบแล้ว รอตรวจรับ",IF(D26="","-",IF('ตั้งค่า Setup'!$C$15&gt;D26,"เกินกำหนด",IF(D26-'ตั้งค่า Setup'!$C$15&lt;=14,"ใกล้ครบกำหนด (≤14 วัน)","ยังไม่ถึงกำหนด"))))))</f>
        <v/>
      </c>
      <c r="L26" s="107" t="str">
        <f aca="false">IF(OR(B26="",D26=""),"",MAX(0,IF(G26&lt;&gt;"",G26,IF(H26&lt;&gt;"",H26,'ตั้งค่า Setup'!$C$15))-D26))</f>
        <v/>
      </c>
      <c r="M26" s="35"/>
    </row>
    <row r="27" customFormat="false" ht="15" hidden="false" customHeight="false" outlineLevel="0" collapsed="false">
      <c r="A27" s="108"/>
      <c r="B27" s="109" t="s">
        <v>466</v>
      </c>
      <c r="C27" s="108"/>
      <c r="D27" s="108"/>
      <c r="E27" s="110" t="n">
        <f aca="false">SUM(E7:E26)</f>
        <v>0</v>
      </c>
      <c r="F27" s="111" t="n">
        <f aca="false">SUM(F7:F26)</f>
        <v>0</v>
      </c>
      <c r="G27" s="108"/>
      <c r="H27" s="108"/>
      <c r="I27" s="110" t="n">
        <f aca="false">SUM(I7:I26)</f>
        <v>0</v>
      </c>
      <c r="J27" s="108"/>
      <c r="K27" s="108" t="str">
        <f aca="false">IF(COUNT(E7:E26)=0,"",IF(ABS(E27-'ตั้งค่า Setup'!$C$9)&lt;1,"✓ ตรงกับมูลค่าสัญญา","⚠ ต่างจากมูลค่าสัญญา "&amp;TEXT(E27-'ตั้งค่า Setup'!$C$9,"#,##0")))</f>
        <v/>
      </c>
      <c r="L27" s="108"/>
      <c r="M27" s="108"/>
    </row>
  </sheetData>
  <sheetProtection sheet="true" formatCells="false" formatColumns="false" formatRows="false"/>
  <conditionalFormatting sqref="K7:K26">
    <cfRule type="expression" priority="2" aboveAverage="0" equalAverage="0" bottom="0" percent="0" rank="0" text="" dxfId="6">
      <formula>K7="เกินกำหนด"</formula>
    </cfRule>
    <cfRule type="expression" priority="3" aboveAverage="0" equalAverage="0" bottom="0" percent="0" rank="0" text="" dxfId="1">
      <formula>LEFT(K7,4)="ใกล้ค"</formula>
    </cfRule>
    <cfRule type="expression" priority="4" aboveAverage="0" equalAverage="0" bottom="0" percent="0" rank="0" text="" dxfId="2">
      <formula>K7="ตรวจรับแล้ว"</formula>
    </cfRule>
  </conditionalFormatting>
  <conditionalFormatting sqref="J7:J26">
    <cfRule type="expression" priority="5" aboveAverage="0" equalAverage="0" bottom="0" percent="0" rank="0" text="" dxfId="7">
      <formula>LEFT(J7,1)="✓"</formula>
    </cfRule>
  </conditionalFormatting>
  <conditionalFormatting sqref="K27">
    <cfRule type="expression" priority="6" aboveAverage="0" equalAverage="0" bottom="0" percent="0" rank="0" text="" dxfId="4">
      <formula>LEFT(K27,1)="⚠"</formula>
    </cfRule>
  </conditionalFormatting>
  <dataValidations count="2">
    <dataValidation allowBlank="false" error="กรุณากรอกวันที่" errorStyle="stop" operator="greaterThan" showDropDown="false" showErrorMessage="false" showInputMessage="false" sqref="D7:D26 G7:H26" type="date">
      <formula1>36526</formula1>
      <formula2>0</formula2>
    </dataValidation>
    <dataValidation allowBlank="false" error="กรอก 0%–100%" errorStyle="stop" operator="between" showDropDown="false" showErrorMessage="false" showInputMessage="false" sqref="C7:C2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30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8" min="6" style="1" width="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40"/>
    <col collapsed="false" customWidth="true" hidden="false" outlineLevel="0" max="12" min="12" style="1" width="36"/>
    <col collapsed="false" customWidth="true" hidden="false" outlineLevel="0" max="14" min="13" style="1" width="30"/>
    <col collapsed="false" customWidth="true" hidden="false" outlineLevel="0" max="15" min="15" style="1" width="34"/>
  </cols>
  <sheetData>
    <row r="1" customFormat="false" ht="20.1" hidden="false" customHeight="false" outlineLevel="0" collapsed="false">
      <c r="A1" s="2" t="s">
        <v>467</v>
      </c>
    </row>
    <row r="2" customFormat="false" ht="15" hidden="false" customHeight="false" outlineLevel="0" collapsed="false">
      <c r="A2" s="19" t="s">
        <v>468</v>
      </c>
    </row>
    <row r="3" customFormat="false" ht="22.35" hidden="false" customHeight="true" outlineLevel="0" collapsed="false">
      <c r="B3" s="20" t="s">
        <v>469</v>
      </c>
      <c r="C3" s="20" t="s">
        <v>199</v>
      </c>
      <c r="D3" s="94" t="s">
        <v>237</v>
      </c>
      <c r="E3" s="94"/>
      <c r="F3" s="94"/>
    </row>
    <row r="4" customFormat="false" ht="15" hidden="false" customHeight="false" outlineLevel="0" collapsed="false">
      <c r="B4" s="21" t="s">
        <v>470</v>
      </c>
      <c r="C4" s="22"/>
      <c r="D4" s="23"/>
      <c r="E4" s="23"/>
      <c r="F4" s="23"/>
    </row>
    <row r="5" customFormat="false" ht="15" hidden="false" customHeight="false" outlineLevel="0" collapsed="false">
      <c r="B5" s="21" t="s">
        <v>471</v>
      </c>
      <c r="C5" s="22"/>
      <c r="D5" s="26" t="s">
        <v>472</v>
      </c>
      <c r="E5" s="26"/>
      <c r="F5" s="26"/>
    </row>
    <row r="6" customFormat="false" ht="15" hidden="false" customHeight="false" outlineLevel="0" collapsed="false">
      <c r="B6" s="21" t="s">
        <v>473</v>
      </c>
      <c r="C6" s="27"/>
      <c r="D6" s="26" t="s">
        <v>474</v>
      </c>
      <c r="E6" s="26"/>
      <c r="F6" s="26"/>
    </row>
    <row r="7" customFormat="false" ht="15" hidden="false" customHeight="false" outlineLevel="0" collapsed="false">
      <c r="B7" s="21" t="s">
        <v>475</v>
      </c>
      <c r="C7" s="22"/>
      <c r="D7" s="26" t="s">
        <v>476</v>
      </c>
      <c r="E7" s="26"/>
      <c r="F7" s="26"/>
    </row>
    <row r="8" customFormat="false" ht="15" hidden="false" customHeight="false" outlineLevel="0" collapsed="false">
      <c r="B8" s="21" t="s">
        <v>477</v>
      </c>
      <c r="C8" s="22" t="s">
        <v>478</v>
      </c>
      <c r="D8" s="26"/>
      <c r="E8" s="26"/>
      <c r="F8" s="26"/>
    </row>
    <row r="9" customFormat="false" ht="15" hidden="false" customHeight="false" outlineLevel="0" collapsed="false">
      <c r="B9" s="21" t="s">
        <v>479</v>
      </c>
      <c r="C9" s="22"/>
      <c r="D9" s="26"/>
      <c r="E9" s="26"/>
      <c r="F9" s="26"/>
    </row>
    <row r="10" customFormat="false" ht="15" hidden="false" customHeight="false" outlineLevel="0" collapsed="false">
      <c r="B10" s="21" t="s">
        <v>480</v>
      </c>
      <c r="C10" s="22"/>
      <c r="D10" s="26"/>
      <c r="E10" s="26"/>
      <c r="F10" s="26"/>
    </row>
    <row r="11" customFormat="false" ht="15" hidden="false" customHeight="false" outlineLevel="0" collapsed="false">
      <c r="B11" s="21" t="s">
        <v>481</v>
      </c>
      <c r="C11" s="22"/>
      <c r="D11" s="26"/>
      <c r="E11" s="26"/>
      <c r="F11" s="26"/>
    </row>
    <row r="12" customFormat="false" ht="15" hidden="false" customHeight="false" outlineLevel="0" collapsed="false">
      <c r="B12" s="21" t="s">
        <v>482</v>
      </c>
      <c r="C12" s="112" t="n">
        <f aca="false">MAX(1,INT(('ตั้งค่า Setup'!$C$15-'ตั้งค่า Setup'!$C$10+1)/7))</f>
        <v>31</v>
      </c>
      <c r="D12" s="26" t="s">
        <v>483</v>
      </c>
      <c r="E12" s="26"/>
      <c r="F12" s="26"/>
    </row>
    <row r="13" customFormat="false" ht="15" hidden="false" customHeight="false" outlineLevel="0" collapsed="false">
      <c r="B13" s="21" t="s">
        <v>484</v>
      </c>
      <c r="C13" s="113" t="n">
        <f aca="false">'ตั้งค่า Setup'!$C$15</f>
        <v>46293</v>
      </c>
      <c r="D13" s="26" t="s">
        <v>485</v>
      </c>
      <c r="E13" s="26"/>
      <c r="F13" s="26"/>
    </row>
    <row r="15" customFormat="false" ht="15" hidden="false" customHeight="false" outlineLevel="0" collapsed="false">
      <c r="A15" s="114" t="s">
        <v>486</v>
      </c>
    </row>
    <row r="16" customFormat="false" ht="42" hidden="false" customHeight="true" outlineLevel="0" collapsed="false">
      <c r="A16" s="20" t="s">
        <v>487</v>
      </c>
      <c r="B16" s="20" t="s">
        <v>488</v>
      </c>
      <c r="C16" s="20" t="s">
        <v>489</v>
      </c>
      <c r="D16" s="75" t="s">
        <v>490</v>
      </c>
      <c r="E16" s="75" t="s">
        <v>491</v>
      </c>
      <c r="F16" s="20" t="s">
        <v>492</v>
      </c>
      <c r="G16" s="20" t="s">
        <v>493</v>
      </c>
      <c r="H16" s="20" t="s">
        <v>494</v>
      </c>
      <c r="I16" s="20" t="s">
        <v>495</v>
      </c>
      <c r="J16" s="20" t="s">
        <v>496</v>
      </c>
      <c r="K16" s="20" t="s">
        <v>497</v>
      </c>
      <c r="L16" s="20" t="s">
        <v>498</v>
      </c>
      <c r="M16" s="20" t="s">
        <v>499</v>
      </c>
      <c r="N16" s="20" t="s">
        <v>500</v>
      </c>
      <c r="O16" s="20" t="s">
        <v>501</v>
      </c>
    </row>
    <row r="17" customFormat="false" ht="15" hidden="false" customHeight="false" outlineLevel="0" collapsed="false">
      <c r="A17" s="106" t="n">
        <f aca="false">IF('ตั้งค่า Setup'!$C$10+7*0&gt;MAX('ตั้งค่า Setup'!$C$69,'ตั้งค่า Setup'!$C$15)+7,"",1)</f>
        <v>1</v>
      </c>
      <c r="B17" s="115" t="n">
        <f aca="false">IF(A17="","",'ตั้งค่า Setup'!$C$10+7*0)</f>
        <v>46073</v>
      </c>
      <c r="C17" s="115" t="n">
        <f aca="false">IF(A17="","",B17+6)</f>
        <v>46079</v>
      </c>
      <c r="D17" s="104" t="n">
        <f aca="false">IF(A17="","",SUMPRODUCT('แผนงาน Schedule'!$F$7:$F$66,('แผนงาน Schedule'!$I$7:$I$66&lt;=C17)+('แผนงาน Schedule'!$H$7:$H$66&lt;=C17)*('แผนงาน Schedule'!$I$7:$I$66&gt;C17)*(C17-'แผนงาน Schedule'!$H$7:$H$66+1)/('แผนงาน Schedule'!$I$7:$I$66-'แผนงาน Schedule'!$H$7:$H$66+1)))</f>
        <v>0.02015</v>
      </c>
      <c r="E17" s="102"/>
      <c r="F17" s="104" t="str">
        <f aca="false">IF(E17="","",E17-0)</f>
        <v/>
      </c>
      <c r="G17" s="116" t="str">
        <f aca="false">IF(OR(E17="",D17=""),"",E17-D17)</f>
        <v/>
      </c>
      <c r="H17" s="24"/>
      <c r="I17" s="117"/>
      <c r="J17" s="117"/>
      <c r="K17" s="117"/>
      <c r="L17" s="117"/>
      <c r="M17" s="117"/>
      <c r="N17" s="117"/>
      <c r="O17" s="117"/>
    </row>
    <row r="18" customFormat="false" ht="15" hidden="false" customHeight="false" outlineLevel="0" collapsed="false">
      <c r="A18" s="106" t="n">
        <f aca="false">IF('ตั้งค่า Setup'!$C$10+7*1&gt;MAX('ตั้งค่า Setup'!$C$69,'ตั้งค่า Setup'!$C$15)+7,"",2)</f>
        <v>2</v>
      </c>
      <c r="B18" s="115" t="n">
        <f aca="false">IF(A18="","",'ตั้งค่า Setup'!$C$10+7*1)</f>
        <v>46080</v>
      </c>
      <c r="C18" s="115" t="n">
        <f aca="false">IF(A18="","",B18+6)</f>
        <v>46086</v>
      </c>
      <c r="D18" s="104" t="n">
        <f aca="false">IF(A18="","",SUMPRODUCT('แผนงาน Schedule'!$F$7:$F$66,('แผนงาน Schedule'!$I$7:$I$66&lt;=C18)+('แผนงาน Schedule'!$H$7:$H$66&lt;=C18)*('แผนงาน Schedule'!$I$7:$I$66&gt;C18)*(C18-'แผนงาน Schedule'!$H$7:$H$66+1)/('แผนงาน Schedule'!$I$7:$I$66-'แผนงาน Schedule'!$H$7:$H$66+1)))</f>
        <v>0.0395145833333333</v>
      </c>
      <c r="E18" s="102"/>
      <c r="F18" s="104" t="str">
        <f aca="false">IF(E18="","",E18-N(E17))</f>
        <v/>
      </c>
      <c r="G18" s="116" t="str">
        <f aca="false">IF(OR(E18="",D18=""),"",E18-D18)</f>
        <v/>
      </c>
      <c r="H18" s="24"/>
      <c r="I18" s="117"/>
      <c r="J18" s="117"/>
      <c r="K18" s="117"/>
      <c r="L18" s="117"/>
      <c r="M18" s="117"/>
      <c r="N18" s="117"/>
      <c r="O18" s="117"/>
    </row>
    <row r="19" customFormat="false" ht="15" hidden="false" customHeight="false" outlineLevel="0" collapsed="false">
      <c r="A19" s="106" t="n">
        <f aca="false">IF('ตั้งค่า Setup'!$C$10+7*2&gt;MAX('ตั้งค่า Setup'!$C$69,'ตั้งค่า Setup'!$C$15)+7,"",3)</f>
        <v>3</v>
      </c>
      <c r="B19" s="115" t="n">
        <f aca="false">IF(A19="","",'ตั้งค่า Setup'!$C$10+7*2)</f>
        <v>46087</v>
      </c>
      <c r="C19" s="115" t="n">
        <f aca="false">IF(A19="","",B19+6)</f>
        <v>46093</v>
      </c>
      <c r="D19" s="104" t="n">
        <f aca="false">IF(A19="","",SUMPRODUCT('แผนงาน Schedule'!$F$7:$F$66,('แผนงาน Schedule'!$I$7:$I$66&lt;=C19)+('แผนงาน Schedule'!$H$7:$H$66&lt;=C19)*('แผนงาน Schedule'!$I$7:$I$66&gt;C19)*(C19-'แผนงาน Schedule'!$H$7:$H$66+1)/('แผนงาน Schedule'!$I$7:$I$66-'แผนงาน Schedule'!$H$7:$H$66+1)))</f>
        <v>0.0461056910569106</v>
      </c>
      <c r="E19" s="102"/>
      <c r="F19" s="104" t="str">
        <f aca="false">IF(E19="","",E19-N(E18))</f>
        <v/>
      </c>
      <c r="G19" s="116" t="str">
        <f aca="false">IF(OR(E19="",D19=""),"",E19-D19)</f>
        <v/>
      </c>
      <c r="H19" s="24"/>
      <c r="I19" s="117"/>
      <c r="J19" s="117"/>
      <c r="K19" s="117"/>
      <c r="L19" s="117"/>
      <c r="M19" s="117"/>
      <c r="N19" s="117"/>
      <c r="O19" s="117"/>
    </row>
    <row r="20" customFormat="false" ht="15" hidden="false" customHeight="false" outlineLevel="0" collapsed="false">
      <c r="A20" s="106" t="n">
        <f aca="false">IF('ตั้งค่า Setup'!$C$10+7*3&gt;MAX('ตั้งค่า Setup'!$C$69,'ตั้งค่า Setup'!$C$15)+7,"",4)</f>
        <v>4</v>
      </c>
      <c r="B20" s="115" t="n">
        <f aca="false">IF(A20="","",'ตั้งค่า Setup'!$C$10+7*3)</f>
        <v>46094</v>
      </c>
      <c r="C20" s="115" t="n">
        <f aca="false">IF(A20="","",B20+6)</f>
        <v>46100</v>
      </c>
      <c r="D20" s="104" t="n">
        <f aca="false">IF(A20="","",SUMPRODUCT('แผนงาน Schedule'!$F$7:$F$66,('แผนงาน Schedule'!$I$7:$I$66&lt;=C20)+('แผนงาน Schedule'!$H$7:$H$66&lt;=C20)*('แผนงาน Schedule'!$I$7:$I$66&gt;C20)*(C20-'แผนงาน Schedule'!$H$7:$H$66+1)/('แผนงาน Schedule'!$I$7:$I$66-'แผนงาน Schedule'!$H$7:$H$66+1)))</f>
        <v>0.062881992734821</v>
      </c>
      <c r="E20" s="102"/>
      <c r="F20" s="104" t="str">
        <f aca="false">IF(E20="","",E20-N(E19))</f>
        <v/>
      </c>
      <c r="G20" s="116" t="str">
        <f aca="false">IF(OR(E20="",D20=""),"",E20-D20)</f>
        <v/>
      </c>
      <c r="H20" s="24"/>
      <c r="I20" s="117"/>
      <c r="J20" s="117"/>
      <c r="K20" s="117"/>
      <c r="L20" s="117"/>
      <c r="M20" s="117"/>
      <c r="N20" s="117"/>
      <c r="O20" s="117"/>
    </row>
    <row r="21" customFormat="false" ht="15" hidden="false" customHeight="false" outlineLevel="0" collapsed="false">
      <c r="A21" s="106" t="n">
        <f aca="false">IF('ตั้งค่า Setup'!$C$10+7*4&gt;MAX('ตั้งค่า Setup'!$C$69,'ตั้งค่า Setup'!$C$15)+7,"",5)</f>
        <v>5</v>
      </c>
      <c r="B21" s="115" t="n">
        <f aca="false">IF(A21="","",'ตั้งค่า Setup'!$C$10+7*4)</f>
        <v>46101</v>
      </c>
      <c r="C21" s="115" t="n">
        <f aca="false">IF(A21="","",B21+6)</f>
        <v>46107</v>
      </c>
      <c r="D21" s="104" t="n">
        <f aca="false">IF(A21="","",SUMPRODUCT('แผนงาน Schedule'!$F$7:$F$66,('แผนงาน Schedule'!$I$7:$I$66&lt;=C21)+('แผนงาน Schedule'!$H$7:$H$66&lt;=C21)*('แผนงาน Schedule'!$I$7:$I$66&gt;C21)*(C21-'แผนงาน Schedule'!$H$7:$H$66+1)/('แผนงาน Schedule'!$I$7:$I$66-'แผนงาน Schedule'!$H$7:$H$66+1)))</f>
        <v>0.0837008476042207</v>
      </c>
      <c r="E21" s="102"/>
      <c r="F21" s="104" t="str">
        <f aca="false">IF(E21="","",E21-N(E20))</f>
        <v/>
      </c>
      <c r="G21" s="116" t="str">
        <f aca="false">IF(OR(E21="",D21=""),"",E21-D21)</f>
        <v/>
      </c>
      <c r="H21" s="24"/>
      <c r="I21" s="117"/>
      <c r="J21" s="117"/>
      <c r="K21" s="117"/>
      <c r="L21" s="117"/>
      <c r="M21" s="117"/>
      <c r="N21" s="117"/>
      <c r="O21" s="117"/>
    </row>
    <row r="22" customFormat="false" ht="15" hidden="false" customHeight="false" outlineLevel="0" collapsed="false">
      <c r="A22" s="106" t="n">
        <f aca="false">IF('ตั้งค่า Setup'!$C$10+7*5&gt;MAX('ตั้งค่า Setup'!$C$69,'ตั้งค่า Setup'!$C$15)+7,"",6)</f>
        <v>6</v>
      </c>
      <c r="B22" s="115" t="n">
        <f aca="false">IF(A22="","",'ตั้งค่า Setup'!$C$10+7*5)</f>
        <v>46108</v>
      </c>
      <c r="C22" s="115" t="n">
        <f aca="false">IF(A22="","",B22+6)</f>
        <v>46114</v>
      </c>
      <c r="D22" s="104" t="n">
        <f aca="false">IF(A22="","",SUMPRODUCT('แผนงาน Schedule'!$F$7:$F$66,('แผนงาน Schedule'!$I$7:$I$66&lt;=C22)+('แผนงาน Schedule'!$H$7:$H$66&lt;=C22)*('แผนงาน Schedule'!$I$7:$I$66&gt;C22)*(C22-'แผนงาน Schedule'!$H$7:$H$66+1)/('แผนงาน Schedule'!$I$7:$I$66-'แผนงาน Schedule'!$H$7:$H$66+1)))</f>
        <v>0.10451970247362</v>
      </c>
      <c r="E22" s="102"/>
      <c r="F22" s="104" t="str">
        <f aca="false">IF(E22="","",E22-N(E21))</f>
        <v/>
      </c>
      <c r="G22" s="116" t="str">
        <f aca="false">IF(OR(E22="",D22=""),"",E22-D22)</f>
        <v/>
      </c>
      <c r="H22" s="24"/>
      <c r="I22" s="117"/>
      <c r="J22" s="117"/>
      <c r="K22" s="117"/>
      <c r="L22" s="117"/>
      <c r="M22" s="117"/>
      <c r="N22" s="117"/>
      <c r="O22" s="117"/>
    </row>
    <row r="23" customFormat="false" ht="15" hidden="false" customHeight="false" outlineLevel="0" collapsed="false">
      <c r="A23" s="106" t="n">
        <f aca="false">IF('ตั้งค่า Setup'!$C$10+7*6&gt;MAX('ตั้งค่า Setup'!$C$69,'ตั้งค่า Setup'!$C$15)+7,"",7)</f>
        <v>7</v>
      </c>
      <c r="B23" s="115" t="n">
        <f aca="false">IF(A23="","",'ตั้งค่า Setup'!$C$10+7*6)</f>
        <v>46115</v>
      </c>
      <c r="C23" s="115" t="n">
        <f aca="false">IF(A23="","",B23+6)</f>
        <v>46121</v>
      </c>
      <c r="D23" s="104" t="n">
        <f aca="false">IF(A23="","",SUMPRODUCT('แผนงาน Schedule'!$F$7:$F$66,('แผนงาน Schedule'!$I$7:$I$66&lt;=C23)+('แผนงาน Schedule'!$H$7:$H$66&lt;=C23)*('แผนงาน Schedule'!$I$7:$I$66&gt;C23)*(C23-'แผนงาน Schedule'!$H$7:$H$66+1)/('แผนงาน Schedule'!$I$7:$I$66-'แผนงาน Schedule'!$H$7:$H$66+1)))</f>
        <v>0.12533855734302</v>
      </c>
      <c r="E23" s="102"/>
      <c r="F23" s="104" t="str">
        <f aca="false">IF(E23="","",E23-N(E22))</f>
        <v/>
      </c>
      <c r="G23" s="116" t="str">
        <f aca="false">IF(OR(E23="",D23=""),"",E23-D23)</f>
        <v/>
      </c>
      <c r="H23" s="24"/>
      <c r="I23" s="117"/>
      <c r="J23" s="117"/>
      <c r="K23" s="117"/>
      <c r="L23" s="117"/>
      <c r="M23" s="117"/>
      <c r="N23" s="117"/>
      <c r="O23" s="117"/>
    </row>
    <row r="24" customFormat="false" ht="15" hidden="false" customHeight="false" outlineLevel="0" collapsed="false">
      <c r="A24" s="106" t="n">
        <f aca="false">IF('ตั้งค่า Setup'!$C$10+7*7&gt;MAX('ตั้งค่า Setup'!$C$69,'ตั้งค่า Setup'!$C$15)+7,"",8)</f>
        <v>8</v>
      </c>
      <c r="B24" s="115" t="n">
        <f aca="false">IF(A24="","",'ตั้งค่า Setup'!$C$10+7*7)</f>
        <v>46122</v>
      </c>
      <c r="C24" s="115" t="n">
        <f aca="false">IF(A24="","",B24+6)</f>
        <v>46128</v>
      </c>
      <c r="D24" s="104" t="n">
        <f aca="false">IF(A24="","",SUMPRODUCT('แผนงาน Schedule'!$F$7:$F$66,('แผนงาน Schedule'!$I$7:$I$66&lt;=C24)+('แผนงาน Schedule'!$H$7:$H$66&lt;=C24)*('แผนงาน Schedule'!$I$7:$I$66&gt;C24)*(C24-'แผนงาน Schedule'!$H$7:$H$66+1)/('แผนงาน Schedule'!$I$7:$I$66-'แผนงาน Schedule'!$H$7:$H$66+1)))</f>
        <v>0.149736982104893</v>
      </c>
      <c r="E24" s="102"/>
      <c r="F24" s="104" t="str">
        <f aca="false">IF(E24="","",E24-N(E23))</f>
        <v/>
      </c>
      <c r="G24" s="116" t="str">
        <f aca="false">IF(OR(E24="",D24=""),"",E24-D24)</f>
        <v/>
      </c>
      <c r="H24" s="24"/>
      <c r="I24" s="117"/>
      <c r="J24" s="117"/>
      <c r="K24" s="117"/>
      <c r="L24" s="117"/>
      <c r="M24" s="117"/>
      <c r="N24" s="117"/>
      <c r="O24" s="117"/>
    </row>
    <row r="25" customFormat="false" ht="15" hidden="false" customHeight="false" outlineLevel="0" collapsed="false">
      <c r="A25" s="106" t="n">
        <f aca="false">IF('ตั้งค่า Setup'!$C$10+7*8&gt;MAX('ตั้งค่า Setup'!$C$69,'ตั้งค่า Setup'!$C$15)+7,"",9)</f>
        <v>9</v>
      </c>
      <c r="B25" s="115" t="n">
        <f aca="false">IF(A25="","",'ตั้งค่า Setup'!$C$10+7*8)</f>
        <v>46129</v>
      </c>
      <c r="C25" s="115" t="n">
        <f aca="false">IF(A25="","",B25+6)</f>
        <v>46135</v>
      </c>
      <c r="D25" s="104" t="n">
        <f aca="false">IF(A25="","",SUMPRODUCT('แผนงาน Schedule'!$F$7:$F$66,('แผนงาน Schedule'!$I$7:$I$66&lt;=C25)+('แผนงาน Schedule'!$H$7:$H$66&lt;=C25)*('แผนงาน Schedule'!$I$7:$I$66&gt;C25)*(C25-'แผนงาน Schedule'!$H$7:$H$66+1)/('แผนงาน Schedule'!$I$7:$I$66-'แผนงาน Schedule'!$H$7:$H$66+1)))</f>
        <v>0.180009128345916</v>
      </c>
      <c r="E25" s="102"/>
      <c r="F25" s="104" t="str">
        <f aca="false">IF(E25="","",E25-N(E24))</f>
        <v/>
      </c>
      <c r="G25" s="116" t="str">
        <f aca="false">IF(OR(E25="",D25=""),"",E25-D25)</f>
        <v/>
      </c>
      <c r="H25" s="24"/>
      <c r="I25" s="117"/>
      <c r="J25" s="117"/>
      <c r="K25" s="117"/>
      <c r="L25" s="117"/>
      <c r="M25" s="117"/>
      <c r="N25" s="117"/>
      <c r="O25" s="117"/>
    </row>
    <row r="26" customFormat="false" ht="15" hidden="false" customHeight="false" outlineLevel="0" collapsed="false">
      <c r="A26" s="106" t="n">
        <f aca="false">IF('ตั้งค่า Setup'!$C$10+7*9&gt;MAX('ตั้งค่า Setup'!$C$69,'ตั้งค่า Setup'!$C$15)+7,"",10)</f>
        <v>10</v>
      </c>
      <c r="B26" s="115" t="n">
        <f aca="false">IF(A26="","",'ตั้งค่า Setup'!$C$10+7*9)</f>
        <v>46136</v>
      </c>
      <c r="C26" s="115" t="n">
        <f aca="false">IF(A26="","",B26+6)</f>
        <v>46142</v>
      </c>
      <c r="D26" s="104" t="n">
        <f aca="false">IF(A26="","",SUMPRODUCT('แผนงาน Schedule'!$F$7:$F$66,('แผนงาน Schedule'!$I$7:$I$66&lt;=C26)+('แผนงาน Schedule'!$H$7:$H$66&lt;=C26)*('แผนงาน Schedule'!$I$7:$I$66&gt;C26)*(C26-'แผนงาน Schedule'!$H$7:$H$66+1)/('แผนงาน Schedule'!$I$7:$I$66-'แผนงาน Schedule'!$H$7:$H$66+1)))</f>
        <v>0.208203225806452</v>
      </c>
      <c r="E26" s="102"/>
      <c r="F26" s="104" t="str">
        <f aca="false">IF(E26="","",E26-N(E25))</f>
        <v/>
      </c>
      <c r="G26" s="116" t="str">
        <f aca="false">IF(OR(E26="",D26=""),"",E26-D26)</f>
        <v/>
      </c>
      <c r="H26" s="24"/>
      <c r="I26" s="117"/>
      <c r="J26" s="117"/>
      <c r="K26" s="117"/>
      <c r="L26" s="117"/>
      <c r="M26" s="117"/>
      <c r="N26" s="117"/>
      <c r="O26" s="117"/>
    </row>
    <row r="27" customFormat="false" ht="15" hidden="false" customHeight="false" outlineLevel="0" collapsed="false">
      <c r="A27" s="106" t="n">
        <f aca="false">IF('ตั้งค่า Setup'!$C$10+7*10&gt;MAX('ตั้งค่า Setup'!$C$69,'ตั้งค่า Setup'!$C$15)+7,"",11)</f>
        <v>11</v>
      </c>
      <c r="B27" s="115" t="n">
        <f aca="false">IF(A27="","",'ตั้งค่า Setup'!$C$10+7*10)</f>
        <v>46143</v>
      </c>
      <c r="C27" s="115" t="n">
        <f aca="false">IF(A27="","",B27+6)</f>
        <v>46149</v>
      </c>
      <c r="D27" s="104" t="n">
        <f aca="false">IF(A27="","",SUMPRODUCT('แผนงาน Schedule'!$F$7:$F$66,('แผนงาน Schedule'!$I$7:$I$66&lt;=C27)+('แผนงาน Schedule'!$H$7:$H$66&lt;=C27)*('แผนงาน Schedule'!$I$7:$I$66&gt;C27)*(C27-'แผนงาน Schedule'!$H$7:$H$66+1)/('แผนงาน Schedule'!$I$7:$I$66-'แผนงาน Schedule'!$H$7:$H$66+1)))</f>
        <v>0.222248387096774</v>
      </c>
      <c r="E27" s="102"/>
      <c r="F27" s="104" t="str">
        <f aca="false">IF(E27="","",E27-N(E26))</f>
        <v/>
      </c>
      <c r="G27" s="116" t="str">
        <f aca="false">IF(OR(E27="",D27=""),"",E27-D27)</f>
        <v/>
      </c>
      <c r="H27" s="24"/>
      <c r="I27" s="117"/>
      <c r="J27" s="117"/>
      <c r="K27" s="117"/>
      <c r="L27" s="117"/>
      <c r="M27" s="117"/>
      <c r="N27" s="117"/>
      <c r="O27" s="117"/>
    </row>
    <row r="28" customFormat="false" ht="15" hidden="false" customHeight="false" outlineLevel="0" collapsed="false">
      <c r="A28" s="106" t="n">
        <f aca="false">IF('ตั้งค่า Setup'!$C$10+7*11&gt;MAX('ตั้งค่า Setup'!$C$69,'ตั้งค่า Setup'!$C$15)+7,"",12)</f>
        <v>12</v>
      </c>
      <c r="B28" s="115" t="n">
        <f aca="false">IF(A28="","",'ตั้งค่า Setup'!$C$10+7*11)</f>
        <v>46150</v>
      </c>
      <c r="C28" s="115" t="n">
        <f aca="false">IF(A28="","",B28+6)</f>
        <v>46156</v>
      </c>
      <c r="D28" s="104" t="n">
        <f aca="false">IF(A28="","",SUMPRODUCT('แผนงาน Schedule'!$F$7:$F$66,('แผนงาน Schedule'!$I$7:$I$66&lt;=C28)+('แผนงาน Schedule'!$H$7:$H$66&lt;=C28)*('แผนงาน Schedule'!$I$7:$I$66&gt;C28)*(C28-'แผนงาน Schedule'!$H$7:$H$66+1)/('แผนงาน Schedule'!$I$7:$I$66-'แผนงาน Schedule'!$H$7:$H$66+1)))</f>
        <v>0.246124317617866</v>
      </c>
      <c r="E28" s="102"/>
      <c r="F28" s="104" t="str">
        <f aca="false">IF(E28="","",E28-N(E27))</f>
        <v/>
      </c>
      <c r="G28" s="116" t="str">
        <f aca="false">IF(OR(E28="",D28=""),"",E28-D28)</f>
        <v/>
      </c>
      <c r="H28" s="24"/>
      <c r="I28" s="117"/>
      <c r="J28" s="117"/>
      <c r="K28" s="117"/>
      <c r="L28" s="117"/>
      <c r="M28" s="117"/>
      <c r="N28" s="117"/>
      <c r="O28" s="117"/>
    </row>
    <row r="29" customFormat="false" ht="15" hidden="false" customHeight="false" outlineLevel="0" collapsed="false">
      <c r="A29" s="106" t="n">
        <f aca="false">IF('ตั้งค่า Setup'!$C$10+7*12&gt;MAX('ตั้งค่า Setup'!$C$69,'ตั้งค่า Setup'!$C$15)+7,"",13)</f>
        <v>13</v>
      </c>
      <c r="B29" s="115" t="n">
        <f aca="false">IF(A29="","",'ตั้งค่า Setup'!$C$10+7*12)</f>
        <v>46157</v>
      </c>
      <c r="C29" s="115" t="n">
        <f aca="false">IF(A29="","",B29+6)</f>
        <v>46163</v>
      </c>
      <c r="D29" s="104" t="n">
        <f aca="false">IF(A29="","",SUMPRODUCT('แผนงาน Schedule'!$F$7:$F$66,('แผนงาน Schedule'!$I$7:$I$66&lt;=C29)+('แผนงาน Schedule'!$H$7:$H$66&lt;=C29)*('แผนงาน Schedule'!$I$7:$I$66&gt;C29)*(C29-'แผนงาน Schedule'!$H$7:$H$66+1)/('แผนงาน Schedule'!$I$7:$I$66-'แผนงาน Schedule'!$H$7:$H$66+1)))</f>
        <v>0.265334615384615</v>
      </c>
      <c r="E29" s="102"/>
      <c r="F29" s="104" t="str">
        <f aca="false">IF(E29="","",E29-N(E28))</f>
        <v/>
      </c>
      <c r="G29" s="116" t="str">
        <f aca="false">IF(OR(E29="",D29=""),"",E29-D29)</f>
        <v/>
      </c>
      <c r="H29" s="24"/>
      <c r="I29" s="117"/>
      <c r="J29" s="117"/>
      <c r="K29" s="117"/>
      <c r="L29" s="117"/>
      <c r="M29" s="117"/>
      <c r="N29" s="117"/>
      <c r="O29" s="117"/>
    </row>
    <row r="30" customFormat="false" ht="15" hidden="false" customHeight="false" outlineLevel="0" collapsed="false">
      <c r="A30" s="106" t="n">
        <f aca="false">IF('ตั้งค่า Setup'!$C$10+7*13&gt;MAX('ตั้งค่า Setup'!$C$69,'ตั้งค่า Setup'!$C$15)+7,"",14)</f>
        <v>14</v>
      </c>
      <c r="B30" s="115" t="n">
        <f aca="false">IF(A30="","",'ตั้งค่า Setup'!$C$10+7*13)</f>
        <v>46164</v>
      </c>
      <c r="C30" s="115" t="n">
        <f aca="false">IF(A30="","",B30+6)</f>
        <v>46170</v>
      </c>
      <c r="D30" s="104" t="n">
        <f aca="false">IF(A30="","",SUMPRODUCT('แผนงาน Schedule'!$F$7:$F$66,('แผนงาน Schedule'!$I$7:$I$66&lt;=C30)+('แผนงาน Schedule'!$H$7:$H$66&lt;=C30)*('แผนงาน Schedule'!$I$7:$I$66&gt;C30)*(C30-'แผนงาน Schedule'!$H$7:$H$66+1)/('แผนงาน Schedule'!$I$7:$I$66-'แผนงาน Schedule'!$H$7:$H$66+1)))</f>
        <v>0.282538461538462</v>
      </c>
      <c r="E30" s="102"/>
      <c r="F30" s="104" t="str">
        <f aca="false">IF(E30="","",E30-N(E29))</f>
        <v/>
      </c>
      <c r="G30" s="116" t="str">
        <f aca="false">IF(OR(E30="",D30=""),"",E30-D30)</f>
        <v/>
      </c>
      <c r="H30" s="24"/>
      <c r="I30" s="117"/>
      <c r="J30" s="117"/>
      <c r="K30" s="117"/>
      <c r="L30" s="117"/>
      <c r="M30" s="117"/>
      <c r="N30" s="117"/>
      <c r="O30" s="117"/>
    </row>
    <row r="31" customFormat="false" ht="15" hidden="false" customHeight="false" outlineLevel="0" collapsed="false">
      <c r="A31" s="106" t="n">
        <f aca="false">IF('ตั้งค่า Setup'!$C$10+7*14&gt;MAX('ตั้งค่า Setup'!$C$69,'ตั้งค่า Setup'!$C$15)+7,"",15)</f>
        <v>15</v>
      </c>
      <c r="B31" s="115" t="n">
        <f aca="false">IF(A31="","",'ตั้งค่า Setup'!$C$10+7*14)</f>
        <v>46171</v>
      </c>
      <c r="C31" s="115" t="n">
        <f aca="false">IF(A31="","",B31+6)</f>
        <v>46177</v>
      </c>
      <c r="D31" s="104" t="n">
        <f aca="false">IF(A31="","",SUMPRODUCT('แผนงาน Schedule'!$F$7:$F$66,('แผนงาน Schedule'!$I$7:$I$66&lt;=C31)+('แผนงาน Schedule'!$H$7:$H$66&lt;=C31)*('แผนงาน Schedule'!$I$7:$I$66&gt;C31)*(C31-'แผนงาน Schedule'!$H$7:$H$66+1)/('แผนงาน Schedule'!$I$7:$I$66-'แผนงาน Schedule'!$H$7:$H$66+1)))</f>
        <v>0.309966307692308</v>
      </c>
      <c r="E31" s="102"/>
      <c r="F31" s="104" t="str">
        <f aca="false">IF(E31="","",E31-N(E30))</f>
        <v/>
      </c>
      <c r="G31" s="116" t="str">
        <f aca="false">IF(OR(E31="",D31=""),"",E31-D31)</f>
        <v/>
      </c>
      <c r="H31" s="24"/>
      <c r="I31" s="117"/>
      <c r="J31" s="117"/>
      <c r="K31" s="117"/>
      <c r="L31" s="117"/>
      <c r="M31" s="117"/>
      <c r="N31" s="117"/>
      <c r="O31" s="117"/>
    </row>
    <row r="32" customFormat="false" ht="15" hidden="false" customHeight="false" outlineLevel="0" collapsed="false">
      <c r="A32" s="106" t="n">
        <f aca="false">IF('ตั้งค่า Setup'!$C$10+7*15&gt;MAX('ตั้งค่า Setup'!$C$69,'ตั้งค่า Setup'!$C$15)+7,"",16)</f>
        <v>16</v>
      </c>
      <c r="B32" s="115" t="n">
        <f aca="false">IF(A32="","",'ตั้งค่า Setup'!$C$10+7*15)</f>
        <v>46178</v>
      </c>
      <c r="C32" s="115" t="n">
        <f aca="false">IF(A32="","",B32+6)</f>
        <v>46184</v>
      </c>
      <c r="D32" s="104" t="n">
        <f aca="false">IF(A32="","",SUMPRODUCT('แผนงาน Schedule'!$F$7:$F$66,('แผนงาน Schedule'!$I$7:$I$66&lt;=C32)+('แผนงาน Schedule'!$H$7:$H$66&lt;=C32)*('แผนงาน Schedule'!$I$7:$I$66&gt;C32)*(C32-'แผนงาน Schedule'!$H$7:$H$66+1)/('แผนงาน Schedule'!$I$7:$I$66-'แผนงาน Schedule'!$H$7:$H$66+1)))</f>
        <v>0.330316</v>
      </c>
      <c r="E32" s="102"/>
      <c r="F32" s="104" t="str">
        <f aca="false">IF(E32="","",E32-N(E31))</f>
        <v/>
      </c>
      <c r="G32" s="116" t="str">
        <f aca="false">IF(OR(E32="",D32=""),"",E32-D32)</f>
        <v/>
      </c>
      <c r="H32" s="24"/>
      <c r="I32" s="117"/>
      <c r="J32" s="117"/>
      <c r="K32" s="117"/>
      <c r="L32" s="117"/>
      <c r="M32" s="117"/>
      <c r="N32" s="117"/>
      <c r="O32" s="117"/>
    </row>
    <row r="33" customFormat="false" ht="15" hidden="false" customHeight="false" outlineLevel="0" collapsed="false">
      <c r="A33" s="106" t="n">
        <f aca="false">IF('ตั้งค่า Setup'!$C$10+7*16&gt;MAX('ตั้งค่า Setup'!$C$69,'ตั้งค่า Setup'!$C$15)+7,"",17)</f>
        <v>17</v>
      </c>
      <c r="B33" s="115" t="n">
        <f aca="false">IF(A33="","",'ตั้งค่า Setup'!$C$10+7*16)</f>
        <v>46185</v>
      </c>
      <c r="C33" s="115" t="n">
        <f aca="false">IF(A33="","",B33+6)</f>
        <v>46191</v>
      </c>
      <c r="D33" s="104" t="n">
        <f aca="false">IF(A33="","",SUMPRODUCT('แผนงาน Schedule'!$F$7:$F$66,('แผนงาน Schedule'!$I$7:$I$66&lt;=C33)+('แผนงาน Schedule'!$H$7:$H$66&lt;=C33)*('แผนงาน Schedule'!$I$7:$I$66&gt;C33)*(C33-'แผนงาน Schedule'!$H$7:$H$66+1)/('แผนงาน Schedule'!$I$7:$I$66-'แผนงาน Schedule'!$H$7:$H$66+1)))</f>
        <v>0.356233806451613</v>
      </c>
      <c r="E33" s="102"/>
      <c r="F33" s="104" t="str">
        <f aca="false">IF(E33="","",E33-N(E32))</f>
        <v/>
      </c>
      <c r="G33" s="116" t="str">
        <f aca="false">IF(OR(E33="",D33=""),"",E33-D33)</f>
        <v/>
      </c>
      <c r="H33" s="24"/>
      <c r="I33" s="117"/>
      <c r="J33" s="117"/>
      <c r="K33" s="117"/>
      <c r="L33" s="117"/>
      <c r="M33" s="117"/>
      <c r="N33" s="117"/>
      <c r="O33" s="117"/>
    </row>
    <row r="34" customFormat="false" ht="15" hidden="false" customHeight="false" outlineLevel="0" collapsed="false">
      <c r="A34" s="106" t="n">
        <f aca="false">IF('ตั้งค่า Setup'!$C$10+7*17&gt;MAX('ตั้งค่า Setup'!$C$69,'ตั้งค่า Setup'!$C$15)+7,"",18)</f>
        <v>18</v>
      </c>
      <c r="B34" s="115" t="n">
        <f aca="false">IF(A34="","",'ตั้งค่า Setup'!$C$10+7*17)</f>
        <v>46192</v>
      </c>
      <c r="C34" s="115" t="n">
        <f aca="false">IF(A34="","",B34+6)</f>
        <v>46198</v>
      </c>
      <c r="D34" s="104" t="n">
        <f aca="false">IF(A34="","",SUMPRODUCT('แผนงาน Schedule'!$F$7:$F$66,('แผนงาน Schedule'!$I$7:$I$66&lt;=C34)+('แผนงาน Schedule'!$H$7:$H$66&lt;=C34)*('แผนงาน Schedule'!$I$7:$I$66&gt;C34)*(C34-'แผนงาน Schedule'!$H$7:$H$66+1)/('แผนงาน Schedule'!$I$7:$I$66-'แผนงาน Schedule'!$H$7:$H$66+1)))</f>
        <v>0.388170967741936</v>
      </c>
      <c r="E34" s="102"/>
      <c r="F34" s="104" t="str">
        <f aca="false">IF(E34="","",E34-N(E33))</f>
        <v/>
      </c>
      <c r="G34" s="116" t="str">
        <f aca="false">IF(OR(E34="",D34=""),"",E34-D34)</f>
        <v/>
      </c>
      <c r="H34" s="24"/>
      <c r="I34" s="117"/>
      <c r="J34" s="117"/>
      <c r="K34" s="117"/>
      <c r="L34" s="117"/>
      <c r="M34" s="117"/>
      <c r="N34" s="117"/>
      <c r="O34" s="117"/>
    </row>
    <row r="35" customFormat="false" ht="15" hidden="false" customHeight="false" outlineLevel="0" collapsed="false">
      <c r="A35" s="106" t="n">
        <f aca="false">IF('ตั้งค่า Setup'!$C$10+7*18&gt;MAX('ตั้งค่า Setup'!$C$69,'ตั้งค่า Setup'!$C$15)+7,"",19)</f>
        <v>19</v>
      </c>
      <c r="B35" s="115" t="n">
        <f aca="false">IF(A35="","",'ตั้งค่า Setup'!$C$10+7*18)</f>
        <v>46199</v>
      </c>
      <c r="C35" s="115" t="n">
        <f aca="false">IF(A35="","",B35+6)</f>
        <v>46205</v>
      </c>
      <c r="D35" s="104" t="n">
        <f aca="false">IF(A35="","",SUMPRODUCT('แผนงาน Schedule'!$F$7:$F$66,('แผนงาน Schedule'!$I$7:$I$66&lt;=C35)+('แผนงาน Schedule'!$H$7:$H$66&lt;=C35)*('แผนงาน Schedule'!$I$7:$I$66&gt;C35)*(C35-'แผนงาน Schedule'!$H$7:$H$66+1)/('แผนงาน Schedule'!$I$7:$I$66-'แผนงาน Schedule'!$H$7:$H$66+1)))</f>
        <v>0.406346563814867</v>
      </c>
      <c r="E35" s="102"/>
      <c r="F35" s="104" t="str">
        <f aca="false">IF(E35="","",E35-N(E34))</f>
        <v/>
      </c>
      <c r="G35" s="116" t="str">
        <f aca="false">IF(OR(E35="",D35=""),"",E35-D35)</f>
        <v/>
      </c>
      <c r="H35" s="24"/>
      <c r="I35" s="117"/>
      <c r="J35" s="117"/>
      <c r="K35" s="117"/>
      <c r="L35" s="117"/>
      <c r="M35" s="117"/>
      <c r="N35" s="117"/>
      <c r="O35" s="117"/>
    </row>
    <row r="36" customFormat="false" ht="15" hidden="false" customHeight="false" outlineLevel="0" collapsed="false">
      <c r="A36" s="106" t="n">
        <f aca="false">IF('ตั้งค่า Setup'!$C$10+7*19&gt;MAX('ตั้งค่า Setup'!$C$69,'ตั้งค่า Setup'!$C$15)+7,"",20)</f>
        <v>20</v>
      </c>
      <c r="B36" s="115" t="n">
        <f aca="false">IF(A36="","",'ตั้งค่า Setup'!$C$10+7*19)</f>
        <v>46206</v>
      </c>
      <c r="C36" s="115" t="n">
        <f aca="false">IF(A36="","",B36+6)</f>
        <v>46212</v>
      </c>
      <c r="D36" s="104" t="n">
        <f aca="false">IF(A36="","",SUMPRODUCT('แผนงาน Schedule'!$F$7:$F$66,('แผนงาน Schedule'!$I$7:$I$66&lt;=C36)+('แผนงาน Schedule'!$H$7:$H$66&lt;=C36)*('แผนงาน Schedule'!$I$7:$I$66&gt;C36)*(C36-'แผนงาน Schedule'!$H$7:$H$66+1)/('แผนงาน Schedule'!$I$7:$I$66-'แผนงาน Schedule'!$H$7:$H$66+1)))</f>
        <v>0.43484824684432</v>
      </c>
      <c r="E36" s="102"/>
      <c r="F36" s="104" t="str">
        <f aca="false">IF(E36="","",E36-N(E35))</f>
        <v/>
      </c>
      <c r="G36" s="116" t="str">
        <f aca="false">IF(OR(E36="",D36=""),"",E36-D36)</f>
        <v/>
      </c>
      <c r="H36" s="24"/>
      <c r="I36" s="117"/>
      <c r="J36" s="117"/>
      <c r="K36" s="117"/>
      <c r="L36" s="117"/>
      <c r="M36" s="117"/>
      <c r="N36" s="117"/>
      <c r="O36" s="117"/>
    </row>
    <row r="37" customFormat="false" ht="15" hidden="false" customHeight="false" outlineLevel="0" collapsed="false">
      <c r="A37" s="106" t="n">
        <f aca="false">IF('ตั้งค่า Setup'!$C$10+7*20&gt;MAX('ตั้งค่า Setup'!$C$69,'ตั้งค่า Setup'!$C$15)+7,"",21)</f>
        <v>21</v>
      </c>
      <c r="B37" s="115" t="n">
        <f aca="false">IF(A37="","",'ตั้งค่า Setup'!$C$10+7*20)</f>
        <v>46213</v>
      </c>
      <c r="C37" s="115" t="n">
        <f aca="false">IF(A37="","",B37+6)</f>
        <v>46219</v>
      </c>
      <c r="D37" s="104" t="n">
        <f aca="false">IF(A37="","",SUMPRODUCT('แผนงาน Schedule'!$F$7:$F$66,('แผนงาน Schedule'!$I$7:$I$66&lt;=C37)+('แผนงาน Schedule'!$H$7:$H$66&lt;=C37)*('แผนงาน Schedule'!$I$7:$I$66&gt;C37)*(C37-'แผนงาน Schedule'!$H$7:$H$66+1)/('แผนงาน Schedule'!$I$7:$I$66-'แผนงาน Schedule'!$H$7:$H$66+1)))</f>
        <v>0.49079097826087</v>
      </c>
      <c r="E37" s="102"/>
      <c r="F37" s="104" t="str">
        <f aca="false">IF(E37="","",E37-N(E36))</f>
        <v/>
      </c>
      <c r="G37" s="116" t="str">
        <f aca="false">IF(OR(E37="",D37=""),"",E37-D37)</f>
        <v/>
      </c>
      <c r="H37" s="24"/>
      <c r="I37" s="117"/>
      <c r="J37" s="117"/>
      <c r="K37" s="117"/>
      <c r="L37" s="117"/>
      <c r="M37" s="117"/>
      <c r="N37" s="117"/>
      <c r="O37" s="117"/>
    </row>
    <row r="38" customFormat="false" ht="15" hidden="false" customHeight="false" outlineLevel="0" collapsed="false">
      <c r="A38" s="106" t="n">
        <f aca="false">IF('ตั้งค่า Setup'!$C$10+7*21&gt;MAX('ตั้งค่า Setup'!$C$69,'ตั้งค่า Setup'!$C$15)+7,"",22)</f>
        <v>22</v>
      </c>
      <c r="B38" s="115" t="n">
        <f aca="false">IF(A38="","",'ตั้งค่า Setup'!$C$10+7*21)</f>
        <v>46220</v>
      </c>
      <c r="C38" s="115" t="n">
        <f aca="false">IF(A38="","",B38+6)</f>
        <v>46226</v>
      </c>
      <c r="D38" s="104" t="n">
        <f aca="false">IF(A38="","",SUMPRODUCT('แผนงาน Schedule'!$F$7:$F$66,('แผนงาน Schedule'!$I$7:$I$66&lt;=C38)+('แผนงาน Schedule'!$H$7:$H$66&lt;=C38)*('แผนงาน Schedule'!$I$7:$I$66&gt;C38)*(C38-'แผนงาน Schedule'!$H$7:$H$66+1)/('แผนงาน Schedule'!$I$7:$I$66-'แผนงาน Schedule'!$H$7:$H$66+1)))</f>
        <v>0.548517896341463</v>
      </c>
      <c r="E38" s="102"/>
      <c r="F38" s="104" t="str">
        <f aca="false">IF(E38="","",E38-N(E37))</f>
        <v/>
      </c>
      <c r="G38" s="116" t="str">
        <f aca="false">IF(OR(E38="",D38=""),"",E38-D38)</f>
        <v/>
      </c>
      <c r="H38" s="24"/>
      <c r="I38" s="117"/>
      <c r="J38" s="117"/>
      <c r="K38" s="117"/>
      <c r="L38" s="117"/>
      <c r="M38" s="117"/>
      <c r="N38" s="117"/>
      <c r="O38" s="117"/>
    </row>
    <row r="39" customFormat="false" ht="15" hidden="false" customHeight="false" outlineLevel="0" collapsed="false">
      <c r="A39" s="106" t="n">
        <f aca="false">IF('ตั้งค่า Setup'!$C$10+7*22&gt;MAX('ตั้งค่า Setup'!$C$69,'ตั้งค่า Setup'!$C$15)+7,"",23)</f>
        <v>23</v>
      </c>
      <c r="B39" s="115" t="n">
        <f aca="false">IF(A39="","",'ตั้งค่า Setup'!$C$10+7*22)</f>
        <v>46227</v>
      </c>
      <c r="C39" s="115" t="n">
        <f aca="false">IF(A39="","",B39+6)</f>
        <v>46233</v>
      </c>
      <c r="D39" s="104" t="n">
        <f aca="false">IF(A39="","",SUMPRODUCT('แผนงาน Schedule'!$F$7:$F$66,('แผนงาน Schedule'!$I$7:$I$66&lt;=C39)+('แผนงาน Schedule'!$H$7:$H$66&lt;=C39)*('แผนงาน Schedule'!$I$7:$I$66&gt;C39)*(C39-'แผนงาน Schedule'!$H$7:$H$66+1)/('แผนงาน Schedule'!$I$7:$I$66-'แผนงาน Schedule'!$H$7:$H$66+1)))</f>
        <v>0.606037009544009</v>
      </c>
      <c r="E39" s="102"/>
      <c r="F39" s="104" t="str">
        <f aca="false">IF(E39="","",E39-N(E38))</f>
        <v/>
      </c>
      <c r="G39" s="116" t="str">
        <f aca="false">IF(OR(E39="",D39=""),"",E39-D39)</f>
        <v/>
      </c>
      <c r="H39" s="24"/>
      <c r="I39" s="117"/>
      <c r="J39" s="117"/>
      <c r="K39" s="117"/>
      <c r="L39" s="117"/>
      <c r="M39" s="117"/>
      <c r="N39" s="117"/>
      <c r="O39" s="117"/>
    </row>
    <row r="40" customFormat="false" ht="15" hidden="false" customHeight="false" outlineLevel="0" collapsed="false">
      <c r="A40" s="106" t="n">
        <f aca="false">IF('ตั้งค่า Setup'!$C$10+7*23&gt;MAX('ตั้งค่า Setup'!$C$69,'ตั้งค่า Setup'!$C$15)+7,"",24)</f>
        <v>24</v>
      </c>
      <c r="B40" s="115" t="n">
        <f aca="false">IF(A40="","",'ตั้งค่า Setup'!$C$10+7*23)</f>
        <v>46234</v>
      </c>
      <c r="C40" s="115" t="n">
        <f aca="false">IF(A40="","",B40+6)</f>
        <v>46240</v>
      </c>
      <c r="D40" s="104" t="n">
        <f aca="false">IF(A40="","",SUMPRODUCT('แผนงาน Schedule'!$F$7:$F$66,('แผนงาน Schedule'!$I$7:$I$66&lt;=C40)+('แผนงาน Schedule'!$H$7:$H$66&lt;=C40)*('แผนงาน Schedule'!$I$7:$I$66&gt;C40)*(C40-'แผนงาน Schedule'!$H$7:$H$66+1)/('แผนงาน Schedule'!$I$7:$I$66-'แผนงาน Schedule'!$H$7:$H$66+1)))</f>
        <v>0.648646122746554</v>
      </c>
      <c r="E40" s="102"/>
      <c r="F40" s="104" t="str">
        <f aca="false">IF(E40="","",E40-N(E39))</f>
        <v/>
      </c>
      <c r="G40" s="116" t="str">
        <f aca="false">IF(OR(E40="",D40=""),"",E40-D40)</f>
        <v/>
      </c>
      <c r="H40" s="24"/>
      <c r="I40" s="117"/>
      <c r="J40" s="117"/>
      <c r="K40" s="117"/>
      <c r="L40" s="117"/>
      <c r="M40" s="117"/>
      <c r="N40" s="117"/>
      <c r="O40" s="117"/>
    </row>
    <row r="41" customFormat="false" ht="15" hidden="false" customHeight="false" outlineLevel="0" collapsed="false">
      <c r="A41" s="106" t="n">
        <f aca="false">IF('ตั้งค่า Setup'!$C$10+7*24&gt;MAX('ตั้งค่า Setup'!$C$69,'ตั้งค่า Setup'!$C$15)+7,"",25)</f>
        <v>25</v>
      </c>
      <c r="B41" s="115" t="n">
        <f aca="false">IF(A41="","",'ตั้งค่า Setup'!$C$10+7*24)</f>
        <v>46241</v>
      </c>
      <c r="C41" s="115" t="n">
        <f aca="false">IF(A41="","",B41+6)</f>
        <v>46247</v>
      </c>
      <c r="D41" s="104" t="n">
        <f aca="false">IF(A41="","",SUMPRODUCT('แผนงาน Schedule'!$F$7:$F$66,('แผนงาน Schedule'!$I$7:$I$66&lt;=C41)+('แผนงาน Schedule'!$H$7:$H$66&lt;=C41)*('แผนงาน Schedule'!$I$7:$I$66&gt;C41)*(C41-'แผนงาน Schedule'!$H$7:$H$66+1)/('แผนงาน Schedule'!$I$7:$I$66-'แผนงาน Schedule'!$H$7:$H$66+1)))</f>
        <v>0.691255235949099</v>
      </c>
      <c r="E41" s="102"/>
      <c r="F41" s="104" t="str">
        <f aca="false">IF(E41="","",E41-N(E40))</f>
        <v/>
      </c>
      <c r="G41" s="116" t="str">
        <f aca="false">IF(OR(E41="",D41=""),"",E41-D41)</f>
        <v/>
      </c>
      <c r="H41" s="24"/>
      <c r="I41" s="117"/>
      <c r="J41" s="117"/>
      <c r="K41" s="117"/>
      <c r="L41" s="117"/>
      <c r="M41" s="117"/>
      <c r="N41" s="117"/>
      <c r="O41" s="117"/>
    </row>
    <row r="42" customFormat="false" ht="15" hidden="false" customHeight="false" outlineLevel="0" collapsed="false">
      <c r="A42" s="106" t="n">
        <f aca="false">IF('ตั้งค่า Setup'!$C$10+7*25&gt;MAX('ตั้งค่า Setup'!$C$69,'ตั้งค่า Setup'!$C$15)+7,"",26)</f>
        <v>26</v>
      </c>
      <c r="B42" s="115" t="n">
        <f aca="false">IF(A42="","",'ตั้งค่า Setup'!$C$10+7*25)</f>
        <v>46248</v>
      </c>
      <c r="C42" s="115" t="n">
        <f aca="false">IF(A42="","",B42+6)</f>
        <v>46254</v>
      </c>
      <c r="D42" s="104" t="n">
        <f aca="false">IF(A42="","",SUMPRODUCT('แผนงาน Schedule'!$F$7:$F$66,('แผนงาน Schedule'!$I$7:$I$66&lt;=C42)+('แผนงาน Schedule'!$H$7:$H$66&lt;=C42)*('แผนงาน Schedule'!$I$7:$I$66&gt;C42)*(C42-'แผนงาน Schedule'!$H$7:$H$66+1)/('แผนงาน Schedule'!$I$7:$I$66-'แผนงาน Schedule'!$H$7:$H$66+1)))</f>
        <v>0.716724057649667</v>
      </c>
      <c r="E42" s="102"/>
      <c r="F42" s="104" t="str">
        <f aca="false">IF(E42="","",E42-N(E41))</f>
        <v/>
      </c>
      <c r="G42" s="116" t="str">
        <f aca="false">IF(OR(E42="",D42=""),"",E42-D42)</f>
        <v/>
      </c>
      <c r="H42" s="24"/>
      <c r="I42" s="117"/>
      <c r="J42" s="117"/>
      <c r="K42" s="117"/>
      <c r="L42" s="117"/>
      <c r="M42" s="117"/>
      <c r="N42" s="117"/>
      <c r="O42" s="117"/>
    </row>
    <row r="43" customFormat="false" ht="15" hidden="false" customHeight="false" outlineLevel="0" collapsed="false">
      <c r="A43" s="106" t="n">
        <f aca="false">IF('ตั้งค่า Setup'!$C$10+7*26&gt;MAX('ตั้งค่า Setup'!$C$69,'ตั้งค่า Setup'!$C$15)+7,"",27)</f>
        <v>27</v>
      </c>
      <c r="B43" s="115" t="n">
        <f aca="false">IF(A43="","",'ตั้งค่า Setup'!$C$10+7*26)</f>
        <v>46255</v>
      </c>
      <c r="C43" s="115" t="n">
        <f aca="false">IF(A43="","",B43+6)</f>
        <v>46261</v>
      </c>
      <c r="D43" s="104" t="n">
        <f aca="false">IF(A43="","",SUMPRODUCT('แผนงาน Schedule'!$F$7:$F$66,('แผนงาน Schedule'!$I$7:$I$66&lt;=C43)+('แผนงาน Schedule'!$H$7:$H$66&lt;=C43)*('แผนงาน Schedule'!$I$7:$I$66&gt;C43)*(C43-'แผนงาน Schedule'!$H$7:$H$66+1)/('แผนงาน Schedule'!$I$7:$I$66-'แผนงาน Schedule'!$H$7:$H$66+1)))</f>
        <v>0.7516022172949</v>
      </c>
      <c r="E43" s="102"/>
      <c r="F43" s="104" t="str">
        <f aca="false">IF(E43="","",E43-N(E42))</f>
        <v/>
      </c>
      <c r="G43" s="116" t="str">
        <f aca="false">IF(OR(E43="",D43=""),"",E43-D43)</f>
        <v/>
      </c>
      <c r="H43" s="24"/>
      <c r="I43" s="117"/>
      <c r="J43" s="117"/>
      <c r="K43" s="117"/>
      <c r="L43" s="117"/>
      <c r="M43" s="117"/>
      <c r="N43" s="117"/>
      <c r="O43" s="117"/>
    </row>
    <row r="44" customFormat="false" ht="15" hidden="false" customHeight="false" outlineLevel="0" collapsed="false">
      <c r="A44" s="106" t="n">
        <f aca="false">IF('ตั้งค่า Setup'!$C$10+7*27&gt;MAX('ตั้งค่า Setup'!$C$69,'ตั้งค่า Setup'!$C$15)+7,"",28)</f>
        <v>28</v>
      </c>
      <c r="B44" s="115" t="n">
        <f aca="false">IF(A44="","",'ตั้งค่า Setup'!$C$10+7*27)</f>
        <v>46262</v>
      </c>
      <c r="C44" s="115" t="n">
        <f aca="false">IF(A44="","",B44+6)</f>
        <v>46268</v>
      </c>
      <c r="D44" s="104" t="n">
        <f aca="false">IF(A44="","",SUMPRODUCT('แผนงาน Schedule'!$F$7:$F$66,('แผนงาน Schedule'!$I$7:$I$66&lt;=C44)+('แผนงาน Schedule'!$H$7:$H$66&lt;=C44)*('แผนงาน Schedule'!$I$7:$I$66&gt;C44)*(C44-'แผนงาน Schedule'!$H$7:$H$66+1)/('แผนงาน Schedule'!$I$7:$I$66-'แผนงาน Schedule'!$H$7:$H$66+1)))</f>
        <v>0.784558181818182</v>
      </c>
      <c r="E44" s="102"/>
      <c r="F44" s="104" t="str">
        <f aca="false">IF(E44="","",E44-N(E43))</f>
        <v/>
      </c>
      <c r="G44" s="116" t="str">
        <f aca="false">IF(OR(E44="",D44=""),"",E44-D44)</f>
        <v/>
      </c>
      <c r="H44" s="24"/>
      <c r="I44" s="117"/>
      <c r="J44" s="117"/>
      <c r="K44" s="117"/>
      <c r="L44" s="117"/>
      <c r="M44" s="117"/>
      <c r="N44" s="117"/>
      <c r="O44" s="117"/>
    </row>
    <row r="45" customFormat="false" ht="15" hidden="false" customHeight="false" outlineLevel="0" collapsed="false">
      <c r="A45" s="106" t="n">
        <f aca="false">IF('ตั้งค่า Setup'!$C$10+7*28&gt;MAX('ตั้งค่า Setup'!$C$69,'ตั้งค่า Setup'!$C$15)+7,"",29)</f>
        <v>29</v>
      </c>
      <c r="B45" s="115" t="n">
        <f aca="false">IF(A45="","",'ตั้งค่า Setup'!$C$10+7*28)</f>
        <v>46269</v>
      </c>
      <c r="C45" s="115" t="n">
        <f aca="false">IF(A45="","",B45+6)</f>
        <v>46275</v>
      </c>
      <c r="D45" s="104" t="n">
        <f aca="false">IF(A45="","",SUMPRODUCT('แผนงาน Schedule'!$F$7:$F$66,('แผนงาน Schedule'!$I$7:$I$66&lt;=C45)+('แผนงาน Schedule'!$H$7:$H$66&lt;=C45)*('แผนงาน Schedule'!$I$7:$I$66&gt;C45)*(C45-'แผนงาน Schedule'!$H$7:$H$66+1)/('แผนงาน Schedule'!$I$7:$I$66-'แผนงาน Schedule'!$H$7:$H$66+1)))</f>
        <v>0.8198</v>
      </c>
      <c r="E45" s="102"/>
      <c r="F45" s="104" t="str">
        <f aca="false">IF(E45="","",E45-N(E44))</f>
        <v/>
      </c>
      <c r="G45" s="116" t="str">
        <f aca="false">IF(OR(E45="",D45=""),"",E45-D45)</f>
        <v/>
      </c>
      <c r="H45" s="24"/>
      <c r="I45" s="117"/>
      <c r="J45" s="117"/>
      <c r="K45" s="117"/>
      <c r="L45" s="117"/>
      <c r="M45" s="117"/>
      <c r="N45" s="117"/>
      <c r="O45" s="117"/>
    </row>
    <row r="46" customFormat="false" ht="15" hidden="false" customHeight="false" outlineLevel="0" collapsed="false">
      <c r="A46" s="106" t="n">
        <f aca="false">IF('ตั้งค่า Setup'!$C$10+7*29&gt;MAX('ตั้งค่า Setup'!$C$69,'ตั้งค่า Setup'!$C$15)+7,"",30)</f>
        <v>30</v>
      </c>
      <c r="B46" s="115" t="n">
        <f aca="false">IF(A46="","",'ตั้งค่า Setup'!$C$10+7*29)</f>
        <v>46276</v>
      </c>
      <c r="C46" s="115" t="n">
        <f aca="false">IF(A46="","",B46+6)</f>
        <v>46282</v>
      </c>
      <c r="D46" s="104" t="n">
        <f aca="false">IF(A46="","",SUMPRODUCT('แผนงาน Schedule'!$F$7:$F$66,('แผนงาน Schedule'!$I$7:$I$66&lt;=C46)+('แผนงาน Schedule'!$H$7:$H$66&lt;=C46)*('แผนงาน Schedule'!$I$7:$I$66&gt;C46)*(C46-'แผนงาน Schedule'!$H$7:$H$66+1)/('แผนงาน Schedule'!$I$7:$I$66-'แผนงาน Schedule'!$H$7:$H$66+1)))</f>
        <v>0.83471</v>
      </c>
      <c r="E46" s="102"/>
      <c r="F46" s="104" t="str">
        <f aca="false">IF(E46="","",E46-N(E45))</f>
        <v/>
      </c>
      <c r="G46" s="116" t="str">
        <f aca="false">IF(OR(E46="",D46=""),"",E46-D46)</f>
        <v/>
      </c>
      <c r="H46" s="24"/>
      <c r="I46" s="117"/>
      <c r="J46" s="117"/>
      <c r="K46" s="117"/>
      <c r="L46" s="117"/>
      <c r="M46" s="117"/>
      <c r="N46" s="117"/>
      <c r="O46" s="117"/>
    </row>
    <row r="47" customFormat="false" ht="15" hidden="false" customHeight="false" outlineLevel="0" collapsed="false">
      <c r="A47" s="106" t="n">
        <f aca="false">IF('ตั้งค่า Setup'!$C$10+7*30&gt;MAX('ตั้งค่า Setup'!$C$69,'ตั้งค่า Setup'!$C$15)+7,"",31)</f>
        <v>31</v>
      </c>
      <c r="B47" s="115" t="n">
        <f aca="false">IF(A47="","",'ตั้งค่า Setup'!$C$10+7*30)</f>
        <v>46283</v>
      </c>
      <c r="C47" s="115" t="n">
        <f aca="false">IF(A47="","",B47+6)</f>
        <v>46289</v>
      </c>
      <c r="D47" s="104" t="n">
        <f aca="false">IF(A47="","",SUMPRODUCT('แผนงาน Schedule'!$F$7:$F$66,('แผนงาน Schedule'!$I$7:$I$66&lt;=C47)+('แผนงาน Schedule'!$H$7:$H$66&lt;=C47)*('แผนงาน Schedule'!$I$7:$I$66&gt;C47)*(C47-'แผนงาน Schedule'!$H$7:$H$66+1)/('แผนงาน Schedule'!$I$7:$I$66-'แผนงาน Schedule'!$H$7:$H$66+1)))</f>
        <v>0.84962</v>
      </c>
      <c r="E47" s="102"/>
      <c r="F47" s="104" t="str">
        <f aca="false">IF(E47="","",E47-N(E46))</f>
        <v/>
      </c>
      <c r="G47" s="116" t="str">
        <f aca="false">IF(OR(E47="",D47=""),"",E47-D47)</f>
        <v/>
      </c>
      <c r="H47" s="24"/>
      <c r="I47" s="117"/>
      <c r="J47" s="117"/>
      <c r="K47" s="117"/>
      <c r="L47" s="117"/>
      <c r="M47" s="117"/>
      <c r="N47" s="117"/>
      <c r="O47" s="117"/>
    </row>
    <row r="48" customFormat="false" ht="15" hidden="false" customHeight="false" outlineLevel="0" collapsed="false">
      <c r="A48" s="106" t="n">
        <f aca="false">IF('ตั้งค่า Setup'!$C$10+7*31&gt;MAX('ตั้งค่า Setup'!$C$69,'ตั้งค่า Setup'!$C$15)+7,"",32)</f>
        <v>32</v>
      </c>
      <c r="B48" s="115" t="n">
        <f aca="false">IF(A48="","",'ตั้งค่า Setup'!$C$10+7*31)</f>
        <v>46290</v>
      </c>
      <c r="C48" s="115" t="n">
        <f aca="false">IF(A48="","",B48+6)</f>
        <v>46296</v>
      </c>
      <c r="D48" s="104" t="n">
        <f aca="false">IF(A48="","",SUMPRODUCT('แผนงาน Schedule'!$F$7:$F$66,('แผนงาน Schedule'!$I$7:$I$66&lt;=C48)+('แผนงาน Schedule'!$H$7:$H$66&lt;=C48)*('แผนงาน Schedule'!$I$7:$I$66&gt;C48)*(C48-'แผนงาน Schedule'!$H$7:$H$66+1)/('แผนงาน Schedule'!$I$7:$I$66-'แผนงาน Schedule'!$H$7:$H$66+1)))</f>
        <v>0.86453</v>
      </c>
      <c r="E48" s="102"/>
      <c r="F48" s="104" t="str">
        <f aca="false">IF(E48="","",E48-N(E47))</f>
        <v/>
      </c>
      <c r="G48" s="116" t="str">
        <f aca="false">IF(OR(E48="",D48=""),"",E48-D48)</f>
        <v/>
      </c>
      <c r="H48" s="24"/>
      <c r="I48" s="117"/>
      <c r="J48" s="117"/>
      <c r="K48" s="117"/>
      <c r="L48" s="117"/>
      <c r="M48" s="117"/>
      <c r="N48" s="117"/>
      <c r="O48" s="117"/>
    </row>
    <row r="49" customFormat="false" ht="15" hidden="false" customHeight="false" outlineLevel="0" collapsed="false">
      <c r="A49" s="106" t="n">
        <f aca="false">IF('ตั้งค่า Setup'!$C$10+7*32&gt;MAX('ตั้งค่า Setup'!$C$69,'ตั้งค่า Setup'!$C$15)+7,"",33)</f>
        <v>33</v>
      </c>
      <c r="B49" s="115" t="n">
        <f aca="false">IF(A49="","",'ตั้งค่า Setup'!$C$10+7*32)</f>
        <v>46297</v>
      </c>
      <c r="C49" s="115" t="n">
        <f aca="false">IF(A49="","",B49+6)</f>
        <v>46303</v>
      </c>
      <c r="D49" s="104" t="n">
        <f aca="false">IF(A49="","",SUMPRODUCT('แผนงาน Schedule'!$F$7:$F$66,('แผนงาน Schedule'!$I$7:$I$66&lt;=C49)+('แผนงาน Schedule'!$H$7:$H$66&lt;=C49)*('แผนงาน Schedule'!$I$7:$I$66&gt;C49)*(C49-'แผนงาน Schedule'!$H$7:$H$66+1)/('แผนงาน Schedule'!$I$7:$I$66-'แผนงาน Schedule'!$H$7:$H$66+1)))</f>
        <v>0.87944</v>
      </c>
      <c r="E49" s="102"/>
      <c r="F49" s="104" t="str">
        <f aca="false">IF(E49="","",E49-N(E48))</f>
        <v/>
      </c>
      <c r="G49" s="116" t="str">
        <f aca="false">IF(OR(E49="",D49=""),"",E49-D49)</f>
        <v/>
      </c>
      <c r="H49" s="24"/>
      <c r="I49" s="117"/>
      <c r="J49" s="117"/>
      <c r="K49" s="117"/>
      <c r="L49" s="117"/>
      <c r="M49" s="117"/>
      <c r="N49" s="117"/>
      <c r="O49" s="117"/>
    </row>
    <row r="50" customFormat="false" ht="15" hidden="false" customHeight="false" outlineLevel="0" collapsed="false">
      <c r="A50" s="106" t="n">
        <f aca="false">IF('ตั้งค่า Setup'!$C$10+7*33&gt;MAX('ตั้งค่า Setup'!$C$69,'ตั้งค่า Setup'!$C$15)+7,"",34)</f>
        <v>34</v>
      </c>
      <c r="B50" s="115" t="n">
        <f aca="false">IF(A50="","",'ตั้งค่า Setup'!$C$10+7*33)</f>
        <v>46304</v>
      </c>
      <c r="C50" s="115" t="n">
        <f aca="false">IF(A50="","",B50+6)</f>
        <v>46310</v>
      </c>
      <c r="D50" s="104" t="n">
        <f aca="false">IF(A50="","",SUMPRODUCT('แผนงาน Schedule'!$F$7:$F$66,('แผนงาน Schedule'!$I$7:$I$66&lt;=C50)+('แผนงาน Schedule'!$H$7:$H$66&lt;=C50)*('แผนงาน Schedule'!$I$7:$I$66&gt;C50)*(C50-'แผนงาน Schedule'!$H$7:$H$66+1)/('แผนงาน Schedule'!$I$7:$I$66-'แผนงาน Schedule'!$H$7:$H$66+1)))</f>
        <v>0.886002702702703</v>
      </c>
      <c r="E50" s="102"/>
      <c r="F50" s="104" t="str">
        <f aca="false">IF(E50="","",E50-N(E49))</f>
        <v/>
      </c>
      <c r="G50" s="116" t="str">
        <f aca="false">IF(OR(E50="",D50=""),"",E50-D50)</f>
        <v/>
      </c>
      <c r="H50" s="24"/>
      <c r="I50" s="117"/>
      <c r="J50" s="117"/>
      <c r="K50" s="117"/>
      <c r="L50" s="117"/>
      <c r="M50" s="117"/>
      <c r="N50" s="117"/>
      <c r="O50" s="117"/>
    </row>
    <row r="51" customFormat="false" ht="15" hidden="false" customHeight="false" outlineLevel="0" collapsed="false">
      <c r="A51" s="106" t="n">
        <f aca="false">IF('ตั้งค่า Setup'!$C$10+7*34&gt;MAX('ตั้งค่า Setup'!$C$69,'ตั้งค่า Setup'!$C$15)+7,"",35)</f>
        <v>35</v>
      </c>
      <c r="B51" s="115" t="n">
        <f aca="false">IF(A51="","",'ตั้งค่า Setup'!$C$10+7*34)</f>
        <v>46311</v>
      </c>
      <c r="C51" s="115" t="n">
        <f aca="false">IF(A51="","",B51+6)</f>
        <v>46317</v>
      </c>
      <c r="D51" s="104" t="n">
        <f aca="false">IF(A51="","",SUMPRODUCT('แผนงาน Schedule'!$F$7:$F$66,('แผนงาน Schedule'!$I$7:$I$66&lt;=C51)+('แผนงาน Schedule'!$H$7:$H$66&lt;=C51)*('แผนงาน Schedule'!$I$7:$I$66&gt;C51)*(C51-'แผนงาน Schedule'!$H$7:$H$66+1)/('แผนงาน Schedule'!$I$7:$I$66-'แผนงาน Schedule'!$H$7:$H$66+1)))</f>
        <v>0.902121621621622</v>
      </c>
      <c r="E51" s="102"/>
      <c r="F51" s="104" t="str">
        <f aca="false">IF(E51="","",E51-N(E50))</f>
        <v/>
      </c>
      <c r="G51" s="116" t="str">
        <f aca="false">IF(OR(E51="",D51=""),"",E51-D51)</f>
        <v/>
      </c>
      <c r="H51" s="24"/>
      <c r="I51" s="117"/>
      <c r="J51" s="117"/>
      <c r="K51" s="117"/>
      <c r="L51" s="117"/>
      <c r="M51" s="117"/>
      <c r="N51" s="117"/>
      <c r="O51" s="117"/>
    </row>
    <row r="52" customFormat="false" ht="15" hidden="false" customHeight="false" outlineLevel="0" collapsed="false">
      <c r="A52" s="106" t="n">
        <f aca="false">IF('ตั้งค่า Setup'!$C$10+7*35&gt;MAX('ตั้งค่า Setup'!$C$69,'ตั้งค่า Setup'!$C$15)+7,"",36)</f>
        <v>36</v>
      </c>
      <c r="B52" s="115" t="n">
        <f aca="false">IF(A52="","",'ตั้งค่า Setup'!$C$10+7*35)</f>
        <v>46318</v>
      </c>
      <c r="C52" s="115" t="n">
        <f aca="false">IF(A52="","",B52+6)</f>
        <v>46324</v>
      </c>
      <c r="D52" s="104" t="n">
        <f aca="false">IF(A52="","",SUMPRODUCT('แผนงาน Schedule'!$F$7:$F$66,('แผนงาน Schedule'!$I$7:$I$66&lt;=C52)+('แผนงาน Schedule'!$H$7:$H$66&lt;=C52)*('แผนงาน Schedule'!$I$7:$I$66&gt;C52)*(C52-'แผนงาน Schedule'!$H$7:$H$66+1)/('แผนงาน Schedule'!$I$7:$I$66-'แผนงาน Schedule'!$H$7:$H$66+1)))</f>
        <v>0.918240540540541</v>
      </c>
      <c r="E52" s="102"/>
      <c r="F52" s="104" t="str">
        <f aca="false">IF(E52="","",E52-N(E51))</f>
        <v/>
      </c>
      <c r="G52" s="116" t="str">
        <f aca="false">IF(OR(E52="",D52=""),"",E52-D52)</f>
        <v/>
      </c>
      <c r="H52" s="24"/>
      <c r="I52" s="117"/>
      <c r="J52" s="117"/>
      <c r="K52" s="117"/>
      <c r="L52" s="117"/>
      <c r="M52" s="117"/>
      <c r="N52" s="117"/>
      <c r="O52" s="117"/>
    </row>
    <row r="53" customFormat="false" ht="15" hidden="false" customHeight="false" outlineLevel="0" collapsed="false">
      <c r="A53" s="106" t="n">
        <f aca="false">IF('ตั้งค่า Setup'!$C$10+7*36&gt;MAX('ตั้งค่า Setup'!$C$69,'ตั้งค่า Setup'!$C$15)+7,"",37)</f>
        <v>37</v>
      </c>
      <c r="B53" s="115" t="n">
        <f aca="false">IF(A53="","",'ตั้งค่า Setup'!$C$10+7*36)</f>
        <v>46325</v>
      </c>
      <c r="C53" s="115" t="n">
        <f aca="false">IF(A53="","",B53+6)</f>
        <v>46331</v>
      </c>
      <c r="D53" s="104" t="n">
        <f aca="false">IF(A53="","",SUMPRODUCT('แผนงาน Schedule'!$F$7:$F$66,('แผนงาน Schedule'!$I$7:$I$66&lt;=C53)+('แผนงาน Schedule'!$H$7:$H$66&lt;=C53)*('แผนงาน Schedule'!$I$7:$I$66&gt;C53)*(C53-'แผนงาน Schedule'!$H$7:$H$66+1)/('แผนงาน Schedule'!$I$7:$I$66-'แผนงาน Schedule'!$H$7:$H$66+1)))</f>
        <v>0.944078209459459</v>
      </c>
      <c r="E53" s="102"/>
      <c r="F53" s="104" t="str">
        <f aca="false">IF(E53="","",E53-N(E52))</f>
        <v/>
      </c>
      <c r="G53" s="116" t="str">
        <f aca="false">IF(OR(E53="",D53=""),"",E53-D53)</f>
        <v/>
      </c>
      <c r="H53" s="24"/>
      <c r="I53" s="117"/>
      <c r="J53" s="117"/>
      <c r="K53" s="117"/>
      <c r="L53" s="117"/>
      <c r="M53" s="117"/>
      <c r="N53" s="117"/>
      <c r="O53" s="117"/>
    </row>
    <row r="54" customFormat="false" ht="15" hidden="false" customHeight="false" outlineLevel="0" collapsed="false">
      <c r="A54" s="106" t="n">
        <f aca="false">IF('ตั้งค่า Setup'!$C$10+7*37&gt;MAX('ตั้งค่า Setup'!$C$69,'ตั้งค่า Setup'!$C$15)+7,"",38)</f>
        <v>38</v>
      </c>
      <c r="B54" s="115" t="n">
        <f aca="false">IF(A54="","",'ตั้งค่า Setup'!$C$10+7*37)</f>
        <v>46332</v>
      </c>
      <c r="C54" s="115" t="n">
        <f aca="false">IF(A54="","",B54+6)</f>
        <v>46338</v>
      </c>
      <c r="D54" s="104" t="n">
        <f aca="false">IF(A54="","",SUMPRODUCT('แผนงาน Schedule'!$F$7:$F$66,('แผนงาน Schedule'!$I$7:$I$66&lt;=C54)+('แผนงาน Schedule'!$H$7:$H$66&lt;=C54)*('แผนงาน Schedule'!$I$7:$I$66&gt;C54)*(C54-'แผนงาน Schedule'!$H$7:$H$66+1)/('แผนงาน Schedule'!$I$7:$I$66-'แผนงาน Schedule'!$H$7:$H$66+1)))</f>
        <v>0.973803378378378</v>
      </c>
      <c r="E54" s="102"/>
      <c r="F54" s="104" t="str">
        <f aca="false">IF(E54="","",E54-N(E53))</f>
        <v/>
      </c>
      <c r="G54" s="116" t="str">
        <f aca="false">IF(OR(E54="",D54=""),"",E54-D54)</f>
        <v/>
      </c>
      <c r="H54" s="24"/>
      <c r="I54" s="117"/>
      <c r="J54" s="117"/>
      <c r="K54" s="117"/>
      <c r="L54" s="117"/>
      <c r="M54" s="117"/>
      <c r="N54" s="117"/>
      <c r="O54" s="117"/>
    </row>
    <row r="55" customFormat="false" ht="15" hidden="false" customHeight="false" outlineLevel="0" collapsed="false">
      <c r="A55" s="106" t="n">
        <f aca="false">IF('ตั้งค่า Setup'!$C$10+7*38&gt;MAX('ตั้งค่า Setup'!$C$69,'ตั้งค่า Setup'!$C$15)+7,"",39)</f>
        <v>39</v>
      </c>
      <c r="B55" s="115" t="n">
        <f aca="false">IF(A55="","",'ตั้งค่า Setup'!$C$10+7*38)</f>
        <v>46339</v>
      </c>
      <c r="C55" s="115" t="n">
        <f aca="false">IF(A55="","",B55+6)</f>
        <v>46345</v>
      </c>
      <c r="D55" s="104" t="n">
        <f aca="false">IF(A55="","",SUMPRODUCT('แผนงาน Schedule'!$F$7:$F$66,('แผนงาน Schedule'!$I$7:$I$66&lt;=C55)+('แผนงาน Schedule'!$H$7:$H$66&lt;=C55)*('แผนงาน Schedule'!$I$7:$I$66&gt;C55)*(C55-'แผนงาน Schedule'!$H$7:$H$66+1)/('แผนงาน Schedule'!$I$7:$I$66-'แผนงาน Schedule'!$H$7:$H$66+1)))</f>
        <v>0.997697297297297</v>
      </c>
      <c r="E55" s="102"/>
      <c r="F55" s="104" t="str">
        <f aca="false">IF(E55="","",E55-N(E54))</f>
        <v/>
      </c>
      <c r="G55" s="116" t="str">
        <f aca="false">IF(OR(E55="",D55=""),"",E55-D55)</f>
        <v/>
      </c>
      <c r="H55" s="24"/>
      <c r="I55" s="117"/>
      <c r="J55" s="117"/>
      <c r="K55" s="117"/>
      <c r="L55" s="117"/>
      <c r="M55" s="117"/>
      <c r="N55" s="117"/>
      <c r="O55" s="117"/>
    </row>
    <row r="56" customFormat="false" ht="15" hidden="false" customHeight="false" outlineLevel="0" collapsed="false">
      <c r="A56" s="106" t="n">
        <f aca="false">IF('ตั้งค่า Setup'!$C$10+7*39&gt;MAX('ตั้งค่า Setup'!$C$69,'ตั้งค่า Setup'!$C$15)+7,"",40)</f>
        <v>40</v>
      </c>
      <c r="B56" s="115" t="n">
        <f aca="false">IF(A56="","",'ตั้งค่า Setup'!$C$10+7*39)</f>
        <v>46346</v>
      </c>
      <c r="C56" s="115" t="n">
        <f aca="false">IF(A56="","",B56+6)</f>
        <v>46352</v>
      </c>
      <c r="D56" s="104" t="n">
        <f aca="false">IF(A56="","",SUMPRODUCT('แผนงาน Schedule'!$F$7:$F$66,('แผนงาน Schedule'!$I$7:$I$66&lt;=C56)+('แผนงาน Schedule'!$H$7:$H$66&lt;=C56)*('แผนงาน Schedule'!$I$7:$I$66&gt;C56)*(C56-'แผนงาน Schedule'!$H$7:$H$66+1)/('แผนงาน Schedule'!$I$7:$I$66-'แผนงาน Schedule'!$H$7:$H$66+1)))</f>
        <v>1</v>
      </c>
      <c r="E56" s="102"/>
      <c r="F56" s="104" t="str">
        <f aca="false">IF(E56="","",E56-N(E55))</f>
        <v/>
      </c>
      <c r="G56" s="116" t="str">
        <f aca="false">IF(OR(E56="",D56=""),"",E56-D56)</f>
        <v/>
      </c>
      <c r="H56" s="24"/>
      <c r="I56" s="117"/>
      <c r="J56" s="117"/>
      <c r="K56" s="117"/>
      <c r="L56" s="117"/>
      <c r="M56" s="117"/>
      <c r="N56" s="117"/>
      <c r="O56" s="117"/>
    </row>
    <row r="57" customFormat="false" ht="15" hidden="false" customHeight="false" outlineLevel="0" collapsed="false">
      <c r="A57" s="106" t="n">
        <f aca="false">IF('ตั้งค่า Setup'!$C$10+7*40&gt;MAX('ตั้งค่า Setup'!$C$69,'ตั้งค่า Setup'!$C$15)+7,"",41)</f>
        <v>41</v>
      </c>
      <c r="B57" s="115" t="n">
        <f aca="false">IF(A57="","",'ตั้งค่า Setup'!$C$10+7*40)</f>
        <v>46353</v>
      </c>
      <c r="C57" s="115" t="n">
        <f aca="false">IF(A57="","",B57+6)</f>
        <v>46359</v>
      </c>
      <c r="D57" s="104" t="n">
        <f aca="false">IF(A57="","",SUMPRODUCT('แผนงาน Schedule'!$F$7:$F$66,('แผนงาน Schedule'!$I$7:$I$66&lt;=C57)+('แผนงาน Schedule'!$H$7:$H$66&lt;=C57)*('แผนงาน Schedule'!$I$7:$I$66&gt;C57)*(C57-'แผนงาน Schedule'!$H$7:$H$66+1)/('แผนงาน Schedule'!$I$7:$I$66-'แผนงาน Schedule'!$H$7:$H$66+1)))</f>
        <v>1</v>
      </c>
      <c r="E57" s="102"/>
      <c r="F57" s="104" t="str">
        <f aca="false">IF(E57="","",E57-N(E56))</f>
        <v/>
      </c>
      <c r="G57" s="116" t="str">
        <f aca="false">IF(OR(E57="",D57=""),"",E57-D57)</f>
        <v/>
      </c>
      <c r="H57" s="24"/>
      <c r="I57" s="117"/>
      <c r="J57" s="117"/>
      <c r="K57" s="117"/>
      <c r="L57" s="117"/>
      <c r="M57" s="117"/>
      <c r="N57" s="117"/>
      <c r="O57" s="117"/>
    </row>
    <row r="58" customFormat="false" ht="15" hidden="false" customHeight="false" outlineLevel="0" collapsed="false">
      <c r="A58" s="106" t="str">
        <f aca="false">IF('ตั้งค่า Setup'!$C$10+7*41&gt;MAX('ตั้งค่า Setup'!$C$69,'ตั้งค่า Setup'!$C$15)+7,"",42)</f>
        <v/>
      </c>
      <c r="B58" s="115" t="str">
        <f aca="false">IF(A58="","",'ตั้งค่า Setup'!$C$10+7*41)</f>
        <v/>
      </c>
      <c r="C58" s="115" t="str">
        <f aca="false">IF(A58="","",B58+6)</f>
        <v/>
      </c>
      <c r="D58" s="104" t="str">
        <f aca="false">IF(A58="","",SUMPRODUCT('แผนงาน Schedule'!$F$7:$F$66,('แผนงาน Schedule'!$I$7:$I$66&lt;=C58)+('แผนงาน Schedule'!$H$7:$H$66&lt;=C58)*('แผนงาน Schedule'!$I$7:$I$66&gt;C58)*(C58-'แผนงาน Schedule'!$H$7:$H$66+1)/('แผนงาน Schedule'!$I$7:$I$66-'แผนงาน Schedule'!$H$7:$H$66+1)))</f>
        <v/>
      </c>
      <c r="E58" s="102"/>
      <c r="F58" s="104" t="str">
        <f aca="false">IF(E58="","",E58-N(E57))</f>
        <v/>
      </c>
      <c r="G58" s="116" t="str">
        <f aca="false">IF(OR(E58="",D58=""),"",E58-D58)</f>
        <v/>
      </c>
      <c r="H58" s="24"/>
      <c r="I58" s="117"/>
      <c r="J58" s="117"/>
      <c r="K58" s="117"/>
      <c r="L58" s="117"/>
      <c r="M58" s="117"/>
      <c r="N58" s="117"/>
      <c r="O58" s="117"/>
    </row>
    <row r="59" customFormat="false" ht="15" hidden="false" customHeight="false" outlineLevel="0" collapsed="false">
      <c r="A59" s="106" t="str">
        <f aca="false">IF('ตั้งค่า Setup'!$C$10+7*42&gt;MAX('ตั้งค่า Setup'!$C$69,'ตั้งค่า Setup'!$C$15)+7,"",43)</f>
        <v/>
      </c>
      <c r="B59" s="115" t="str">
        <f aca="false">IF(A59="","",'ตั้งค่า Setup'!$C$10+7*42)</f>
        <v/>
      </c>
      <c r="C59" s="115" t="str">
        <f aca="false">IF(A59="","",B59+6)</f>
        <v/>
      </c>
      <c r="D59" s="104" t="str">
        <f aca="false">IF(A59="","",SUMPRODUCT('แผนงาน Schedule'!$F$7:$F$66,('แผนงาน Schedule'!$I$7:$I$66&lt;=C59)+('แผนงาน Schedule'!$H$7:$H$66&lt;=C59)*('แผนงาน Schedule'!$I$7:$I$66&gt;C59)*(C59-'แผนงาน Schedule'!$H$7:$H$66+1)/('แผนงาน Schedule'!$I$7:$I$66-'แผนงาน Schedule'!$H$7:$H$66+1)))</f>
        <v/>
      </c>
      <c r="E59" s="102"/>
      <c r="F59" s="104" t="str">
        <f aca="false">IF(E59="","",E59-N(E58))</f>
        <v/>
      </c>
      <c r="G59" s="116" t="str">
        <f aca="false">IF(OR(E59="",D59=""),"",E59-D59)</f>
        <v/>
      </c>
      <c r="H59" s="24"/>
      <c r="I59" s="117"/>
      <c r="J59" s="117"/>
      <c r="K59" s="117"/>
      <c r="L59" s="117"/>
      <c r="M59" s="117"/>
      <c r="N59" s="117"/>
      <c r="O59" s="117"/>
    </row>
    <row r="60" customFormat="false" ht="15" hidden="false" customHeight="false" outlineLevel="0" collapsed="false">
      <c r="A60" s="106" t="str">
        <f aca="false">IF('ตั้งค่า Setup'!$C$10+7*43&gt;MAX('ตั้งค่า Setup'!$C$69,'ตั้งค่า Setup'!$C$15)+7,"",44)</f>
        <v/>
      </c>
      <c r="B60" s="115" t="str">
        <f aca="false">IF(A60="","",'ตั้งค่า Setup'!$C$10+7*43)</f>
        <v/>
      </c>
      <c r="C60" s="115" t="str">
        <f aca="false">IF(A60="","",B60+6)</f>
        <v/>
      </c>
      <c r="D60" s="104" t="str">
        <f aca="false">IF(A60="","",SUMPRODUCT('แผนงาน Schedule'!$F$7:$F$66,('แผนงาน Schedule'!$I$7:$I$66&lt;=C60)+('แผนงาน Schedule'!$H$7:$H$66&lt;=C60)*('แผนงาน Schedule'!$I$7:$I$66&gt;C60)*(C60-'แผนงาน Schedule'!$H$7:$H$66+1)/('แผนงาน Schedule'!$I$7:$I$66-'แผนงาน Schedule'!$H$7:$H$66+1)))</f>
        <v/>
      </c>
      <c r="E60" s="102"/>
      <c r="F60" s="104" t="str">
        <f aca="false">IF(E60="","",E60-N(E59))</f>
        <v/>
      </c>
      <c r="G60" s="116" t="str">
        <f aca="false">IF(OR(E60="",D60=""),"",E60-D60)</f>
        <v/>
      </c>
      <c r="H60" s="24"/>
      <c r="I60" s="117"/>
      <c r="J60" s="117"/>
      <c r="K60" s="117"/>
      <c r="L60" s="117"/>
      <c r="M60" s="117"/>
      <c r="N60" s="117"/>
      <c r="O60" s="117"/>
    </row>
    <row r="61" customFormat="false" ht="15" hidden="false" customHeight="false" outlineLevel="0" collapsed="false">
      <c r="A61" s="106" t="str">
        <f aca="false">IF('ตั้งค่า Setup'!$C$10+7*44&gt;MAX('ตั้งค่า Setup'!$C$69,'ตั้งค่า Setup'!$C$15)+7,"",45)</f>
        <v/>
      </c>
      <c r="B61" s="115" t="str">
        <f aca="false">IF(A61="","",'ตั้งค่า Setup'!$C$10+7*44)</f>
        <v/>
      </c>
      <c r="C61" s="115" t="str">
        <f aca="false">IF(A61="","",B61+6)</f>
        <v/>
      </c>
      <c r="D61" s="104" t="str">
        <f aca="false">IF(A61="","",SUMPRODUCT('แผนงาน Schedule'!$F$7:$F$66,('แผนงาน Schedule'!$I$7:$I$66&lt;=C61)+('แผนงาน Schedule'!$H$7:$H$66&lt;=C61)*('แผนงาน Schedule'!$I$7:$I$66&gt;C61)*(C61-'แผนงาน Schedule'!$H$7:$H$66+1)/('แผนงาน Schedule'!$I$7:$I$66-'แผนงาน Schedule'!$H$7:$H$66+1)))</f>
        <v/>
      </c>
      <c r="E61" s="102"/>
      <c r="F61" s="104" t="str">
        <f aca="false">IF(E61="","",E61-N(E60))</f>
        <v/>
      </c>
      <c r="G61" s="116" t="str">
        <f aca="false">IF(OR(E61="",D61=""),"",E61-D61)</f>
        <v/>
      </c>
      <c r="H61" s="24"/>
      <c r="I61" s="117"/>
      <c r="J61" s="117"/>
      <c r="K61" s="117"/>
      <c r="L61" s="117"/>
      <c r="M61" s="117"/>
      <c r="N61" s="117"/>
      <c r="O61" s="117"/>
    </row>
    <row r="62" customFormat="false" ht="15" hidden="false" customHeight="false" outlineLevel="0" collapsed="false">
      <c r="A62" s="106" t="str">
        <f aca="false">IF('ตั้งค่า Setup'!$C$10+7*45&gt;MAX('ตั้งค่า Setup'!$C$69,'ตั้งค่า Setup'!$C$15)+7,"",46)</f>
        <v/>
      </c>
      <c r="B62" s="115" t="str">
        <f aca="false">IF(A62="","",'ตั้งค่า Setup'!$C$10+7*45)</f>
        <v/>
      </c>
      <c r="C62" s="115" t="str">
        <f aca="false">IF(A62="","",B62+6)</f>
        <v/>
      </c>
      <c r="D62" s="104" t="str">
        <f aca="false">IF(A62="","",SUMPRODUCT('แผนงาน Schedule'!$F$7:$F$66,('แผนงาน Schedule'!$I$7:$I$66&lt;=C62)+('แผนงาน Schedule'!$H$7:$H$66&lt;=C62)*('แผนงาน Schedule'!$I$7:$I$66&gt;C62)*(C62-'แผนงาน Schedule'!$H$7:$H$66+1)/('แผนงาน Schedule'!$I$7:$I$66-'แผนงาน Schedule'!$H$7:$H$66+1)))</f>
        <v/>
      </c>
      <c r="E62" s="102"/>
      <c r="F62" s="104" t="str">
        <f aca="false">IF(E62="","",E62-N(E61))</f>
        <v/>
      </c>
      <c r="G62" s="116" t="str">
        <f aca="false">IF(OR(E62="",D62=""),"",E62-D62)</f>
        <v/>
      </c>
      <c r="H62" s="24"/>
      <c r="I62" s="117"/>
      <c r="J62" s="117"/>
      <c r="K62" s="117"/>
      <c r="L62" s="117"/>
      <c r="M62" s="117"/>
      <c r="N62" s="117"/>
      <c r="O62" s="117"/>
    </row>
    <row r="63" customFormat="false" ht="15" hidden="false" customHeight="false" outlineLevel="0" collapsed="false">
      <c r="A63" s="106" t="str">
        <f aca="false">IF('ตั้งค่า Setup'!$C$10+7*46&gt;MAX('ตั้งค่า Setup'!$C$69,'ตั้งค่า Setup'!$C$15)+7,"",47)</f>
        <v/>
      </c>
      <c r="B63" s="115" t="str">
        <f aca="false">IF(A63="","",'ตั้งค่า Setup'!$C$10+7*46)</f>
        <v/>
      </c>
      <c r="C63" s="115" t="str">
        <f aca="false">IF(A63="","",B63+6)</f>
        <v/>
      </c>
      <c r="D63" s="104" t="str">
        <f aca="false">IF(A63="","",SUMPRODUCT('แผนงาน Schedule'!$F$7:$F$66,('แผนงาน Schedule'!$I$7:$I$66&lt;=C63)+('แผนงาน Schedule'!$H$7:$H$66&lt;=C63)*('แผนงาน Schedule'!$I$7:$I$66&gt;C63)*(C63-'แผนงาน Schedule'!$H$7:$H$66+1)/('แผนงาน Schedule'!$I$7:$I$66-'แผนงาน Schedule'!$H$7:$H$66+1)))</f>
        <v/>
      </c>
      <c r="E63" s="102"/>
      <c r="F63" s="104" t="str">
        <f aca="false">IF(E63="","",E63-N(E62))</f>
        <v/>
      </c>
      <c r="G63" s="116" t="str">
        <f aca="false">IF(OR(E63="",D63=""),"",E63-D63)</f>
        <v/>
      </c>
      <c r="H63" s="24"/>
      <c r="I63" s="117"/>
      <c r="J63" s="117"/>
      <c r="K63" s="117"/>
      <c r="L63" s="117"/>
      <c r="M63" s="117"/>
      <c r="N63" s="117"/>
      <c r="O63" s="117"/>
    </row>
    <row r="64" customFormat="false" ht="15" hidden="false" customHeight="false" outlineLevel="0" collapsed="false">
      <c r="A64" s="106" t="str">
        <f aca="false">IF('ตั้งค่า Setup'!$C$10+7*47&gt;MAX('ตั้งค่า Setup'!$C$69,'ตั้งค่า Setup'!$C$15)+7,"",48)</f>
        <v/>
      </c>
      <c r="B64" s="115" t="str">
        <f aca="false">IF(A64="","",'ตั้งค่า Setup'!$C$10+7*47)</f>
        <v/>
      </c>
      <c r="C64" s="115" t="str">
        <f aca="false">IF(A64="","",B64+6)</f>
        <v/>
      </c>
      <c r="D64" s="104" t="str">
        <f aca="false">IF(A64="","",SUMPRODUCT('แผนงาน Schedule'!$F$7:$F$66,('แผนงาน Schedule'!$I$7:$I$66&lt;=C64)+('แผนงาน Schedule'!$H$7:$H$66&lt;=C64)*('แผนงาน Schedule'!$I$7:$I$66&gt;C64)*(C64-'แผนงาน Schedule'!$H$7:$H$66+1)/('แผนงาน Schedule'!$I$7:$I$66-'แผนงาน Schedule'!$H$7:$H$66+1)))</f>
        <v/>
      </c>
      <c r="E64" s="102"/>
      <c r="F64" s="104" t="str">
        <f aca="false">IF(E64="","",E64-N(E63))</f>
        <v/>
      </c>
      <c r="G64" s="116" t="str">
        <f aca="false">IF(OR(E64="",D64=""),"",E64-D64)</f>
        <v/>
      </c>
      <c r="H64" s="24"/>
      <c r="I64" s="117"/>
      <c r="J64" s="117"/>
      <c r="K64" s="117"/>
      <c r="L64" s="117"/>
      <c r="M64" s="117"/>
      <c r="N64" s="117"/>
      <c r="O64" s="117"/>
    </row>
    <row r="65" customFormat="false" ht="15" hidden="false" customHeight="false" outlineLevel="0" collapsed="false">
      <c r="A65" s="106" t="str">
        <f aca="false">IF('ตั้งค่า Setup'!$C$10+7*48&gt;MAX('ตั้งค่า Setup'!$C$69,'ตั้งค่า Setup'!$C$15)+7,"",49)</f>
        <v/>
      </c>
      <c r="B65" s="115" t="str">
        <f aca="false">IF(A65="","",'ตั้งค่า Setup'!$C$10+7*48)</f>
        <v/>
      </c>
      <c r="C65" s="115" t="str">
        <f aca="false">IF(A65="","",B65+6)</f>
        <v/>
      </c>
      <c r="D65" s="104" t="str">
        <f aca="false">IF(A65="","",SUMPRODUCT('แผนงาน Schedule'!$F$7:$F$66,('แผนงาน Schedule'!$I$7:$I$66&lt;=C65)+('แผนงาน Schedule'!$H$7:$H$66&lt;=C65)*('แผนงาน Schedule'!$I$7:$I$66&gt;C65)*(C65-'แผนงาน Schedule'!$H$7:$H$66+1)/('แผนงาน Schedule'!$I$7:$I$66-'แผนงาน Schedule'!$H$7:$H$66+1)))</f>
        <v/>
      </c>
      <c r="E65" s="102"/>
      <c r="F65" s="104" t="str">
        <f aca="false">IF(E65="","",E65-N(E64))</f>
        <v/>
      </c>
      <c r="G65" s="116" t="str">
        <f aca="false">IF(OR(E65="",D65=""),"",E65-D65)</f>
        <v/>
      </c>
      <c r="H65" s="24"/>
      <c r="I65" s="117"/>
      <c r="J65" s="117"/>
      <c r="K65" s="117"/>
      <c r="L65" s="117"/>
      <c r="M65" s="117"/>
      <c r="N65" s="117"/>
      <c r="O65" s="117"/>
    </row>
    <row r="66" customFormat="false" ht="15" hidden="false" customHeight="false" outlineLevel="0" collapsed="false">
      <c r="A66" s="106" t="str">
        <f aca="false">IF('ตั้งค่า Setup'!$C$10+7*49&gt;MAX('ตั้งค่า Setup'!$C$69,'ตั้งค่า Setup'!$C$15)+7,"",50)</f>
        <v/>
      </c>
      <c r="B66" s="115" t="str">
        <f aca="false">IF(A66="","",'ตั้งค่า Setup'!$C$10+7*49)</f>
        <v/>
      </c>
      <c r="C66" s="115" t="str">
        <f aca="false">IF(A66="","",B66+6)</f>
        <v/>
      </c>
      <c r="D66" s="104" t="str">
        <f aca="false">IF(A66="","",SUMPRODUCT('แผนงาน Schedule'!$F$7:$F$66,('แผนงาน Schedule'!$I$7:$I$66&lt;=C66)+('แผนงาน Schedule'!$H$7:$H$66&lt;=C66)*('แผนงาน Schedule'!$I$7:$I$66&gt;C66)*(C66-'แผนงาน Schedule'!$H$7:$H$66+1)/('แผนงาน Schedule'!$I$7:$I$66-'แผนงาน Schedule'!$H$7:$H$66+1)))</f>
        <v/>
      </c>
      <c r="E66" s="102"/>
      <c r="F66" s="104" t="str">
        <f aca="false">IF(E66="","",E66-N(E65))</f>
        <v/>
      </c>
      <c r="G66" s="116" t="str">
        <f aca="false">IF(OR(E66="",D66=""),"",E66-D66)</f>
        <v/>
      </c>
      <c r="H66" s="24"/>
      <c r="I66" s="117"/>
      <c r="J66" s="117"/>
      <c r="K66" s="117"/>
      <c r="L66" s="117"/>
      <c r="M66" s="117"/>
      <c r="N66" s="117"/>
      <c r="O66" s="117"/>
    </row>
    <row r="67" customFormat="false" ht="15" hidden="false" customHeight="false" outlineLevel="0" collapsed="false">
      <c r="A67" s="106" t="str">
        <f aca="false">IF('ตั้งค่า Setup'!$C$10+7*50&gt;MAX('ตั้งค่า Setup'!$C$69,'ตั้งค่า Setup'!$C$15)+7,"",51)</f>
        <v/>
      </c>
      <c r="B67" s="115" t="str">
        <f aca="false">IF(A67="","",'ตั้งค่า Setup'!$C$10+7*50)</f>
        <v/>
      </c>
      <c r="C67" s="115" t="str">
        <f aca="false">IF(A67="","",B67+6)</f>
        <v/>
      </c>
      <c r="D67" s="104" t="str">
        <f aca="false">IF(A67="","",SUMPRODUCT('แผนงาน Schedule'!$F$7:$F$66,('แผนงาน Schedule'!$I$7:$I$66&lt;=C67)+('แผนงาน Schedule'!$H$7:$H$66&lt;=C67)*('แผนงาน Schedule'!$I$7:$I$66&gt;C67)*(C67-'แผนงาน Schedule'!$H$7:$H$66+1)/('แผนงาน Schedule'!$I$7:$I$66-'แผนงาน Schedule'!$H$7:$H$66+1)))</f>
        <v/>
      </c>
      <c r="E67" s="102"/>
      <c r="F67" s="104" t="str">
        <f aca="false">IF(E67="","",E67-N(E66))</f>
        <v/>
      </c>
      <c r="G67" s="116" t="str">
        <f aca="false">IF(OR(E67="",D67=""),"",E67-D67)</f>
        <v/>
      </c>
      <c r="H67" s="24"/>
      <c r="I67" s="117"/>
      <c r="J67" s="117"/>
      <c r="K67" s="117"/>
      <c r="L67" s="117"/>
      <c r="M67" s="117"/>
      <c r="N67" s="117"/>
      <c r="O67" s="117"/>
    </row>
    <row r="68" customFormat="false" ht="15" hidden="false" customHeight="false" outlineLevel="0" collapsed="false">
      <c r="A68" s="106" t="str">
        <f aca="false">IF('ตั้งค่า Setup'!$C$10+7*51&gt;MAX('ตั้งค่า Setup'!$C$69,'ตั้งค่า Setup'!$C$15)+7,"",52)</f>
        <v/>
      </c>
      <c r="B68" s="115" t="str">
        <f aca="false">IF(A68="","",'ตั้งค่า Setup'!$C$10+7*51)</f>
        <v/>
      </c>
      <c r="C68" s="115" t="str">
        <f aca="false">IF(A68="","",B68+6)</f>
        <v/>
      </c>
      <c r="D68" s="104" t="str">
        <f aca="false">IF(A68="","",SUMPRODUCT('แผนงาน Schedule'!$F$7:$F$66,('แผนงาน Schedule'!$I$7:$I$66&lt;=C68)+('แผนงาน Schedule'!$H$7:$H$66&lt;=C68)*('แผนงาน Schedule'!$I$7:$I$66&gt;C68)*(C68-'แผนงาน Schedule'!$H$7:$H$66+1)/('แผนงาน Schedule'!$I$7:$I$66-'แผนงาน Schedule'!$H$7:$H$66+1)))</f>
        <v/>
      </c>
      <c r="E68" s="102"/>
      <c r="F68" s="104" t="str">
        <f aca="false">IF(E68="","",E68-N(E67))</f>
        <v/>
      </c>
      <c r="G68" s="116" t="str">
        <f aca="false">IF(OR(E68="",D68=""),"",E68-D68)</f>
        <v/>
      </c>
      <c r="H68" s="24"/>
      <c r="I68" s="117"/>
      <c r="J68" s="117"/>
      <c r="K68" s="117"/>
      <c r="L68" s="117"/>
      <c r="M68" s="117"/>
      <c r="N68" s="117"/>
      <c r="O68" s="117"/>
    </row>
    <row r="69" customFormat="false" ht="15" hidden="false" customHeight="false" outlineLevel="0" collapsed="false">
      <c r="A69" s="106" t="str">
        <f aca="false">IF('ตั้งค่า Setup'!$C$10+7*52&gt;MAX('ตั้งค่า Setup'!$C$69,'ตั้งค่า Setup'!$C$15)+7,"",53)</f>
        <v/>
      </c>
      <c r="B69" s="115" t="str">
        <f aca="false">IF(A69="","",'ตั้งค่า Setup'!$C$10+7*52)</f>
        <v/>
      </c>
      <c r="C69" s="115" t="str">
        <f aca="false">IF(A69="","",B69+6)</f>
        <v/>
      </c>
      <c r="D69" s="104" t="str">
        <f aca="false">IF(A69="","",SUMPRODUCT('แผนงาน Schedule'!$F$7:$F$66,('แผนงาน Schedule'!$I$7:$I$66&lt;=C69)+('แผนงาน Schedule'!$H$7:$H$66&lt;=C69)*('แผนงาน Schedule'!$I$7:$I$66&gt;C69)*(C69-'แผนงาน Schedule'!$H$7:$H$66+1)/('แผนงาน Schedule'!$I$7:$I$66-'แผนงาน Schedule'!$H$7:$H$66+1)))</f>
        <v/>
      </c>
      <c r="E69" s="102"/>
      <c r="F69" s="104" t="str">
        <f aca="false">IF(E69="","",E69-N(E68))</f>
        <v/>
      </c>
      <c r="G69" s="116" t="str">
        <f aca="false">IF(OR(E69="",D69=""),"",E69-D69)</f>
        <v/>
      </c>
      <c r="H69" s="24"/>
      <c r="I69" s="117"/>
      <c r="J69" s="117"/>
      <c r="K69" s="117"/>
      <c r="L69" s="117"/>
      <c r="M69" s="117"/>
      <c r="N69" s="117"/>
      <c r="O69" s="117"/>
    </row>
    <row r="70" customFormat="false" ht="15" hidden="false" customHeight="false" outlineLevel="0" collapsed="false">
      <c r="A70" s="106" t="str">
        <f aca="false">IF('ตั้งค่า Setup'!$C$10+7*53&gt;MAX('ตั้งค่า Setup'!$C$69,'ตั้งค่า Setup'!$C$15)+7,"",54)</f>
        <v/>
      </c>
      <c r="B70" s="115" t="str">
        <f aca="false">IF(A70="","",'ตั้งค่า Setup'!$C$10+7*53)</f>
        <v/>
      </c>
      <c r="C70" s="115" t="str">
        <f aca="false">IF(A70="","",B70+6)</f>
        <v/>
      </c>
      <c r="D70" s="104" t="str">
        <f aca="false">IF(A70="","",SUMPRODUCT('แผนงาน Schedule'!$F$7:$F$66,('แผนงาน Schedule'!$I$7:$I$66&lt;=C70)+('แผนงาน Schedule'!$H$7:$H$66&lt;=C70)*('แผนงาน Schedule'!$I$7:$I$66&gt;C70)*(C70-'แผนงาน Schedule'!$H$7:$H$66+1)/('แผนงาน Schedule'!$I$7:$I$66-'แผนงาน Schedule'!$H$7:$H$66+1)))</f>
        <v/>
      </c>
      <c r="E70" s="102"/>
      <c r="F70" s="104" t="str">
        <f aca="false">IF(E70="","",E70-N(E69))</f>
        <v/>
      </c>
      <c r="G70" s="116" t="str">
        <f aca="false">IF(OR(E70="",D70=""),"",E70-D70)</f>
        <v/>
      </c>
      <c r="H70" s="24"/>
      <c r="I70" s="117"/>
      <c r="J70" s="117"/>
      <c r="K70" s="117"/>
      <c r="L70" s="117"/>
      <c r="M70" s="117"/>
      <c r="N70" s="117"/>
      <c r="O70" s="117"/>
    </row>
    <row r="71" customFormat="false" ht="15" hidden="false" customHeight="false" outlineLevel="0" collapsed="false">
      <c r="A71" s="106" t="str">
        <f aca="false">IF('ตั้งค่า Setup'!$C$10+7*54&gt;MAX('ตั้งค่า Setup'!$C$69,'ตั้งค่า Setup'!$C$15)+7,"",55)</f>
        <v/>
      </c>
      <c r="B71" s="115" t="str">
        <f aca="false">IF(A71="","",'ตั้งค่า Setup'!$C$10+7*54)</f>
        <v/>
      </c>
      <c r="C71" s="115" t="str">
        <f aca="false">IF(A71="","",B71+6)</f>
        <v/>
      </c>
      <c r="D71" s="104" t="str">
        <f aca="false">IF(A71="","",SUMPRODUCT('แผนงาน Schedule'!$F$7:$F$66,('แผนงาน Schedule'!$I$7:$I$66&lt;=C71)+('แผนงาน Schedule'!$H$7:$H$66&lt;=C71)*('แผนงาน Schedule'!$I$7:$I$66&gt;C71)*(C71-'แผนงาน Schedule'!$H$7:$H$66+1)/('แผนงาน Schedule'!$I$7:$I$66-'แผนงาน Schedule'!$H$7:$H$66+1)))</f>
        <v/>
      </c>
      <c r="E71" s="102"/>
      <c r="F71" s="104" t="str">
        <f aca="false">IF(E71="","",E71-N(E70))</f>
        <v/>
      </c>
      <c r="G71" s="116" t="str">
        <f aca="false">IF(OR(E71="",D71=""),"",E71-D71)</f>
        <v/>
      </c>
      <c r="H71" s="24"/>
      <c r="I71" s="117"/>
      <c r="J71" s="117"/>
      <c r="K71" s="117"/>
      <c r="L71" s="117"/>
      <c r="M71" s="117"/>
      <c r="N71" s="117"/>
      <c r="O71" s="117"/>
    </row>
    <row r="72" customFormat="false" ht="15" hidden="false" customHeight="false" outlineLevel="0" collapsed="false">
      <c r="A72" s="106" t="str">
        <f aca="false">IF('ตั้งค่า Setup'!$C$10+7*55&gt;MAX('ตั้งค่า Setup'!$C$69,'ตั้งค่า Setup'!$C$15)+7,"",56)</f>
        <v/>
      </c>
      <c r="B72" s="115" t="str">
        <f aca="false">IF(A72="","",'ตั้งค่า Setup'!$C$10+7*55)</f>
        <v/>
      </c>
      <c r="C72" s="115" t="str">
        <f aca="false">IF(A72="","",B72+6)</f>
        <v/>
      </c>
      <c r="D72" s="104" t="str">
        <f aca="false">IF(A72="","",SUMPRODUCT('แผนงาน Schedule'!$F$7:$F$66,('แผนงาน Schedule'!$I$7:$I$66&lt;=C72)+('แผนงาน Schedule'!$H$7:$H$66&lt;=C72)*('แผนงาน Schedule'!$I$7:$I$66&gt;C72)*(C72-'แผนงาน Schedule'!$H$7:$H$66+1)/('แผนงาน Schedule'!$I$7:$I$66-'แผนงาน Schedule'!$H$7:$H$66+1)))</f>
        <v/>
      </c>
      <c r="E72" s="102"/>
      <c r="F72" s="104" t="str">
        <f aca="false">IF(E72="","",E72-N(E71))</f>
        <v/>
      </c>
      <c r="G72" s="116" t="str">
        <f aca="false">IF(OR(E72="",D72=""),"",E72-D72)</f>
        <v/>
      </c>
      <c r="H72" s="24"/>
      <c r="I72" s="117"/>
      <c r="J72" s="117"/>
      <c r="K72" s="117"/>
      <c r="L72" s="117"/>
      <c r="M72" s="117"/>
      <c r="N72" s="117"/>
      <c r="O72" s="117"/>
    </row>
    <row r="73" customFormat="false" ht="15" hidden="false" customHeight="false" outlineLevel="0" collapsed="false">
      <c r="A73" s="106" t="str">
        <f aca="false">IF('ตั้งค่า Setup'!$C$10+7*56&gt;MAX('ตั้งค่า Setup'!$C$69,'ตั้งค่า Setup'!$C$15)+7,"",57)</f>
        <v/>
      </c>
      <c r="B73" s="115" t="str">
        <f aca="false">IF(A73="","",'ตั้งค่า Setup'!$C$10+7*56)</f>
        <v/>
      </c>
      <c r="C73" s="115" t="str">
        <f aca="false">IF(A73="","",B73+6)</f>
        <v/>
      </c>
      <c r="D73" s="104" t="str">
        <f aca="false">IF(A73="","",SUMPRODUCT('แผนงาน Schedule'!$F$7:$F$66,('แผนงาน Schedule'!$I$7:$I$66&lt;=C73)+('แผนงาน Schedule'!$H$7:$H$66&lt;=C73)*('แผนงาน Schedule'!$I$7:$I$66&gt;C73)*(C73-'แผนงาน Schedule'!$H$7:$H$66+1)/('แผนงาน Schedule'!$I$7:$I$66-'แผนงาน Schedule'!$H$7:$H$66+1)))</f>
        <v/>
      </c>
      <c r="E73" s="102"/>
      <c r="F73" s="104" t="str">
        <f aca="false">IF(E73="","",E73-N(E72))</f>
        <v/>
      </c>
      <c r="G73" s="116" t="str">
        <f aca="false">IF(OR(E73="",D73=""),"",E73-D73)</f>
        <v/>
      </c>
      <c r="H73" s="24"/>
      <c r="I73" s="117"/>
      <c r="J73" s="117"/>
      <c r="K73" s="117"/>
      <c r="L73" s="117"/>
      <c r="M73" s="117"/>
      <c r="N73" s="117"/>
      <c r="O73" s="117"/>
    </row>
    <row r="74" customFormat="false" ht="15" hidden="false" customHeight="false" outlineLevel="0" collapsed="false">
      <c r="A74" s="106" t="str">
        <f aca="false">IF('ตั้งค่า Setup'!$C$10+7*57&gt;MAX('ตั้งค่า Setup'!$C$69,'ตั้งค่า Setup'!$C$15)+7,"",58)</f>
        <v/>
      </c>
      <c r="B74" s="115" t="str">
        <f aca="false">IF(A74="","",'ตั้งค่า Setup'!$C$10+7*57)</f>
        <v/>
      </c>
      <c r="C74" s="115" t="str">
        <f aca="false">IF(A74="","",B74+6)</f>
        <v/>
      </c>
      <c r="D74" s="104" t="str">
        <f aca="false">IF(A74="","",SUMPRODUCT('แผนงาน Schedule'!$F$7:$F$66,('แผนงาน Schedule'!$I$7:$I$66&lt;=C74)+('แผนงาน Schedule'!$H$7:$H$66&lt;=C74)*('แผนงาน Schedule'!$I$7:$I$66&gt;C74)*(C74-'แผนงาน Schedule'!$H$7:$H$66+1)/('แผนงาน Schedule'!$I$7:$I$66-'แผนงาน Schedule'!$H$7:$H$66+1)))</f>
        <v/>
      </c>
      <c r="E74" s="102"/>
      <c r="F74" s="104" t="str">
        <f aca="false">IF(E74="","",E74-N(E73))</f>
        <v/>
      </c>
      <c r="G74" s="116" t="str">
        <f aca="false">IF(OR(E74="",D74=""),"",E74-D74)</f>
        <v/>
      </c>
      <c r="H74" s="24"/>
      <c r="I74" s="117"/>
      <c r="J74" s="117"/>
      <c r="K74" s="117"/>
      <c r="L74" s="117"/>
      <c r="M74" s="117"/>
      <c r="N74" s="117"/>
      <c r="O74" s="117"/>
    </row>
    <row r="75" customFormat="false" ht="15" hidden="false" customHeight="false" outlineLevel="0" collapsed="false">
      <c r="A75" s="106" t="str">
        <f aca="false">IF('ตั้งค่า Setup'!$C$10+7*58&gt;MAX('ตั้งค่า Setup'!$C$69,'ตั้งค่า Setup'!$C$15)+7,"",59)</f>
        <v/>
      </c>
      <c r="B75" s="115" t="str">
        <f aca="false">IF(A75="","",'ตั้งค่า Setup'!$C$10+7*58)</f>
        <v/>
      </c>
      <c r="C75" s="115" t="str">
        <f aca="false">IF(A75="","",B75+6)</f>
        <v/>
      </c>
      <c r="D75" s="104" t="str">
        <f aca="false">IF(A75="","",SUMPRODUCT('แผนงาน Schedule'!$F$7:$F$66,('แผนงาน Schedule'!$I$7:$I$66&lt;=C75)+('แผนงาน Schedule'!$H$7:$H$66&lt;=C75)*('แผนงาน Schedule'!$I$7:$I$66&gt;C75)*(C75-'แผนงาน Schedule'!$H$7:$H$66+1)/('แผนงาน Schedule'!$I$7:$I$66-'แผนงาน Schedule'!$H$7:$H$66+1)))</f>
        <v/>
      </c>
      <c r="E75" s="102"/>
      <c r="F75" s="104" t="str">
        <f aca="false">IF(E75="","",E75-N(E74))</f>
        <v/>
      </c>
      <c r="G75" s="116" t="str">
        <f aca="false">IF(OR(E75="",D75=""),"",E75-D75)</f>
        <v/>
      </c>
      <c r="H75" s="24"/>
      <c r="I75" s="117"/>
      <c r="J75" s="117"/>
      <c r="K75" s="117"/>
      <c r="L75" s="117"/>
      <c r="M75" s="117"/>
      <c r="N75" s="117"/>
      <c r="O75" s="117"/>
    </row>
    <row r="76" customFormat="false" ht="15" hidden="false" customHeight="false" outlineLevel="0" collapsed="false">
      <c r="A76" s="106" t="str">
        <f aca="false">IF('ตั้งค่า Setup'!$C$10+7*59&gt;MAX('ตั้งค่า Setup'!$C$69,'ตั้งค่า Setup'!$C$15)+7,"",60)</f>
        <v/>
      </c>
      <c r="B76" s="115" t="str">
        <f aca="false">IF(A76="","",'ตั้งค่า Setup'!$C$10+7*59)</f>
        <v/>
      </c>
      <c r="C76" s="115" t="str">
        <f aca="false">IF(A76="","",B76+6)</f>
        <v/>
      </c>
      <c r="D76" s="104" t="str">
        <f aca="false">IF(A76="","",SUMPRODUCT('แผนงาน Schedule'!$F$7:$F$66,('แผนงาน Schedule'!$I$7:$I$66&lt;=C76)+('แผนงาน Schedule'!$H$7:$H$66&lt;=C76)*('แผนงาน Schedule'!$I$7:$I$66&gt;C76)*(C76-'แผนงาน Schedule'!$H$7:$H$66+1)/('แผนงาน Schedule'!$I$7:$I$66-'แผนงาน Schedule'!$H$7:$H$66+1)))</f>
        <v/>
      </c>
      <c r="E76" s="102"/>
      <c r="F76" s="104" t="str">
        <f aca="false">IF(E76="","",E76-N(E75))</f>
        <v/>
      </c>
      <c r="G76" s="116" t="str">
        <f aca="false">IF(OR(E76="",D76=""),"",E76-D76)</f>
        <v/>
      </c>
      <c r="H76" s="24"/>
      <c r="I76" s="117"/>
      <c r="J76" s="117"/>
      <c r="K76" s="117"/>
      <c r="L76" s="117"/>
      <c r="M76" s="117"/>
      <c r="N76" s="117"/>
      <c r="O76" s="117"/>
    </row>
    <row r="77" customFormat="false" ht="15" hidden="false" customHeight="false" outlineLevel="0" collapsed="false">
      <c r="A77" s="106" t="str">
        <f aca="false">IF('ตั้งค่า Setup'!$C$10+7*60&gt;MAX('ตั้งค่า Setup'!$C$69,'ตั้งค่า Setup'!$C$15)+7,"",61)</f>
        <v/>
      </c>
      <c r="B77" s="115" t="str">
        <f aca="false">IF(A77="","",'ตั้งค่า Setup'!$C$10+7*60)</f>
        <v/>
      </c>
      <c r="C77" s="115" t="str">
        <f aca="false">IF(A77="","",B77+6)</f>
        <v/>
      </c>
      <c r="D77" s="104" t="str">
        <f aca="false">IF(A77="","",SUMPRODUCT('แผนงาน Schedule'!$F$7:$F$66,('แผนงาน Schedule'!$I$7:$I$66&lt;=C77)+('แผนงาน Schedule'!$H$7:$H$66&lt;=C77)*('แผนงาน Schedule'!$I$7:$I$66&gt;C77)*(C77-'แผนงาน Schedule'!$H$7:$H$66+1)/('แผนงาน Schedule'!$I$7:$I$66-'แผนงาน Schedule'!$H$7:$H$66+1)))</f>
        <v/>
      </c>
      <c r="E77" s="102"/>
      <c r="F77" s="104" t="str">
        <f aca="false">IF(E77="","",E77-N(E76))</f>
        <v/>
      </c>
      <c r="G77" s="116" t="str">
        <f aca="false">IF(OR(E77="",D77=""),"",E77-D77)</f>
        <v/>
      </c>
      <c r="H77" s="24"/>
      <c r="I77" s="117"/>
      <c r="J77" s="117"/>
      <c r="K77" s="117"/>
      <c r="L77" s="117"/>
      <c r="M77" s="117"/>
      <c r="N77" s="117"/>
      <c r="O77" s="117"/>
    </row>
    <row r="78" customFormat="false" ht="15" hidden="false" customHeight="false" outlineLevel="0" collapsed="false">
      <c r="A78" s="106" t="str">
        <f aca="false">IF('ตั้งค่า Setup'!$C$10+7*61&gt;MAX('ตั้งค่า Setup'!$C$69,'ตั้งค่า Setup'!$C$15)+7,"",62)</f>
        <v/>
      </c>
      <c r="B78" s="115" t="str">
        <f aca="false">IF(A78="","",'ตั้งค่า Setup'!$C$10+7*61)</f>
        <v/>
      </c>
      <c r="C78" s="115" t="str">
        <f aca="false">IF(A78="","",B78+6)</f>
        <v/>
      </c>
      <c r="D78" s="104" t="str">
        <f aca="false">IF(A78="","",SUMPRODUCT('แผนงาน Schedule'!$F$7:$F$66,('แผนงาน Schedule'!$I$7:$I$66&lt;=C78)+('แผนงาน Schedule'!$H$7:$H$66&lt;=C78)*('แผนงาน Schedule'!$I$7:$I$66&gt;C78)*(C78-'แผนงาน Schedule'!$H$7:$H$66+1)/('แผนงาน Schedule'!$I$7:$I$66-'แผนงาน Schedule'!$H$7:$H$66+1)))</f>
        <v/>
      </c>
      <c r="E78" s="102"/>
      <c r="F78" s="104" t="str">
        <f aca="false">IF(E78="","",E78-N(E77))</f>
        <v/>
      </c>
      <c r="G78" s="116" t="str">
        <f aca="false">IF(OR(E78="",D78=""),"",E78-D78)</f>
        <v/>
      </c>
      <c r="H78" s="24"/>
      <c r="I78" s="117"/>
      <c r="J78" s="117"/>
      <c r="K78" s="117"/>
      <c r="L78" s="117"/>
      <c r="M78" s="117"/>
      <c r="N78" s="117"/>
      <c r="O78" s="117"/>
    </row>
    <row r="79" customFormat="false" ht="15" hidden="false" customHeight="false" outlineLevel="0" collapsed="false">
      <c r="A79" s="106" t="str">
        <f aca="false">IF('ตั้งค่า Setup'!$C$10+7*62&gt;MAX('ตั้งค่า Setup'!$C$69,'ตั้งค่า Setup'!$C$15)+7,"",63)</f>
        <v/>
      </c>
      <c r="B79" s="115" t="str">
        <f aca="false">IF(A79="","",'ตั้งค่า Setup'!$C$10+7*62)</f>
        <v/>
      </c>
      <c r="C79" s="115" t="str">
        <f aca="false">IF(A79="","",B79+6)</f>
        <v/>
      </c>
      <c r="D79" s="104" t="str">
        <f aca="false">IF(A79="","",SUMPRODUCT('แผนงาน Schedule'!$F$7:$F$66,('แผนงาน Schedule'!$I$7:$I$66&lt;=C79)+('แผนงาน Schedule'!$H$7:$H$66&lt;=C79)*('แผนงาน Schedule'!$I$7:$I$66&gt;C79)*(C79-'แผนงาน Schedule'!$H$7:$H$66+1)/('แผนงาน Schedule'!$I$7:$I$66-'แผนงาน Schedule'!$H$7:$H$66+1)))</f>
        <v/>
      </c>
      <c r="E79" s="102"/>
      <c r="F79" s="104" t="str">
        <f aca="false">IF(E79="","",E79-N(E78))</f>
        <v/>
      </c>
      <c r="G79" s="116" t="str">
        <f aca="false">IF(OR(E79="",D79=""),"",E79-D79)</f>
        <v/>
      </c>
      <c r="H79" s="24"/>
      <c r="I79" s="117"/>
      <c r="J79" s="117"/>
      <c r="K79" s="117"/>
      <c r="L79" s="117"/>
      <c r="M79" s="117"/>
      <c r="N79" s="117"/>
      <c r="O79" s="117"/>
    </row>
    <row r="80" customFormat="false" ht="15" hidden="false" customHeight="false" outlineLevel="0" collapsed="false">
      <c r="A80" s="106" t="str">
        <f aca="false">IF('ตั้งค่า Setup'!$C$10+7*63&gt;MAX('ตั้งค่า Setup'!$C$69,'ตั้งค่า Setup'!$C$15)+7,"",64)</f>
        <v/>
      </c>
      <c r="B80" s="115" t="str">
        <f aca="false">IF(A80="","",'ตั้งค่า Setup'!$C$10+7*63)</f>
        <v/>
      </c>
      <c r="C80" s="115" t="str">
        <f aca="false">IF(A80="","",B80+6)</f>
        <v/>
      </c>
      <c r="D80" s="104" t="str">
        <f aca="false">IF(A80="","",SUMPRODUCT('แผนงาน Schedule'!$F$7:$F$66,('แผนงาน Schedule'!$I$7:$I$66&lt;=C80)+('แผนงาน Schedule'!$H$7:$H$66&lt;=C80)*('แผนงาน Schedule'!$I$7:$I$66&gt;C80)*(C80-'แผนงาน Schedule'!$H$7:$H$66+1)/('แผนงาน Schedule'!$I$7:$I$66-'แผนงาน Schedule'!$H$7:$H$66+1)))</f>
        <v/>
      </c>
      <c r="E80" s="102"/>
      <c r="F80" s="104" t="str">
        <f aca="false">IF(E80="","",E80-N(E79))</f>
        <v/>
      </c>
      <c r="G80" s="116" t="str">
        <f aca="false">IF(OR(E80="",D80=""),"",E80-D80)</f>
        <v/>
      </c>
      <c r="H80" s="24"/>
      <c r="I80" s="117"/>
      <c r="J80" s="117"/>
      <c r="K80" s="117"/>
      <c r="L80" s="117"/>
      <c r="M80" s="117"/>
      <c r="N80" s="117"/>
      <c r="O80" s="117"/>
    </row>
    <row r="81" customFormat="false" ht="15" hidden="false" customHeight="false" outlineLevel="0" collapsed="false">
      <c r="A81" s="106" t="str">
        <f aca="false">IF('ตั้งค่า Setup'!$C$10+7*64&gt;MAX('ตั้งค่า Setup'!$C$69,'ตั้งค่า Setup'!$C$15)+7,"",65)</f>
        <v/>
      </c>
      <c r="B81" s="115" t="str">
        <f aca="false">IF(A81="","",'ตั้งค่า Setup'!$C$10+7*64)</f>
        <v/>
      </c>
      <c r="C81" s="115" t="str">
        <f aca="false">IF(A81="","",B81+6)</f>
        <v/>
      </c>
      <c r="D81" s="104" t="str">
        <f aca="false">IF(A81="","",SUMPRODUCT('แผนงาน Schedule'!$F$7:$F$66,('แผนงาน Schedule'!$I$7:$I$66&lt;=C81)+('แผนงาน Schedule'!$H$7:$H$66&lt;=C81)*('แผนงาน Schedule'!$I$7:$I$66&gt;C81)*(C81-'แผนงาน Schedule'!$H$7:$H$66+1)/('แผนงาน Schedule'!$I$7:$I$66-'แผนงาน Schedule'!$H$7:$H$66+1)))</f>
        <v/>
      </c>
      <c r="E81" s="102"/>
      <c r="F81" s="104" t="str">
        <f aca="false">IF(E81="","",E81-N(E80))</f>
        <v/>
      </c>
      <c r="G81" s="116" t="str">
        <f aca="false">IF(OR(E81="",D81=""),"",E81-D81)</f>
        <v/>
      </c>
      <c r="H81" s="24"/>
      <c r="I81" s="117"/>
      <c r="J81" s="117"/>
      <c r="K81" s="117"/>
      <c r="L81" s="117"/>
      <c r="M81" s="117"/>
      <c r="N81" s="117"/>
      <c r="O81" s="117"/>
    </row>
    <row r="82" customFormat="false" ht="15" hidden="false" customHeight="false" outlineLevel="0" collapsed="false">
      <c r="A82" s="106" t="str">
        <f aca="false">IF('ตั้งค่า Setup'!$C$10+7*65&gt;MAX('ตั้งค่า Setup'!$C$69,'ตั้งค่า Setup'!$C$15)+7,"",66)</f>
        <v/>
      </c>
      <c r="B82" s="115" t="str">
        <f aca="false">IF(A82="","",'ตั้งค่า Setup'!$C$10+7*65)</f>
        <v/>
      </c>
      <c r="C82" s="115" t="str">
        <f aca="false">IF(A82="","",B82+6)</f>
        <v/>
      </c>
      <c r="D82" s="104" t="str">
        <f aca="false">IF(A82="","",SUMPRODUCT('แผนงาน Schedule'!$F$7:$F$66,('แผนงาน Schedule'!$I$7:$I$66&lt;=C82)+('แผนงาน Schedule'!$H$7:$H$66&lt;=C82)*('แผนงาน Schedule'!$I$7:$I$66&gt;C82)*(C82-'แผนงาน Schedule'!$H$7:$H$66+1)/('แผนงาน Schedule'!$I$7:$I$66-'แผนงาน Schedule'!$H$7:$H$66+1)))</f>
        <v/>
      </c>
      <c r="E82" s="102"/>
      <c r="F82" s="104" t="str">
        <f aca="false">IF(E82="","",E82-N(E81))</f>
        <v/>
      </c>
      <c r="G82" s="116" t="str">
        <f aca="false">IF(OR(E82="",D82=""),"",E82-D82)</f>
        <v/>
      </c>
      <c r="H82" s="24"/>
      <c r="I82" s="117"/>
      <c r="J82" s="117"/>
      <c r="K82" s="117"/>
      <c r="L82" s="117"/>
      <c r="M82" s="117"/>
      <c r="N82" s="117"/>
      <c r="O82" s="117"/>
    </row>
    <row r="83" customFormat="false" ht="15" hidden="false" customHeight="false" outlineLevel="0" collapsed="false">
      <c r="A83" s="106" t="str">
        <f aca="false">IF('ตั้งค่า Setup'!$C$10+7*66&gt;MAX('ตั้งค่า Setup'!$C$69,'ตั้งค่า Setup'!$C$15)+7,"",67)</f>
        <v/>
      </c>
      <c r="B83" s="115" t="str">
        <f aca="false">IF(A83="","",'ตั้งค่า Setup'!$C$10+7*66)</f>
        <v/>
      </c>
      <c r="C83" s="115" t="str">
        <f aca="false">IF(A83="","",B83+6)</f>
        <v/>
      </c>
      <c r="D83" s="104" t="str">
        <f aca="false">IF(A83="","",SUMPRODUCT('แผนงาน Schedule'!$F$7:$F$66,('แผนงาน Schedule'!$I$7:$I$66&lt;=C83)+('แผนงาน Schedule'!$H$7:$H$66&lt;=C83)*('แผนงาน Schedule'!$I$7:$I$66&gt;C83)*(C83-'แผนงาน Schedule'!$H$7:$H$66+1)/('แผนงาน Schedule'!$I$7:$I$66-'แผนงาน Schedule'!$H$7:$H$66+1)))</f>
        <v/>
      </c>
      <c r="E83" s="102"/>
      <c r="F83" s="104" t="str">
        <f aca="false">IF(E83="","",E83-N(E82))</f>
        <v/>
      </c>
      <c r="G83" s="116" t="str">
        <f aca="false">IF(OR(E83="",D83=""),"",E83-D83)</f>
        <v/>
      </c>
      <c r="H83" s="24"/>
      <c r="I83" s="117"/>
      <c r="J83" s="117"/>
      <c r="K83" s="117"/>
      <c r="L83" s="117"/>
      <c r="M83" s="117"/>
      <c r="N83" s="117"/>
      <c r="O83" s="117"/>
    </row>
    <row r="84" customFormat="false" ht="15" hidden="false" customHeight="false" outlineLevel="0" collapsed="false">
      <c r="A84" s="106" t="str">
        <f aca="false">IF('ตั้งค่า Setup'!$C$10+7*67&gt;MAX('ตั้งค่า Setup'!$C$69,'ตั้งค่า Setup'!$C$15)+7,"",68)</f>
        <v/>
      </c>
      <c r="B84" s="115" t="str">
        <f aca="false">IF(A84="","",'ตั้งค่า Setup'!$C$10+7*67)</f>
        <v/>
      </c>
      <c r="C84" s="115" t="str">
        <f aca="false">IF(A84="","",B84+6)</f>
        <v/>
      </c>
      <c r="D84" s="104" t="str">
        <f aca="false">IF(A84="","",SUMPRODUCT('แผนงาน Schedule'!$F$7:$F$66,('แผนงาน Schedule'!$I$7:$I$66&lt;=C84)+('แผนงาน Schedule'!$H$7:$H$66&lt;=C84)*('แผนงาน Schedule'!$I$7:$I$66&gt;C84)*(C84-'แผนงาน Schedule'!$H$7:$H$66+1)/('แผนงาน Schedule'!$I$7:$I$66-'แผนงาน Schedule'!$H$7:$H$66+1)))</f>
        <v/>
      </c>
      <c r="E84" s="102"/>
      <c r="F84" s="104" t="str">
        <f aca="false">IF(E84="","",E84-N(E83))</f>
        <v/>
      </c>
      <c r="G84" s="116" t="str">
        <f aca="false">IF(OR(E84="",D84=""),"",E84-D84)</f>
        <v/>
      </c>
      <c r="H84" s="24"/>
      <c r="I84" s="117"/>
      <c r="J84" s="117"/>
      <c r="K84" s="117"/>
      <c r="L84" s="117"/>
      <c r="M84" s="117"/>
      <c r="N84" s="117"/>
      <c r="O84" s="117"/>
    </row>
    <row r="85" customFormat="false" ht="15" hidden="false" customHeight="false" outlineLevel="0" collapsed="false">
      <c r="A85" s="106" t="str">
        <f aca="false">IF('ตั้งค่า Setup'!$C$10+7*68&gt;MAX('ตั้งค่า Setup'!$C$69,'ตั้งค่า Setup'!$C$15)+7,"",69)</f>
        <v/>
      </c>
      <c r="B85" s="115" t="str">
        <f aca="false">IF(A85="","",'ตั้งค่า Setup'!$C$10+7*68)</f>
        <v/>
      </c>
      <c r="C85" s="115" t="str">
        <f aca="false">IF(A85="","",B85+6)</f>
        <v/>
      </c>
      <c r="D85" s="104" t="str">
        <f aca="false">IF(A85="","",SUMPRODUCT('แผนงาน Schedule'!$F$7:$F$66,('แผนงาน Schedule'!$I$7:$I$66&lt;=C85)+('แผนงาน Schedule'!$H$7:$H$66&lt;=C85)*('แผนงาน Schedule'!$I$7:$I$66&gt;C85)*(C85-'แผนงาน Schedule'!$H$7:$H$66+1)/('แผนงาน Schedule'!$I$7:$I$66-'แผนงาน Schedule'!$H$7:$H$66+1)))</f>
        <v/>
      </c>
      <c r="E85" s="102"/>
      <c r="F85" s="104" t="str">
        <f aca="false">IF(E85="","",E85-N(E84))</f>
        <v/>
      </c>
      <c r="G85" s="116" t="str">
        <f aca="false">IF(OR(E85="",D85=""),"",E85-D85)</f>
        <v/>
      </c>
      <c r="H85" s="24"/>
      <c r="I85" s="117"/>
      <c r="J85" s="117"/>
      <c r="K85" s="117"/>
      <c r="L85" s="117"/>
      <c r="M85" s="117"/>
      <c r="N85" s="117"/>
      <c r="O85" s="117"/>
    </row>
    <row r="86" customFormat="false" ht="15" hidden="false" customHeight="false" outlineLevel="0" collapsed="false">
      <c r="A86" s="106" t="str">
        <f aca="false">IF('ตั้งค่า Setup'!$C$10+7*69&gt;MAX('ตั้งค่า Setup'!$C$69,'ตั้งค่า Setup'!$C$15)+7,"",70)</f>
        <v/>
      </c>
      <c r="B86" s="115" t="str">
        <f aca="false">IF(A86="","",'ตั้งค่า Setup'!$C$10+7*69)</f>
        <v/>
      </c>
      <c r="C86" s="115" t="str">
        <f aca="false">IF(A86="","",B86+6)</f>
        <v/>
      </c>
      <c r="D86" s="104" t="str">
        <f aca="false">IF(A86="","",SUMPRODUCT('แผนงาน Schedule'!$F$7:$F$66,('แผนงาน Schedule'!$I$7:$I$66&lt;=C86)+('แผนงาน Schedule'!$H$7:$H$66&lt;=C86)*('แผนงาน Schedule'!$I$7:$I$66&gt;C86)*(C86-'แผนงาน Schedule'!$H$7:$H$66+1)/('แผนงาน Schedule'!$I$7:$I$66-'แผนงาน Schedule'!$H$7:$H$66+1)))</f>
        <v/>
      </c>
      <c r="E86" s="102"/>
      <c r="F86" s="104" t="str">
        <f aca="false">IF(E86="","",E86-N(E85))</f>
        <v/>
      </c>
      <c r="G86" s="116" t="str">
        <f aca="false">IF(OR(E86="",D86=""),"",E86-D86)</f>
        <v/>
      </c>
      <c r="H86" s="24"/>
      <c r="I86" s="117"/>
      <c r="J86" s="117"/>
      <c r="K86" s="117"/>
      <c r="L86" s="117"/>
      <c r="M86" s="117"/>
      <c r="N86" s="117"/>
      <c r="O86" s="117"/>
    </row>
    <row r="87" customFormat="false" ht="15" hidden="false" customHeight="false" outlineLevel="0" collapsed="false">
      <c r="A87" s="106" t="str">
        <f aca="false">IF('ตั้งค่า Setup'!$C$10+7*70&gt;MAX('ตั้งค่า Setup'!$C$69,'ตั้งค่า Setup'!$C$15)+7,"",71)</f>
        <v/>
      </c>
      <c r="B87" s="115" t="str">
        <f aca="false">IF(A87="","",'ตั้งค่า Setup'!$C$10+7*70)</f>
        <v/>
      </c>
      <c r="C87" s="115" t="str">
        <f aca="false">IF(A87="","",B87+6)</f>
        <v/>
      </c>
      <c r="D87" s="104" t="str">
        <f aca="false">IF(A87="","",SUMPRODUCT('แผนงาน Schedule'!$F$7:$F$66,('แผนงาน Schedule'!$I$7:$I$66&lt;=C87)+('แผนงาน Schedule'!$H$7:$H$66&lt;=C87)*('แผนงาน Schedule'!$I$7:$I$66&gt;C87)*(C87-'แผนงาน Schedule'!$H$7:$H$66+1)/('แผนงาน Schedule'!$I$7:$I$66-'แผนงาน Schedule'!$H$7:$H$66+1)))</f>
        <v/>
      </c>
      <c r="E87" s="102"/>
      <c r="F87" s="104" t="str">
        <f aca="false">IF(E87="","",E87-N(E86))</f>
        <v/>
      </c>
      <c r="G87" s="116" t="str">
        <f aca="false">IF(OR(E87="",D87=""),"",E87-D87)</f>
        <v/>
      </c>
      <c r="H87" s="24"/>
      <c r="I87" s="117"/>
      <c r="J87" s="117"/>
      <c r="K87" s="117"/>
      <c r="L87" s="117"/>
      <c r="M87" s="117"/>
      <c r="N87" s="117"/>
      <c r="O87" s="117"/>
    </row>
    <row r="88" customFormat="false" ht="15" hidden="false" customHeight="false" outlineLevel="0" collapsed="false">
      <c r="A88" s="106" t="str">
        <f aca="false">IF('ตั้งค่า Setup'!$C$10+7*71&gt;MAX('ตั้งค่า Setup'!$C$69,'ตั้งค่า Setup'!$C$15)+7,"",72)</f>
        <v/>
      </c>
      <c r="B88" s="115" t="str">
        <f aca="false">IF(A88="","",'ตั้งค่า Setup'!$C$10+7*71)</f>
        <v/>
      </c>
      <c r="C88" s="115" t="str">
        <f aca="false">IF(A88="","",B88+6)</f>
        <v/>
      </c>
      <c r="D88" s="104" t="str">
        <f aca="false">IF(A88="","",SUMPRODUCT('แผนงาน Schedule'!$F$7:$F$66,('แผนงาน Schedule'!$I$7:$I$66&lt;=C88)+('แผนงาน Schedule'!$H$7:$H$66&lt;=C88)*('แผนงาน Schedule'!$I$7:$I$66&gt;C88)*(C88-'แผนงาน Schedule'!$H$7:$H$66+1)/('แผนงาน Schedule'!$I$7:$I$66-'แผนงาน Schedule'!$H$7:$H$66+1)))</f>
        <v/>
      </c>
      <c r="E88" s="102"/>
      <c r="F88" s="104" t="str">
        <f aca="false">IF(E88="","",E88-N(E87))</f>
        <v/>
      </c>
      <c r="G88" s="116" t="str">
        <f aca="false">IF(OR(E88="",D88=""),"",E88-D88)</f>
        <v/>
      </c>
      <c r="H88" s="24"/>
      <c r="I88" s="117"/>
      <c r="J88" s="117"/>
      <c r="K88" s="117"/>
      <c r="L88" s="117"/>
      <c r="M88" s="117"/>
      <c r="N88" s="117"/>
      <c r="O88" s="117"/>
    </row>
    <row r="89" customFormat="false" ht="15" hidden="false" customHeight="false" outlineLevel="0" collapsed="false">
      <c r="A89" s="106" t="str">
        <f aca="false">IF('ตั้งค่า Setup'!$C$10+7*72&gt;MAX('ตั้งค่า Setup'!$C$69,'ตั้งค่า Setup'!$C$15)+7,"",73)</f>
        <v/>
      </c>
      <c r="B89" s="115" t="str">
        <f aca="false">IF(A89="","",'ตั้งค่า Setup'!$C$10+7*72)</f>
        <v/>
      </c>
      <c r="C89" s="115" t="str">
        <f aca="false">IF(A89="","",B89+6)</f>
        <v/>
      </c>
      <c r="D89" s="104" t="str">
        <f aca="false">IF(A89="","",SUMPRODUCT('แผนงาน Schedule'!$F$7:$F$66,('แผนงาน Schedule'!$I$7:$I$66&lt;=C89)+('แผนงาน Schedule'!$H$7:$H$66&lt;=C89)*('แผนงาน Schedule'!$I$7:$I$66&gt;C89)*(C89-'แผนงาน Schedule'!$H$7:$H$66+1)/('แผนงาน Schedule'!$I$7:$I$66-'แผนงาน Schedule'!$H$7:$H$66+1)))</f>
        <v/>
      </c>
      <c r="E89" s="102"/>
      <c r="F89" s="104" t="str">
        <f aca="false">IF(E89="","",E89-N(E88))</f>
        <v/>
      </c>
      <c r="G89" s="116" t="str">
        <f aca="false">IF(OR(E89="",D89=""),"",E89-D89)</f>
        <v/>
      </c>
      <c r="H89" s="24"/>
      <c r="I89" s="117"/>
      <c r="J89" s="117"/>
      <c r="K89" s="117"/>
      <c r="L89" s="117"/>
      <c r="M89" s="117"/>
      <c r="N89" s="117"/>
      <c r="O89" s="117"/>
    </row>
    <row r="90" customFormat="false" ht="15" hidden="false" customHeight="false" outlineLevel="0" collapsed="false">
      <c r="A90" s="106" t="str">
        <f aca="false">IF('ตั้งค่า Setup'!$C$10+7*73&gt;MAX('ตั้งค่า Setup'!$C$69,'ตั้งค่า Setup'!$C$15)+7,"",74)</f>
        <v/>
      </c>
      <c r="B90" s="115" t="str">
        <f aca="false">IF(A90="","",'ตั้งค่า Setup'!$C$10+7*73)</f>
        <v/>
      </c>
      <c r="C90" s="115" t="str">
        <f aca="false">IF(A90="","",B90+6)</f>
        <v/>
      </c>
      <c r="D90" s="104" t="str">
        <f aca="false">IF(A90="","",SUMPRODUCT('แผนงาน Schedule'!$F$7:$F$66,('แผนงาน Schedule'!$I$7:$I$66&lt;=C90)+('แผนงาน Schedule'!$H$7:$H$66&lt;=C90)*('แผนงาน Schedule'!$I$7:$I$66&gt;C90)*(C90-'แผนงาน Schedule'!$H$7:$H$66+1)/('แผนงาน Schedule'!$I$7:$I$66-'แผนงาน Schedule'!$H$7:$H$66+1)))</f>
        <v/>
      </c>
      <c r="E90" s="102"/>
      <c r="F90" s="104" t="str">
        <f aca="false">IF(E90="","",E90-N(E89))</f>
        <v/>
      </c>
      <c r="G90" s="116" t="str">
        <f aca="false">IF(OR(E90="",D90=""),"",E90-D90)</f>
        <v/>
      </c>
      <c r="H90" s="24"/>
      <c r="I90" s="117"/>
      <c r="J90" s="117"/>
      <c r="K90" s="117"/>
      <c r="L90" s="117"/>
      <c r="M90" s="117"/>
      <c r="N90" s="117"/>
      <c r="O90" s="117"/>
    </row>
    <row r="91" customFormat="false" ht="15" hidden="false" customHeight="false" outlineLevel="0" collapsed="false">
      <c r="A91" s="106" t="str">
        <f aca="false">IF('ตั้งค่า Setup'!$C$10+7*74&gt;MAX('ตั้งค่า Setup'!$C$69,'ตั้งค่า Setup'!$C$15)+7,"",75)</f>
        <v/>
      </c>
      <c r="B91" s="115" t="str">
        <f aca="false">IF(A91="","",'ตั้งค่า Setup'!$C$10+7*74)</f>
        <v/>
      </c>
      <c r="C91" s="115" t="str">
        <f aca="false">IF(A91="","",B91+6)</f>
        <v/>
      </c>
      <c r="D91" s="104" t="str">
        <f aca="false">IF(A91="","",SUMPRODUCT('แผนงาน Schedule'!$F$7:$F$66,('แผนงาน Schedule'!$I$7:$I$66&lt;=C91)+('แผนงาน Schedule'!$H$7:$H$66&lt;=C91)*('แผนงาน Schedule'!$I$7:$I$66&gt;C91)*(C91-'แผนงาน Schedule'!$H$7:$H$66+1)/('แผนงาน Schedule'!$I$7:$I$66-'แผนงาน Schedule'!$H$7:$H$66+1)))</f>
        <v/>
      </c>
      <c r="E91" s="102"/>
      <c r="F91" s="104" t="str">
        <f aca="false">IF(E91="","",E91-N(E90))</f>
        <v/>
      </c>
      <c r="G91" s="116" t="str">
        <f aca="false">IF(OR(E91="",D91=""),"",E91-D91)</f>
        <v/>
      </c>
      <c r="H91" s="24"/>
      <c r="I91" s="117"/>
      <c r="J91" s="117"/>
      <c r="K91" s="117"/>
      <c r="L91" s="117"/>
      <c r="M91" s="117"/>
      <c r="N91" s="117"/>
      <c r="O91" s="117"/>
    </row>
    <row r="92" customFormat="false" ht="15" hidden="false" customHeight="false" outlineLevel="0" collapsed="false">
      <c r="A92" s="106" t="str">
        <f aca="false">IF('ตั้งค่า Setup'!$C$10+7*75&gt;MAX('ตั้งค่า Setup'!$C$69,'ตั้งค่า Setup'!$C$15)+7,"",76)</f>
        <v/>
      </c>
      <c r="B92" s="115" t="str">
        <f aca="false">IF(A92="","",'ตั้งค่า Setup'!$C$10+7*75)</f>
        <v/>
      </c>
      <c r="C92" s="115" t="str">
        <f aca="false">IF(A92="","",B92+6)</f>
        <v/>
      </c>
      <c r="D92" s="104" t="str">
        <f aca="false">IF(A92="","",SUMPRODUCT('แผนงาน Schedule'!$F$7:$F$66,('แผนงาน Schedule'!$I$7:$I$66&lt;=C92)+('แผนงาน Schedule'!$H$7:$H$66&lt;=C92)*('แผนงาน Schedule'!$I$7:$I$66&gt;C92)*(C92-'แผนงาน Schedule'!$H$7:$H$66+1)/('แผนงาน Schedule'!$I$7:$I$66-'แผนงาน Schedule'!$H$7:$H$66+1)))</f>
        <v/>
      </c>
      <c r="E92" s="102"/>
      <c r="F92" s="104" t="str">
        <f aca="false">IF(E92="","",E92-N(E91))</f>
        <v/>
      </c>
      <c r="G92" s="116" t="str">
        <f aca="false">IF(OR(E92="",D92=""),"",E92-D92)</f>
        <v/>
      </c>
      <c r="H92" s="24"/>
      <c r="I92" s="117"/>
      <c r="J92" s="117"/>
      <c r="K92" s="117"/>
      <c r="L92" s="117"/>
      <c r="M92" s="117"/>
      <c r="N92" s="117"/>
      <c r="O92" s="117"/>
    </row>
    <row r="93" customFormat="false" ht="15" hidden="false" customHeight="false" outlineLevel="0" collapsed="false">
      <c r="A93" s="106" t="str">
        <f aca="false">IF('ตั้งค่า Setup'!$C$10+7*76&gt;MAX('ตั้งค่า Setup'!$C$69,'ตั้งค่า Setup'!$C$15)+7,"",77)</f>
        <v/>
      </c>
      <c r="B93" s="115" t="str">
        <f aca="false">IF(A93="","",'ตั้งค่า Setup'!$C$10+7*76)</f>
        <v/>
      </c>
      <c r="C93" s="115" t="str">
        <f aca="false">IF(A93="","",B93+6)</f>
        <v/>
      </c>
      <c r="D93" s="104" t="str">
        <f aca="false">IF(A93="","",SUMPRODUCT('แผนงาน Schedule'!$F$7:$F$66,('แผนงาน Schedule'!$I$7:$I$66&lt;=C93)+('แผนงาน Schedule'!$H$7:$H$66&lt;=C93)*('แผนงาน Schedule'!$I$7:$I$66&gt;C93)*(C93-'แผนงาน Schedule'!$H$7:$H$66+1)/('แผนงาน Schedule'!$I$7:$I$66-'แผนงาน Schedule'!$H$7:$H$66+1)))</f>
        <v/>
      </c>
      <c r="E93" s="102"/>
      <c r="F93" s="104" t="str">
        <f aca="false">IF(E93="","",E93-N(E92))</f>
        <v/>
      </c>
      <c r="G93" s="116" t="str">
        <f aca="false">IF(OR(E93="",D93=""),"",E93-D93)</f>
        <v/>
      </c>
      <c r="H93" s="24"/>
      <c r="I93" s="117"/>
      <c r="J93" s="117"/>
      <c r="K93" s="117"/>
      <c r="L93" s="117"/>
      <c r="M93" s="117"/>
      <c r="N93" s="117"/>
      <c r="O93" s="117"/>
    </row>
    <row r="94" customFormat="false" ht="15" hidden="false" customHeight="false" outlineLevel="0" collapsed="false">
      <c r="A94" s="106" t="str">
        <f aca="false">IF('ตั้งค่า Setup'!$C$10+7*77&gt;MAX('ตั้งค่า Setup'!$C$69,'ตั้งค่า Setup'!$C$15)+7,"",78)</f>
        <v/>
      </c>
      <c r="B94" s="115" t="str">
        <f aca="false">IF(A94="","",'ตั้งค่า Setup'!$C$10+7*77)</f>
        <v/>
      </c>
      <c r="C94" s="115" t="str">
        <f aca="false">IF(A94="","",B94+6)</f>
        <v/>
      </c>
      <c r="D94" s="104" t="str">
        <f aca="false">IF(A94="","",SUMPRODUCT('แผนงาน Schedule'!$F$7:$F$66,('แผนงาน Schedule'!$I$7:$I$66&lt;=C94)+('แผนงาน Schedule'!$H$7:$H$66&lt;=C94)*('แผนงาน Schedule'!$I$7:$I$66&gt;C94)*(C94-'แผนงาน Schedule'!$H$7:$H$66+1)/('แผนงาน Schedule'!$I$7:$I$66-'แผนงาน Schedule'!$H$7:$H$66+1)))</f>
        <v/>
      </c>
      <c r="E94" s="102"/>
      <c r="F94" s="104" t="str">
        <f aca="false">IF(E94="","",E94-N(E93))</f>
        <v/>
      </c>
      <c r="G94" s="116" t="str">
        <f aca="false">IF(OR(E94="",D94=""),"",E94-D94)</f>
        <v/>
      </c>
      <c r="H94" s="24"/>
      <c r="I94" s="117"/>
      <c r="J94" s="117"/>
      <c r="K94" s="117"/>
      <c r="L94" s="117"/>
      <c r="M94" s="117"/>
      <c r="N94" s="117"/>
      <c r="O94" s="117"/>
    </row>
    <row r="95" customFormat="false" ht="15" hidden="false" customHeight="false" outlineLevel="0" collapsed="false">
      <c r="A95" s="106" t="str">
        <f aca="false">IF('ตั้งค่า Setup'!$C$10+7*78&gt;MAX('ตั้งค่า Setup'!$C$69,'ตั้งค่า Setup'!$C$15)+7,"",79)</f>
        <v/>
      </c>
      <c r="B95" s="115" t="str">
        <f aca="false">IF(A95="","",'ตั้งค่า Setup'!$C$10+7*78)</f>
        <v/>
      </c>
      <c r="C95" s="115" t="str">
        <f aca="false">IF(A95="","",B95+6)</f>
        <v/>
      </c>
      <c r="D95" s="104" t="str">
        <f aca="false">IF(A95="","",SUMPRODUCT('แผนงาน Schedule'!$F$7:$F$66,('แผนงาน Schedule'!$I$7:$I$66&lt;=C95)+('แผนงาน Schedule'!$H$7:$H$66&lt;=C95)*('แผนงาน Schedule'!$I$7:$I$66&gt;C95)*(C95-'แผนงาน Schedule'!$H$7:$H$66+1)/('แผนงาน Schedule'!$I$7:$I$66-'แผนงาน Schedule'!$H$7:$H$66+1)))</f>
        <v/>
      </c>
      <c r="E95" s="102"/>
      <c r="F95" s="104" t="str">
        <f aca="false">IF(E95="","",E95-N(E94))</f>
        <v/>
      </c>
      <c r="G95" s="116" t="str">
        <f aca="false">IF(OR(E95="",D95=""),"",E95-D95)</f>
        <v/>
      </c>
      <c r="H95" s="24"/>
      <c r="I95" s="117"/>
      <c r="J95" s="117"/>
      <c r="K95" s="117"/>
      <c r="L95" s="117"/>
      <c r="M95" s="117"/>
      <c r="N95" s="117"/>
      <c r="O95" s="117"/>
    </row>
    <row r="96" customFormat="false" ht="15" hidden="false" customHeight="false" outlineLevel="0" collapsed="false">
      <c r="A96" s="106" t="str">
        <f aca="false">IF('ตั้งค่า Setup'!$C$10+7*79&gt;MAX('ตั้งค่า Setup'!$C$69,'ตั้งค่า Setup'!$C$15)+7,"",80)</f>
        <v/>
      </c>
      <c r="B96" s="115" t="str">
        <f aca="false">IF(A96="","",'ตั้งค่า Setup'!$C$10+7*79)</f>
        <v/>
      </c>
      <c r="C96" s="115" t="str">
        <f aca="false">IF(A96="","",B96+6)</f>
        <v/>
      </c>
      <c r="D96" s="104" t="str">
        <f aca="false">IF(A96="","",SUMPRODUCT('แผนงาน Schedule'!$F$7:$F$66,('แผนงาน Schedule'!$I$7:$I$66&lt;=C96)+('แผนงาน Schedule'!$H$7:$H$66&lt;=C96)*('แผนงาน Schedule'!$I$7:$I$66&gt;C96)*(C96-'แผนงาน Schedule'!$H$7:$H$66+1)/('แผนงาน Schedule'!$I$7:$I$66-'แผนงาน Schedule'!$H$7:$H$66+1)))</f>
        <v/>
      </c>
      <c r="E96" s="102"/>
      <c r="F96" s="104" t="str">
        <f aca="false">IF(E96="","",E96-N(E95))</f>
        <v/>
      </c>
      <c r="G96" s="116" t="str">
        <f aca="false">IF(OR(E96="",D96=""),"",E96-D96)</f>
        <v/>
      </c>
      <c r="H96" s="24"/>
      <c r="I96" s="117"/>
      <c r="J96" s="117"/>
      <c r="K96" s="117"/>
      <c r="L96" s="117"/>
      <c r="M96" s="117"/>
      <c r="N96" s="117"/>
      <c r="O96" s="117"/>
    </row>
    <row r="97" customFormat="false" ht="15" hidden="false" customHeight="false" outlineLevel="0" collapsed="false">
      <c r="A97" s="106" t="str">
        <f aca="false">IF('ตั้งค่า Setup'!$C$10+7*80&gt;MAX('ตั้งค่า Setup'!$C$69,'ตั้งค่า Setup'!$C$15)+7,"",81)</f>
        <v/>
      </c>
      <c r="B97" s="115" t="str">
        <f aca="false">IF(A97="","",'ตั้งค่า Setup'!$C$10+7*80)</f>
        <v/>
      </c>
      <c r="C97" s="115" t="str">
        <f aca="false">IF(A97="","",B97+6)</f>
        <v/>
      </c>
      <c r="D97" s="104" t="str">
        <f aca="false">IF(A97="","",SUMPRODUCT('แผนงาน Schedule'!$F$7:$F$66,('แผนงาน Schedule'!$I$7:$I$66&lt;=C97)+('แผนงาน Schedule'!$H$7:$H$66&lt;=C97)*('แผนงาน Schedule'!$I$7:$I$66&gt;C97)*(C97-'แผนงาน Schedule'!$H$7:$H$66+1)/('แผนงาน Schedule'!$I$7:$I$66-'แผนงาน Schedule'!$H$7:$H$66+1)))</f>
        <v/>
      </c>
      <c r="E97" s="102"/>
      <c r="F97" s="104" t="str">
        <f aca="false">IF(E97="","",E97-N(E96))</f>
        <v/>
      </c>
      <c r="G97" s="116" t="str">
        <f aca="false">IF(OR(E97="",D97=""),"",E97-D97)</f>
        <v/>
      </c>
      <c r="H97" s="24"/>
      <c r="I97" s="117"/>
      <c r="J97" s="117"/>
      <c r="K97" s="117"/>
      <c r="L97" s="117"/>
      <c r="M97" s="117"/>
      <c r="N97" s="117"/>
      <c r="O97" s="117"/>
    </row>
    <row r="98" customFormat="false" ht="15" hidden="false" customHeight="false" outlineLevel="0" collapsed="false">
      <c r="A98" s="106" t="str">
        <f aca="false">IF('ตั้งค่า Setup'!$C$10+7*81&gt;MAX('ตั้งค่า Setup'!$C$69,'ตั้งค่า Setup'!$C$15)+7,"",82)</f>
        <v/>
      </c>
      <c r="B98" s="115" t="str">
        <f aca="false">IF(A98="","",'ตั้งค่า Setup'!$C$10+7*81)</f>
        <v/>
      </c>
      <c r="C98" s="115" t="str">
        <f aca="false">IF(A98="","",B98+6)</f>
        <v/>
      </c>
      <c r="D98" s="104" t="str">
        <f aca="false">IF(A98="","",SUMPRODUCT('แผนงาน Schedule'!$F$7:$F$66,('แผนงาน Schedule'!$I$7:$I$66&lt;=C98)+('แผนงาน Schedule'!$H$7:$H$66&lt;=C98)*('แผนงาน Schedule'!$I$7:$I$66&gt;C98)*(C98-'แผนงาน Schedule'!$H$7:$H$66+1)/('แผนงาน Schedule'!$I$7:$I$66-'แผนงาน Schedule'!$H$7:$H$66+1)))</f>
        <v/>
      </c>
      <c r="E98" s="102"/>
      <c r="F98" s="104" t="str">
        <f aca="false">IF(E98="","",E98-N(E97))</f>
        <v/>
      </c>
      <c r="G98" s="116" t="str">
        <f aca="false">IF(OR(E98="",D98=""),"",E98-D98)</f>
        <v/>
      </c>
      <c r="H98" s="24"/>
      <c r="I98" s="117"/>
      <c r="J98" s="117"/>
      <c r="K98" s="117"/>
      <c r="L98" s="117"/>
      <c r="M98" s="117"/>
      <c r="N98" s="117"/>
      <c r="O98" s="117"/>
    </row>
    <row r="99" customFormat="false" ht="15" hidden="false" customHeight="false" outlineLevel="0" collapsed="false">
      <c r="A99" s="106" t="str">
        <f aca="false">IF('ตั้งค่า Setup'!$C$10+7*82&gt;MAX('ตั้งค่า Setup'!$C$69,'ตั้งค่า Setup'!$C$15)+7,"",83)</f>
        <v/>
      </c>
      <c r="B99" s="115" t="str">
        <f aca="false">IF(A99="","",'ตั้งค่า Setup'!$C$10+7*82)</f>
        <v/>
      </c>
      <c r="C99" s="115" t="str">
        <f aca="false">IF(A99="","",B99+6)</f>
        <v/>
      </c>
      <c r="D99" s="104" t="str">
        <f aca="false">IF(A99="","",SUMPRODUCT('แผนงาน Schedule'!$F$7:$F$66,('แผนงาน Schedule'!$I$7:$I$66&lt;=C99)+('แผนงาน Schedule'!$H$7:$H$66&lt;=C99)*('แผนงาน Schedule'!$I$7:$I$66&gt;C99)*(C99-'แผนงาน Schedule'!$H$7:$H$66+1)/('แผนงาน Schedule'!$I$7:$I$66-'แผนงาน Schedule'!$H$7:$H$66+1)))</f>
        <v/>
      </c>
      <c r="E99" s="102"/>
      <c r="F99" s="104" t="str">
        <f aca="false">IF(E99="","",E99-N(E98))</f>
        <v/>
      </c>
      <c r="G99" s="116" t="str">
        <f aca="false">IF(OR(E99="",D99=""),"",E99-D99)</f>
        <v/>
      </c>
      <c r="H99" s="24"/>
      <c r="I99" s="117"/>
      <c r="J99" s="117"/>
      <c r="K99" s="117"/>
      <c r="L99" s="117"/>
      <c r="M99" s="117"/>
      <c r="N99" s="117"/>
      <c r="O99" s="117"/>
    </row>
    <row r="100" customFormat="false" ht="15" hidden="false" customHeight="false" outlineLevel="0" collapsed="false">
      <c r="A100" s="106" t="str">
        <f aca="false">IF('ตั้งค่า Setup'!$C$10+7*83&gt;MAX('ตั้งค่า Setup'!$C$69,'ตั้งค่า Setup'!$C$15)+7,"",84)</f>
        <v/>
      </c>
      <c r="B100" s="115" t="str">
        <f aca="false">IF(A100="","",'ตั้งค่า Setup'!$C$10+7*83)</f>
        <v/>
      </c>
      <c r="C100" s="115" t="str">
        <f aca="false">IF(A100="","",B100+6)</f>
        <v/>
      </c>
      <c r="D100" s="104" t="str">
        <f aca="false">IF(A100="","",SUMPRODUCT('แผนงาน Schedule'!$F$7:$F$66,('แผนงาน Schedule'!$I$7:$I$66&lt;=C100)+('แผนงาน Schedule'!$H$7:$H$66&lt;=C100)*('แผนงาน Schedule'!$I$7:$I$66&gt;C100)*(C100-'แผนงาน Schedule'!$H$7:$H$66+1)/('แผนงาน Schedule'!$I$7:$I$66-'แผนงาน Schedule'!$H$7:$H$66+1)))</f>
        <v/>
      </c>
      <c r="E100" s="102"/>
      <c r="F100" s="104" t="str">
        <f aca="false">IF(E100="","",E100-N(E99))</f>
        <v/>
      </c>
      <c r="G100" s="116" t="str">
        <f aca="false">IF(OR(E100="",D100=""),"",E100-D100)</f>
        <v/>
      </c>
      <c r="H100" s="24"/>
      <c r="I100" s="117"/>
      <c r="J100" s="117"/>
      <c r="K100" s="117"/>
      <c r="L100" s="117"/>
      <c r="M100" s="117"/>
      <c r="N100" s="117"/>
      <c r="O100" s="117"/>
    </row>
    <row r="101" customFormat="false" ht="15" hidden="false" customHeight="false" outlineLevel="0" collapsed="false">
      <c r="A101" s="106" t="str">
        <f aca="false">IF('ตั้งค่า Setup'!$C$10+7*84&gt;MAX('ตั้งค่า Setup'!$C$69,'ตั้งค่า Setup'!$C$15)+7,"",85)</f>
        <v/>
      </c>
      <c r="B101" s="115" t="str">
        <f aca="false">IF(A101="","",'ตั้งค่า Setup'!$C$10+7*84)</f>
        <v/>
      </c>
      <c r="C101" s="115" t="str">
        <f aca="false">IF(A101="","",B101+6)</f>
        <v/>
      </c>
      <c r="D101" s="104" t="str">
        <f aca="false">IF(A101="","",SUMPRODUCT('แผนงาน Schedule'!$F$7:$F$66,('แผนงาน Schedule'!$I$7:$I$66&lt;=C101)+('แผนงาน Schedule'!$H$7:$H$66&lt;=C101)*('แผนงาน Schedule'!$I$7:$I$66&gt;C101)*(C101-'แผนงาน Schedule'!$H$7:$H$66+1)/('แผนงาน Schedule'!$I$7:$I$66-'แผนงาน Schedule'!$H$7:$H$66+1)))</f>
        <v/>
      </c>
      <c r="E101" s="102"/>
      <c r="F101" s="104" t="str">
        <f aca="false">IF(E101="","",E101-N(E100))</f>
        <v/>
      </c>
      <c r="G101" s="116" t="str">
        <f aca="false">IF(OR(E101="",D101=""),"",E101-D101)</f>
        <v/>
      </c>
      <c r="H101" s="24"/>
      <c r="I101" s="117"/>
      <c r="J101" s="117"/>
      <c r="K101" s="117"/>
      <c r="L101" s="117"/>
      <c r="M101" s="117"/>
      <c r="N101" s="117"/>
      <c r="O101" s="117"/>
    </row>
    <row r="102" customFormat="false" ht="15" hidden="false" customHeight="false" outlineLevel="0" collapsed="false">
      <c r="A102" s="106" t="str">
        <f aca="false">IF('ตั้งค่า Setup'!$C$10+7*85&gt;MAX('ตั้งค่า Setup'!$C$69,'ตั้งค่า Setup'!$C$15)+7,"",86)</f>
        <v/>
      </c>
      <c r="B102" s="115" t="str">
        <f aca="false">IF(A102="","",'ตั้งค่า Setup'!$C$10+7*85)</f>
        <v/>
      </c>
      <c r="C102" s="115" t="str">
        <f aca="false">IF(A102="","",B102+6)</f>
        <v/>
      </c>
      <c r="D102" s="104" t="str">
        <f aca="false">IF(A102="","",SUMPRODUCT('แผนงาน Schedule'!$F$7:$F$66,('แผนงาน Schedule'!$I$7:$I$66&lt;=C102)+('แผนงาน Schedule'!$H$7:$H$66&lt;=C102)*('แผนงาน Schedule'!$I$7:$I$66&gt;C102)*(C102-'แผนงาน Schedule'!$H$7:$H$66+1)/('แผนงาน Schedule'!$I$7:$I$66-'แผนงาน Schedule'!$H$7:$H$66+1)))</f>
        <v/>
      </c>
      <c r="E102" s="102"/>
      <c r="F102" s="104" t="str">
        <f aca="false">IF(E102="","",E102-N(E101))</f>
        <v/>
      </c>
      <c r="G102" s="116" t="str">
        <f aca="false">IF(OR(E102="",D102=""),"",E102-D102)</f>
        <v/>
      </c>
      <c r="H102" s="24"/>
      <c r="I102" s="117"/>
      <c r="J102" s="117"/>
      <c r="K102" s="117"/>
      <c r="L102" s="117"/>
      <c r="M102" s="117"/>
      <c r="N102" s="117"/>
      <c r="O102" s="117"/>
    </row>
    <row r="103" customFormat="false" ht="15" hidden="false" customHeight="false" outlineLevel="0" collapsed="false">
      <c r="A103" s="106" t="str">
        <f aca="false">IF('ตั้งค่า Setup'!$C$10+7*86&gt;MAX('ตั้งค่า Setup'!$C$69,'ตั้งค่า Setup'!$C$15)+7,"",87)</f>
        <v/>
      </c>
      <c r="B103" s="115" t="str">
        <f aca="false">IF(A103="","",'ตั้งค่า Setup'!$C$10+7*86)</f>
        <v/>
      </c>
      <c r="C103" s="115" t="str">
        <f aca="false">IF(A103="","",B103+6)</f>
        <v/>
      </c>
      <c r="D103" s="104" t="str">
        <f aca="false">IF(A103="","",SUMPRODUCT('แผนงาน Schedule'!$F$7:$F$66,('แผนงาน Schedule'!$I$7:$I$66&lt;=C103)+('แผนงาน Schedule'!$H$7:$H$66&lt;=C103)*('แผนงาน Schedule'!$I$7:$I$66&gt;C103)*(C103-'แผนงาน Schedule'!$H$7:$H$66+1)/('แผนงาน Schedule'!$I$7:$I$66-'แผนงาน Schedule'!$H$7:$H$66+1)))</f>
        <v/>
      </c>
      <c r="E103" s="102"/>
      <c r="F103" s="104" t="str">
        <f aca="false">IF(E103="","",E103-N(E102))</f>
        <v/>
      </c>
      <c r="G103" s="116" t="str">
        <f aca="false">IF(OR(E103="",D103=""),"",E103-D103)</f>
        <v/>
      </c>
      <c r="H103" s="24"/>
      <c r="I103" s="117"/>
      <c r="J103" s="117"/>
      <c r="K103" s="117"/>
      <c r="L103" s="117"/>
      <c r="M103" s="117"/>
      <c r="N103" s="117"/>
      <c r="O103" s="117"/>
    </row>
    <row r="104" customFormat="false" ht="15" hidden="false" customHeight="false" outlineLevel="0" collapsed="false">
      <c r="A104" s="106" t="str">
        <f aca="false">IF('ตั้งค่า Setup'!$C$10+7*87&gt;MAX('ตั้งค่า Setup'!$C$69,'ตั้งค่า Setup'!$C$15)+7,"",88)</f>
        <v/>
      </c>
      <c r="B104" s="115" t="str">
        <f aca="false">IF(A104="","",'ตั้งค่า Setup'!$C$10+7*87)</f>
        <v/>
      </c>
      <c r="C104" s="115" t="str">
        <f aca="false">IF(A104="","",B104+6)</f>
        <v/>
      </c>
      <c r="D104" s="104" t="str">
        <f aca="false">IF(A104="","",SUMPRODUCT('แผนงาน Schedule'!$F$7:$F$66,('แผนงาน Schedule'!$I$7:$I$66&lt;=C104)+('แผนงาน Schedule'!$H$7:$H$66&lt;=C104)*('แผนงาน Schedule'!$I$7:$I$66&gt;C104)*(C104-'แผนงาน Schedule'!$H$7:$H$66+1)/('แผนงาน Schedule'!$I$7:$I$66-'แผนงาน Schedule'!$H$7:$H$66+1)))</f>
        <v/>
      </c>
      <c r="E104" s="102"/>
      <c r="F104" s="104" t="str">
        <f aca="false">IF(E104="","",E104-N(E103))</f>
        <v/>
      </c>
      <c r="G104" s="116" t="str">
        <f aca="false">IF(OR(E104="",D104=""),"",E104-D104)</f>
        <v/>
      </c>
      <c r="H104" s="24"/>
      <c r="I104" s="117"/>
      <c r="J104" s="117"/>
      <c r="K104" s="117"/>
      <c r="L104" s="117"/>
      <c r="M104" s="117"/>
      <c r="N104" s="117"/>
      <c r="O104" s="117"/>
    </row>
    <row r="105" customFormat="false" ht="15" hidden="false" customHeight="false" outlineLevel="0" collapsed="false">
      <c r="A105" s="106" t="str">
        <f aca="false">IF('ตั้งค่า Setup'!$C$10+7*88&gt;MAX('ตั้งค่า Setup'!$C$69,'ตั้งค่า Setup'!$C$15)+7,"",89)</f>
        <v/>
      </c>
      <c r="B105" s="115" t="str">
        <f aca="false">IF(A105="","",'ตั้งค่า Setup'!$C$10+7*88)</f>
        <v/>
      </c>
      <c r="C105" s="115" t="str">
        <f aca="false">IF(A105="","",B105+6)</f>
        <v/>
      </c>
      <c r="D105" s="104" t="str">
        <f aca="false">IF(A105="","",SUMPRODUCT('แผนงาน Schedule'!$F$7:$F$66,('แผนงาน Schedule'!$I$7:$I$66&lt;=C105)+('แผนงาน Schedule'!$H$7:$H$66&lt;=C105)*('แผนงาน Schedule'!$I$7:$I$66&gt;C105)*(C105-'แผนงาน Schedule'!$H$7:$H$66+1)/('แผนงาน Schedule'!$I$7:$I$66-'แผนงาน Schedule'!$H$7:$H$66+1)))</f>
        <v/>
      </c>
      <c r="E105" s="102"/>
      <c r="F105" s="104" t="str">
        <f aca="false">IF(E105="","",E105-N(E104))</f>
        <v/>
      </c>
      <c r="G105" s="116" t="str">
        <f aca="false">IF(OR(E105="",D105=""),"",E105-D105)</f>
        <v/>
      </c>
      <c r="H105" s="24"/>
      <c r="I105" s="117"/>
      <c r="J105" s="117"/>
      <c r="K105" s="117"/>
      <c r="L105" s="117"/>
      <c r="M105" s="117"/>
      <c r="N105" s="117"/>
      <c r="O105" s="117"/>
    </row>
    <row r="106" customFormat="false" ht="15" hidden="false" customHeight="false" outlineLevel="0" collapsed="false">
      <c r="A106" s="106" t="str">
        <f aca="false">IF('ตั้งค่า Setup'!$C$10+7*89&gt;MAX('ตั้งค่า Setup'!$C$69,'ตั้งค่า Setup'!$C$15)+7,"",90)</f>
        <v/>
      </c>
      <c r="B106" s="115" t="str">
        <f aca="false">IF(A106="","",'ตั้งค่า Setup'!$C$10+7*89)</f>
        <v/>
      </c>
      <c r="C106" s="115" t="str">
        <f aca="false">IF(A106="","",B106+6)</f>
        <v/>
      </c>
      <c r="D106" s="104" t="str">
        <f aca="false">IF(A106="","",SUMPRODUCT('แผนงาน Schedule'!$F$7:$F$66,('แผนงาน Schedule'!$I$7:$I$66&lt;=C106)+('แผนงาน Schedule'!$H$7:$H$66&lt;=C106)*('แผนงาน Schedule'!$I$7:$I$66&gt;C106)*(C106-'แผนงาน Schedule'!$H$7:$H$66+1)/('แผนงาน Schedule'!$I$7:$I$66-'แผนงาน Schedule'!$H$7:$H$66+1)))</f>
        <v/>
      </c>
      <c r="E106" s="102"/>
      <c r="F106" s="104" t="str">
        <f aca="false">IF(E106="","",E106-N(E105))</f>
        <v/>
      </c>
      <c r="G106" s="116" t="str">
        <f aca="false">IF(OR(E106="",D106=""),"",E106-D106)</f>
        <v/>
      </c>
      <c r="H106" s="24"/>
      <c r="I106" s="117"/>
      <c r="J106" s="117"/>
      <c r="K106" s="117"/>
      <c r="L106" s="117"/>
      <c r="M106" s="117"/>
      <c r="N106" s="117"/>
      <c r="O106" s="117"/>
    </row>
    <row r="107" customFormat="false" ht="15" hidden="false" customHeight="false" outlineLevel="0" collapsed="false">
      <c r="A107" s="106" t="str">
        <f aca="false">IF('ตั้งค่า Setup'!$C$10+7*90&gt;MAX('ตั้งค่า Setup'!$C$69,'ตั้งค่า Setup'!$C$15)+7,"",91)</f>
        <v/>
      </c>
      <c r="B107" s="115" t="str">
        <f aca="false">IF(A107="","",'ตั้งค่า Setup'!$C$10+7*90)</f>
        <v/>
      </c>
      <c r="C107" s="115" t="str">
        <f aca="false">IF(A107="","",B107+6)</f>
        <v/>
      </c>
      <c r="D107" s="104" t="str">
        <f aca="false">IF(A107="","",SUMPRODUCT('แผนงาน Schedule'!$F$7:$F$66,('แผนงาน Schedule'!$I$7:$I$66&lt;=C107)+('แผนงาน Schedule'!$H$7:$H$66&lt;=C107)*('แผนงาน Schedule'!$I$7:$I$66&gt;C107)*(C107-'แผนงาน Schedule'!$H$7:$H$66+1)/('แผนงาน Schedule'!$I$7:$I$66-'แผนงาน Schedule'!$H$7:$H$66+1)))</f>
        <v/>
      </c>
      <c r="E107" s="102"/>
      <c r="F107" s="104" t="str">
        <f aca="false">IF(E107="","",E107-N(E106))</f>
        <v/>
      </c>
      <c r="G107" s="116" t="str">
        <f aca="false">IF(OR(E107="",D107=""),"",E107-D107)</f>
        <v/>
      </c>
      <c r="H107" s="24"/>
      <c r="I107" s="117"/>
      <c r="J107" s="117"/>
      <c r="K107" s="117"/>
      <c r="L107" s="117"/>
      <c r="M107" s="117"/>
      <c r="N107" s="117"/>
      <c r="O107" s="117"/>
    </row>
    <row r="108" customFormat="false" ht="15" hidden="false" customHeight="false" outlineLevel="0" collapsed="false">
      <c r="A108" s="106" t="str">
        <f aca="false">IF('ตั้งค่า Setup'!$C$10+7*91&gt;MAX('ตั้งค่า Setup'!$C$69,'ตั้งค่า Setup'!$C$15)+7,"",92)</f>
        <v/>
      </c>
      <c r="B108" s="115" t="str">
        <f aca="false">IF(A108="","",'ตั้งค่า Setup'!$C$10+7*91)</f>
        <v/>
      </c>
      <c r="C108" s="115" t="str">
        <f aca="false">IF(A108="","",B108+6)</f>
        <v/>
      </c>
      <c r="D108" s="104" t="str">
        <f aca="false">IF(A108="","",SUMPRODUCT('แผนงาน Schedule'!$F$7:$F$66,('แผนงาน Schedule'!$I$7:$I$66&lt;=C108)+('แผนงาน Schedule'!$H$7:$H$66&lt;=C108)*('แผนงาน Schedule'!$I$7:$I$66&gt;C108)*(C108-'แผนงาน Schedule'!$H$7:$H$66+1)/('แผนงาน Schedule'!$I$7:$I$66-'แผนงาน Schedule'!$H$7:$H$66+1)))</f>
        <v/>
      </c>
      <c r="E108" s="102"/>
      <c r="F108" s="104" t="str">
        <f aca="false">IF(E108="","",E108-N(E107))</f>
        <v/>
      </c>
      <c r="G108" s="116" t="str">
        <f aca="false">IF(OR(E108="",D108=""),"",E108-D108)</f>
        <v/>
      </c>
      <c r="H108" s="24"/>
      <c r="I108" s="117"/>
      <c r="J108" s="117"/>
      <c r="K108" s="117"/>
      <c r="L108" s="117"/>
      <c r="M108" s="117"/>
      <c r="N108" s="117"/>
      <c r="O108" s="117"/>
    </row>
    <row r="109" customFormat="false" ht="15" hidden="false" customHeight="false" outlineLevel="0" collapsed="false">
      <c r="A109" s="106" t="str">
        <f aca="false">IF('ตั้งค่า Setup'!$C$10+7*92&gt;MAX('ตั้งค่า Setup'!$C$69,'ตั้งค่า Setup'!$C$15)+7,"",93)</f>
        <v/>
      </c>
      <c r="B109" s="115" t="str">
        <f aca="false">IF(A109="","",'ตั้งค่า Setup'!$C$10+7*92)</f>
        <v/>
      </c>
      <c r="C109" s="115" t="str">
        <f aca="false">IF(A109="","",B109+6)</f>
        <v/>
      </c>
      <c r="D109" s="104" t="str">
        <f aca="false">IF(A109="","",SUMPRODUCT('แผนงาน Schedule'!$F$7:$F$66,('แผนงาน Schedule'!$I$7:$I$66&lt;=C109)+('แผนงาน Schedule'!$H$7:$H$66&lt;=C109)*('แผนงาน Schedule'!$I$7:$I$66&gt;C109)*(C109-'แผนงาน Schedule'!$H$7:$H$66+1)/('แผนงาน Schedule'!$I$7:$I$66-'แผนงาน Schedule'!$H$7:$H$66+1)))</f>
        <v/>
      </c>
      <c r="E109" s="102"/>
      <c r="F109" s="104" t="str">
        <f aca="false">IF(E109="","",E109-N(E108))</f>
        <v/>
      </c>
      <c r="G109" s="116" t="str">
        <f aca="false">IF(OR(E109="",D109=""),"",E109-D109)</f>
        <v/>
      </c>
      <c r="H109" s="24"/>
      <c r="I109" s="117"/>
      <c r="J109" s="117"/>
      <c r="K109" s="117"/>
      <c r="L109" s="117"/>
      <c r="M109" s="117"/>
      <c r="N109" s="117"/>
      <c r="O109" s="117"/>
    </row>
    <row r="110" customFormat="false" ht="15" hidden="false" customHeight="false" outlineLevel="0" collapsed="false">
      <c r="A110" s="106" t="str">
        <f aca="false">IF('ตั้งค่า Setup'!$C$10+7*93&gt;MAX('ตั้งค่า Setup'!$C$69,'ตั้งค่า Setup'!$C$15)+7,"",94)</f>
        <v/>
      </c>
      <c r="B110" s="115" t="str">
        <f aca="false">IF(A110="","",'ตั้งค่า Setup'!$C$10+7*93)</f>
        <v/>
      </c>
      <c r="C110" s="115" t="str">
        <f aca="false">IF(A110="","",B110+6)</f>
        <v/>
      </c>
      <c r="D110" s="104" t="str">
        <f aca="false">IF(A110="","",SUMPRODUCT('แผนงาน Schedule'!$F$7:$F$66,('แผนงาน Schedule'!$I$7:$I$66&lt;=C110)+('แผนงาน Schedule'!$H$7:$H$66&lt;=C110)*('แผนงาน Schedule'!$I$7:$I$66&gt;C110)*(C110-'แผนงาน Schedule'!$H$7:$H$66+1)/('แผนงาน Schedule'!$I$7:$I$66-'แผนงาน Schedule'!$H$7:$H$66+1)))</f>
        <v/>
      </c>
      <c r="E110" s="102"/>
      <c r="F110" s="104" t="str">
        <f aca="false">IF(E110="","",E110-N(E109))</f>
        <v/>
      </c>
      <c r="G110" s="116" t="str">
        <f aca="false">IF(OR(E110="",D110=""),"",E110-D110)</f>
        <v/>
      </c>
      <c r="H110" s="24"/>
      <c r="I110" s="117"/>
      <c r="J110" s="117"/>
      <c r="K110" s="117"/>
      <c r="L110" s="117"/>
      <c r="M110" s="117"/>
      <c r="N110" s="117"/>
      <c r="O110" s="117"/>
    </row>
    <row r="111" customFormat="false" ht="15" hidden="false" customHeight="false" outlineLevel="0" collapsed="false">
      <c r="A111" s="106" t="str">
        <f aca="false">IF('ตั้งค่า Setup'!$C$10+7*94&gt;MAX('ตั้งค่า Setup'!$C$69,'ตั้งค่า Setup'!$C$15)+7,"",95)</f>
        <v/>
      </c>
      <c r="B111" s="115" t="str">
        <f aca="false">IF(A111="","",'ตั้งค่า Setup'!$C$10+7*94)</f>
        <v/>
      </c>
      <c r="C111" s="115" t="str">
        <f aca="false">IF(A111="","",B111+6)</f>
        <v/>
      </c>
      <c r="D111" s="104" t="str">
        <f aca="false">IF(A111="","",SUMPRODUCT('แผนงาน Schedule'!$F$7:$F$66,('แผนงาน Schedule'!$I$7:$I$66&lt;=C111)+('แผนงาน Schedule'!$H$7:$H$66&lt;=C111)*('แผนงาน Schedule'!$I$7:$I$66&gt;C111)*(C111-'แผนงาน Schedule'!$H$7:$H$66+1)/('แผนงาน Schedule'!$I$7:$I$66-'แผนงาน Schedule'!$H$7:$H$66+1)))</f>
        <v/>
      </c>
      <c r="E111" s="102"/>
      <c r="F111" s="104" t="str">
        <f aca="false">IF(E111="","",E111-N(E110))</f>
        <v/>
      </c>
      <c r="G111" s="116" t="str">
        <f aca="false">IF(OR(E111="",D111=""),"",E111-D111)</f>
        <v/>
      </c>
      <c r="H111" s="24"/>
      <c r="I111" s="117"/>
      <c r="J111" s="117"/>
      <c r="K111" s="117"/>
      <c r="L111" s="117"/>
      <c r="M111" s="117"/>
      <c r="N111" s="117"/>
      <c r="O111" s="117"/>
    </row>
    <row r="112" customFormat="false" ht="15" hidden="false" customHeight="false" outlineLevel="0" collapsed="false">
      <c r="A112" s="106" t="str">
        <f aca="false">IF('ตั้งค่า Setup'!$C$10+7*95&gt;MAX('ตั้งค่า Setup'!$C$69,'ตั้งค่า Setup'!$C$15)+7,"",96)</f>
        <v/>
      </c>
      <c r="B112" s="115" t="str">
        <f aca="false">IF(A112="","",'ตั้งค่า Setup'!$C$10+7*95)</f>
        <v/>
      </c>
      <c r="C112" s="115" t="str">
        <f aca="false">IF(A112="","",B112+6)</f>
        <v/>
      </c>
      <c r="D112" s="104" t="str">
        <f aca="false">IF(A112="","",SUMPRODUCT('แผนงาน Schedule'!$F$7:$F$66,('แผนงาน Schedule'!$I$7:$I$66&lt;=C112)+('แผนงาน Schedule'!$H$7:$H$66&lt;=C112)*('แผนงาน Schedule'!$I$7:$I$66&gt;C112)*(C112-'แผนงาน Schedule'!$H$7:$H$66+1)/('แผนงาน Schedule'!$I$7:$I$66-'แผนงาน Schedule'!$H$7:$H$66+1)))</f>
        <v/>
      </c>
      <c r="E112" s="102"/>
      <c r="F112" s="104" t="str">
        <f aca="false">IF(E112="","",E112-N(E111))</f>
        <v/>
      </c>
      <c r="G112" s="116" t="str">
        <f aca="false">IF(OR(E112="",D112=""),"",E112-D112)</f>
        <v/>
      </c>
      <c r="H112" s="24"/>
      <c r="I112" s="117"/>
      <c r="J112" s="117"/>
      <c r="K112" s="117"/>
      <c r="L112" s="117"/>
      <c r="M112" s="117"/>
      <c r="N112" s="117"/>
      <c r="O112" s="117"/>
    </row>
    <row r="113" customFormat="false" ht="15" hidden="false" customHeight="false" outlineLevel="0" collapsed="false">
      <c r="A113" s="106" t="str">
        <f aca="false">IF('ตั้งค่า Setup'!$C$10+7*96&gt;MAX('ตั้งค่า Setup'!$C$69,'ตั้งค่า Setup'!$C$15)+7,"",97)</f>
        <v/>
      </c>
      <c r="B113" s="115" t="str">
        <f aca="false">IF(A113="","",'ตั้งค่า Setup'!$C$10+7*96)</f>
        <v/>
      </c>
      <c r="C113" s="115" t="str">
        <f aca="false">IF(A113="","",B113+6)</f>
        <v/>
      </c>
      <c r="D113" s="104" t="str">
        <f aca="false">IF(A113="","",SUMPRODUCT('แผนงาน Schedule'!$F$7:$F$66,('แผนงาน Schedule'!$I$7:$I$66&lt;=C113)+('แผนงาน Schedule'!$H$7:$H$66&lt;=C113)*('แผนงาน Schedule'!$I$7:$I$66&gt;C113)*(C113-'แผนงาน Schedule'!$H$7:$H$66+1)/('แผนงาน Schedule'!$I$7:$I$66-'แผนงาน Schedule'!$H$7:$H$66+1)))</f>
        <v/>
      </c>
      <c r="E113" s="102"/>
      <c r="F113" s="104" t="str">
        <f aca="false">IF(E113="","",E113-N(E112))</f>
        <v/>
      </c>
      <c r="G113" s="116" t="str">
        <f aca="false">IF(OR(E113="",D113=""),"",E113-D113)</f>
        <v/>
      </c>
      <c r="H113" s="24"/>
      <c r="I113" s="117"/>
      <c r="J113" s="117"/>
      <c r="K113" s="117"/>
      <c r="L113" s="117"/>
      <c r="M113" s="117"/>
      <c r="N113" s="117"/>
      <c r="O113" s="117"/>
    </row>
    <row r="114" customFormat="false" ht="15" hidden="false" customHeight="false" outlineLevel="0" collapsed="false">
      <c r="A114" s="106" t="str">
        <f aca="false">IF('ตั้งค่า Setup'!$C$10+7*97&gt;MAX('ตั้งค่า Setup'!$C$69,'ตั้งค่า Setup'!$C$15)+7,"",98)</f>
        <v/>
      </c>
      <c r="B114" s="115" t="str">
        <f aca="false">IF(A114="","",'ตั้งค่า Setup'!$C$10+7*97)</f>
        <v/>
      </c>
      <c r="C114" s="115" t="str">
        <f aca="false">IF(A114="","",B114+6)</f>
        <v/>
      </c>
      <c r="D114" s="104" t="str">
        <f aca="false">IF(A114="","",SUMPRODUCT('แผนงาน Schedule'!$F$7:$F$66,('แผนงาน Schedule'!$I$7:$I$66&lt;=C114)+('แผนงาน Schedule'!$H$7:$H$66&lt;=C114)*('แผนงาน Schedule'!$I$7:$I$66&gt;C114)*(C114-'แผนงาน Schedule'!$H$7:$H$66+1)/('แผนงาน Schedule'!$I$7:$I$66-'แผนงาน Schedule'!$H$7:$H$66+1)))</f>
        <v/>
      </c>
      <c r="E114" s="102"/>
      <c r="F114" s="104" t="str">
        <f aca="false">IF(E114="","",E114-N(E113))</f>
        <v/>
      </c>
      <c r="G114" s="116" t="str">
        <f aca="false">IF(OR(E114="",D114=""),"",E114-D114)</f>
        <v/>
      </c>
      <c r="H114" s="24"/>
      <c r="I114" s="117"/>
      <c r="J114" s="117"/>
      <c r="K114" s="117"/>
      <c r="L114" s="117"/>
      <c r="M114" s="117"/>
      <c r="N114" s="117"/>
      <c r="O114" s="117"/>
    </row>
    <row r="115" customFormat="false" ht="15" hidden="false" customHeight="false" outlineLevel="0" collapsed="false">
      <c r="A115" s="106" t="str">
        <f aca="false">IF('ตั้งค่า Setup'!$C$10+7*98&gt;MAX('ตั้งค่า Setup'!$C$69,'ตั้งค่า Setup'!$C$15)+7,"",99)</f>
        <v/>
      </c>
      <c r="B115" s="115" t="str">
        <f aca="false">IF(A115="","",'ตั้งค่า Setup'!$C$10+7*98)</f>
        <v/>
      </c>
      <c r="C115" s="115" t="str">
        <f aca="false">IF(A115="","",B115+6)</f>
        <v/>
      </c>
      <c r="D115" s="104" t="str">
        <f aca="false">IF(A115="","",SUMPRODUCT('แผนงาน Schedule'!$F$7:$F$66,('แผนงาน Schedule'!$I$7:$I$66&lt;=C115)+('แผนงาน Schedule'!$H$7:$H$66&lt;=C115)*('แผนงาน Schedule'!$I$7:$I$66&gt;C115)*(C115-'แผนงาน Schedule'!$H$7:$H$66+1)/('แผนงาน Schedule'!$I$7:$I$66-'แผนงาน Schedule'!$H$7:$H$66+1)))</f>
        <v/>
      </c>
      <c r="E115" s="102"/>
      <c r="F115" s="104" t="str">
        <f aca="false">IF(E115="","",E115-N(E114))</f>
        <v/>
      </c>
      <c r="G115" s="116" t="str">
        <f aca="false">IF(OR(E115="",D115=""),"",E115-D115)</f>
        <v/>
      </c>
      <c r="H115" s="24"/>
      <c r="I115" s="117"/>
      <c r="J115" s="117"/>
      <c r="K115" s="117"/>
      <c r="L115" s="117"/>
      <c r="M115" s="117"/>
      <c r="N115" s="117"/>
      <c r="O115" s="117"/>
    </row>
    <row r="116" customFormat="false" ht="15" hidden="false" customHeight="false" outlineLevel="0" collapsed="false">
      <c r="A116" s="106" t="str">
        <f aca="false">IF('ตั้งค่า Setup'!$C$10+7*99&gt;MAX('ตั้งค่า Setup'!$C$69,'ตั้งค่า Setup'!$C$15)+7,"",100)</f>
        <v/>
      </c>
      <c r="B116" s="115" t="str">
        <f aca="false">IF(A116="","",'ตั้งค่า Setup'!$C$10+7*99)</f>
        <v/>
      </c>
      <c r="C116" s="115" t="str">
        <f aca="false">IF(A116="","",B116+6)</f>
        <v/>
      </c>
      <c r="D116" s="104" t="str">
        <f aca="false">IF(A116="","",SUMPRODUCT('แผนงาน Schedule'!$F$7:$F$66,('แผนงาน Schedule'!$I$7:$I$66&lt;=C116)+('แผนงาน Schedule'!$H$7:$H$66&lt;=C116)*('แผนงาน Schedule'!$I$7:$I$66&gt;C116)*(C116-'แผนงาน Schedule'!$H$7:$H$66+1)/('แผนงาน Schedule'!$I$7:$I$66-'แผนงาน Schedule'!$H$7:$H$66+1)))</f>
        <v/>
      </c>
      <c r="E116" s="102"/>
      <c r="F116" s="104" t="str">
        <f aca="false">IF(E116="","",E116-N(E115))</f>
        <v/>
      </c>
      <c r="G116" s="116" t="str">
        <f aca="false">IF(OR(E116="",D116=""),"",E116-D116)</f>
        <v/>
      </c>
      <c r="H116" s="24"/>
      <c r="I116" s="117"/>
      <c r="J116" s="117"/>
      <c r="K116" s="117"/>
      <c r="L116" s="117"/>
      <c r="M116" s="117"/>
      <c r="N116" s="117"/>
      <c r="O116" s="117"/>
    </row>
    <row r="117" customFormat="false" ht="15" hidden="false" customHeight="false" outlineLevel="0" collapsed="false">
      <c r="A117" s="106" t="str">
        <f aca="false">IF('ตั้งค่า Setup'!$C$10+7*100&gt;MAX('ตั้งค่า Setup'!$C$69,'ตั้งค่า Setup'!$C$15)+7,"",101)</f>
        <v/>
      </c>
      <c r="B117" s="115" t="str">
        <f aca="false">IF(A117="","",'ตั้งค่า Setup'!$C$10+7*100)</f>
        <v/>
      </c>
      <c r="C117" s="115" t="str">
        <f aca="false">IF(A117="","",B117+6)</f>
        <v/>
      </c>
      <c r="D117" s="104" t="str">
        <f aca="false">IF(A117="","",SUMPRODUCT('แผนงาน Schedule'!$F$7:$F$66,('แผนงาน Schedule'!$I$7:$I$66&lt;=C117)+('แผนงาน Schedule'!$H$7:$H$66&lt;=C117)*('แผนงาน Schedule'!$I$7:$I$66&gt;C117)*(C117-'แผนงาน Schedule'!$H$7:$H$66+1)/('แผนงาน Schedule'!$I$7:$I$66-'แผนงาน Schedule'!$H$7:$H$66+1)))</f>
        <v/>
      </c>
      <c r="E117" s="102"/>
      <c r="F117" s="104" t="str">
        <f aca="false">IF(E117="","",E117-N(E116))</f>
        <v/>
      </c>
      <c r="G117" s="116" t="str">
        <f aca="false">IF(OR(E117="",D117=""),"",E117-D117)</f>
        <v/>
      </c>
      <c r="H117" s="24"/>
      <c r="I117" s="117"/>
      <c r="J117" s="117"/>
      <c r="K117" s="117"/>
      <c r="L117" s="117"/>
      <c r="M117" s="117"/>
      <c r="N117" s="117"/>
      <c r="O117" s="117"/>
    </row>
    <row r="118" customFormat="false" ht="15" hidden="false" customHeight="false" outlineLevel="0" collapsed="false">
      <c r="A118" s="106" t="str">
        <f aca="false">IF('ตั้งค่า Setup'!$C$10+7*101&gt;MAX('ตั้งค่า Setup'!$C$69,'ตั้งค่า Setup'!$C$15)+7,"",102)</f>
        <v/>
      </c>
      <c r="B118" s="115" t="str">
        <f aca="false">IF(A118="","",'ตั้งค่า Setup'!$C$10+7*101)</f>
        <v/>
      </c>
      <c r="C118" s="115" t="str">
        <f aca="false">IF(A118="","",B118+6)</f>
        <v/>
      </c>
      <c r="D118" s="104" t="str">
        <f aca="false">IF(A118="","",SUMPRODUCT('แผนงาน Schedule'!$F$7:$F$66,('แผนงาน Schedule'!$I$7:$I$66&lt;=C118)+('แผนงาน Schedule'!$H$7:$H$66&lt;=C118)*('แผนงาน Schedule'!$I$7:$I$66&gt;C118)*(C118-'แผนงาน Schedule'!$H$7:$H$66+1)/('แผนงาน Schedule'!$I$7:$I$66-'แผนงาน Schedule'!$H$7:$H$66+1)))</f>
        <v/>
      </c>
      <c r="E118" s="102"/>
      <c r="F118" s="104" t="str">
        <f aca="false">IF(E118="","",E118-N(E117))</f>
        <v/>
      </c>
      <c r="G118" s="116" t="str">
        <f aca="false">IF(OR(E118="",D118=""),"",E118-D118)</f>
        <v/>
      </c>
      <c r="H118" s="24"/>
      <c r="I118" s="117"/>
      <c r="J118" s="117"/>
      <c r="K118" s="117"/>
      <c r="L118" s="117"/>
      <c r="M118" s="117"/>
      <c r="N118" s="117"/>
      <c r="O118" s="117"/>
    </row>
    <row r="119" customFormat="false" ht="15" hidden="false" customHeight="false" outlineLevel="0" collapsed="false">
      <c r="A119" s="106" t="str">
        <f aca="false">IF('ตั้งค่า Setup'!$C$10+7*102&gt;MAX('ตั้งค่า Setup'!$C$69,'ตั้งค่า Setup'!$C$15)+7,"",103)</f>
        <v/>
      </c>
      <c r="B119" s="115" t="str">
        <f aca="false">IF(A119="","",'ตั้งค่า Setup'!$C$10+7*102)</f>
        <v/>
      </c>
      <c r="C119" s="115" t="str">
        <f aca="false">IF(A119="","",B119+6)</f>
        <v/>
      </c>
      <c r="D119" s="104" t="str">
        <f aca="false">IF(A119="","",SUMPRODUCT('แผนงาน Schedule'!$F$7:$F$66,('แผนงาน Schedule'!$I$7:$I$66&lt;=C119)+('แผนงาน Schedule'!$H$7:$H$66&lt;=C119)*('แผนงาน Schedule'!$I$7:$I$66&gt;C119)*(C119-'แผนงาน Schedule'!$H$7:$H$66+1)/('แผนงาน Schedule'!$I$7:$I$66-'แผนงาน Schedule'!$H$7:$H$66+1)))</f>
        <v/>
      </c>
      <c r="E119" s="102"/>
      <c r="F119" s="104" t="str">
        <f aca="false">IF(E119="","",E119-N(E118))</f>
        <v/>
      </c>
      <c r="G119" s="116" t="str">
        <f aca="false">IF(OR(E119="",D119=""),"",E119-D119)</f>
        <v/>
      </c>
      <c r="H119" s="24"/>
      <c r="I119" s="117"/>
      <c r="J119" s="117"/>
      <c r="K119" s="117"/>
      <c r="L119" s="117"/>
      <c r="M119" s="117"/>
      <c r="N119" s="117"/>
      <c r="O119" s="117"/>
    </row>
    <row r="120" customFormat="false" ht="15" hidden="false" customHeight="false" outlineLevel="0" collapsed="false">
      <c r="A120" s="106" t="str">
        <f aca="false">IF('ตั้งค่า Setup'!$C$10+7*103&gt;MAX('ตั้งค่า Setup'!$C$69,'ตั้งค่า Setup'!$C$15)+7,"",104)</f>
        <v/>
      </c>
      <c r="B120" s="115" t="str">
        <f aca="false">IF(A120="","",'ตั้งค่า Setup'!$C$10+7*103)</f>
        <v/>
      </c>
      <c r="C120" s="115" t="str">
        <f aca="false">IF(A120="","",B120+6)</f>
        <v/>
      </c>
      <c r="D120" s="104" t="str">
        <f aca="false">IF(A120="","",SUMPRODUCT('แผนงาน Schedule'!$F$7:$F$66,('แผนงาน Schedule'!$I$7:$I$66&lt;=C120)+('แผนงาน Schedule'!$H$7:$H$66&lt;=C120)*('แผนงาน Schedule'!$I$7:$I$66&gt;C120)*(C120-'แผนงาน Schedule'!$H$7:$H$66+1)/('แผนงาน Schedule'!$I$7:$I$66-'แผนงาน Schedule'!$H$7:$H$66+1)))</f>
        <v/>
      </c>
      <c r="E120" s="102"/>
      <c r="F120" s="104" t="str">
        <f aca="false">IF(E120="","",E120-N(E119))</f>
        <v/>
      </c>
      <c r="G120" s="116" t="str">
        <f aca="false">IF(OR(E120="",D120=""),"",E120-D120)</f>
        <v/>
      </c>
      <c r="H120" s="24"/>
      <c r="I120" s="117"/>
      <c r="J120" s="117"/>
      <c r="K120" s="117"/>
      <c r="L120" s="117"/>
      <c r="M120" s="117"/>
      <c r="N120" s="117"/>
      <c r="O120" s="117"/>
    </row>
  </sheetData>
  <sheetProtection sheet="true" formatCells="false" formatColumns="false" formatRows="false"/>
  <mergeCells count="11"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</mergeCells>
  <conditionalFormatting sqref="A17:O120">
    <cfRule type="expression" priority="2" aboveAverage="0" equalAverage="0" bottom="0" percent="0" rank="0" text="" dxfId="8">
      <formula>$A17=$C$12</formula>
    </cfRule>
  </conditionalFormatting>
  <dataValidations count="1">
    <dataValidation allowBlank="false" error="กรอก 0%–100%" errorStyle="stop" operator="between" showDropDown="false" showErrorMessage="false" showInputMessage="false" sqref="E17:E12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8" min="5" style="1" width="11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2"/>
    <col collapsed="false" customWidth="true" hidden="true" outlineLevel="0" max="12" min="12" style="1" width="13"/>
  </cols>
  <sheetData>
    <row r="1" customFormat="false" ht="36" hidden="false" customHeight="true" outlineLevel="0" collapsed="false">
      <c r="B1" s="118" t="s">
        <v>502</v>
      </c>
      <c r="C1" s="118"/>
      <c r="D1" s="118"/>
      <c r="E1" s="118"/>
      <c r="F1" s="118"/>
      <c r="G1" s="118"/>
      <c r="H1" s="118"/>
      <c r="I1" s="118"/>
      <c r="J1" s="118"/>
    </row>
    <row r="2" customFormat="false" ht="19.5" hidden="false" customHeight="true" outlineLevel="0" collapsed="false">
      <c r="B2" s="119" t="s">
        <v>503</v>
      </c>
      <c r="C2" s="120" t="str">
        <f aca="false">'บันทึกสัปดาห์ Weekly Log'!C4&amp;""</f>
        <v/>
      </c>
      <c r="D2" s="120"/>
      <c r="E2" s="120"/>
      <c r="F2" s="120"/>
      <c r="G2" s="120"/>
      <c r="H2" s="120"/>
      <c r="I2" s="120"/>
      <c r="J2" s="120"/>
    </row>
    <row r="3" customFormat="false" ht="19.5" hidden="false" customHeight="true" outlineLevel="0" collapsed="false">
      <c r="B3" s="119" t="s">
        <v>504</v>
      </c>
      <c r="C3" s="120" t="str">
        <f aca="false">'บันทึกสัปดาห์ Weekly Log'!C5&amp;""</f>
        <v/>
      </c>
      <c r="D3" s="120"/>
      <c r="E3" s="120"/>
      <c r="F3" s="120"/>
      <c r="G3" s="119" t="s">
        <v>505</v>
      </c>
      <c r="H3" s="120" t="str">
        <f aca="false">IF(N('บันทึกสัปดาห์ Weekly Log'!$C$13)=0,"-",DAY('บันทึกสัปดาห์ Weekly Log'!$C$13)&amp;" "&amp;CHOOSE(MONTH('บันทึกสัปดาห์ Weekly Log'!$C$13)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"&amp;(YEAR('บันทึกสัปดาห์ Weekly Log'!$C$13)+543))</f>
        <v>28 กันยายน 2569</v>
      </c>
      <c r="I3" s="120"/>
      <c r="J3" s="120"/>
    </row>
    <row r="4" customFormat="false" ht="19.5" hidden="false" customHeight="true" outlineLevel="0" collapsed="false">
      <c r="B4" s="119" t="s">
        <v>506</v>
      </c>
      <c r="C4" s="120" t="str">
        <f aca="false">"รายงานผลการปฏิบัติงานของผู้รับจ้าง ประจำสัปดาห์ที่ "&amp;'บันทึกสัปดาห์ Weekly Log'!$C$12&amp;" ("&amp;IF(N(INDEX('บันทึกสัปดาห์ Weekly Log'!$B$17:$B$120,'บันทึกสัปดาห์ Weekly Log'!$C$12))=0,"-",DAY(INDEX('บันทึกสัปดาห์ Weekly Log'!$B$17:$B$120,'บันทึกสัปดาห์ Weekly Log'!$C$12))&amp;" "&amp;CHOOSE(MONTH(INDEX('บันทึกสัปดาห์ Weekly Log'!$B$17:$B$120,'บันทึกสัปดาห์ Weekly Log'!$C$12)),"ม.ค.","ก.พ.","มี.ค.","เม.ย.","พ.ค.","มิ.ย.","ก.ค.","ส.ค.","ก.ย.","ต.ค.","พ.ย.","ธ.ค.")&amp;" "&amp;RIGHT(YEAR(INDEX('บันทึกสัปดาห์ Weekly Log'!$B$17:$B$120,'บันทึกสัปดาห์ Weekly Log'!$C$12))+543,2))&amp;" – "&amp;IF(N(INDEX('บันทึกสัปดาห์ Weekly Log'!$C$17:$C$120,'บันทึกสัปดาห์ Weekly Log'!$C$12))=0,"-",DAY(INDEX('บันทึกสัปดาห์ Weekly Log'!$C$17:$C$120,'บันทึกสัปดาห์ Weekly Log'!$C$12))&amp;" "&amp;CHOOSE(MONTH(INDEX('บันทึกสัปดาห์ Weekly Log'!$C$17:$C$120,'บันทึกสัปดาห์ Weekly Log'!$C$12)),"ม.ค.","ก.พ.","มี.ค.","เม.ย.","พ.ค.","มิ.ย.","ก.ค.","ส.ค.","ก.ย.","ต.ค.","พ.ย.","ธ.ค.")&amp;" "&amp;RIGHT(YEAR(INDEX('บันทึกสัปดาห์ Weekly Log'!$C$17:$C$120,'บันทึกสัปดาห์ Weekly Log'!$C$12))+543,2))&amp;")"</f>
        <v>รายงานผลการปฏิบัติงานของผู้รับจ้าง ประจำสัปดาห์ที่ 31 (18 ก.ย. 69 – 24 ก.ย. 69)</v>
      </c>
      <c r="D4" s="120"/>
      <c r="E4" s="120"/>
      <c r="F4" s="120"/>
      <c r="G4" s="120"/>
      <c r="H4" s="120"/>
      <c r="I4" s="120"/>
      <c r="J4" s="120"/>
    </row>
    <row r="5" customFormat="false" ht="19.5" hidden="false" customHeight="true" outlineLevel="0" collapsed="false">
      <c r="B5" s="119" t="s">
        <v>507</v>
      </c>
      <c r="C5" s="121" t="s">
        <v>479</v>
      </c>
      <c r="D5" s="121"/>
      <c r="E5" s="121"/>
      <c r="F5" s="121"/>
      <c r="G5" s="121"/>
      <c r="H5" s="121"/>
      <c r="I5" s="121"/>
      <c r="J5" s="121"/>
    </row>
    <row r="6" customFormat="false" ht="91.5" hidden="false" customHeight="true" outlineLevel="0" collapsed="false">
      <c r="B6" s="122" t="str">
        <f aca="false">"          ตามที่ "&amp;IF('ตั้งค่า Setup'!C6="","(ผู้ว่าจ้าง)",'ตั้งค่า Setup'!C6)&amp;" ได้ทำสัญญาจ้าง "&amp;IF('ตั้งค่า Setup'!C7="","(ผู้รับจ้าง)",'ตั้งค่า Setup'!C7)&amp;" ดำเนินการ"&amp;'ตั้งค่า Setup'!C4&amp;" ตามสัญญาเลขที่ "&amp;IF('ตั้งค่า Setup'!C8="","……",'ตั้งค่า Setup'!C8)&amp;" ลงวันที่ "&amp;IF(N('บันทึกสัปดาห์ Weekly Log'!$C$6)=0,"……",IF(N('บันทึกสัปดาห์ Weekly Log'!$C$6)=0,"-",DAY('บันทึกสัปดาห์ Weekly Log'!$C$6)&amp;" "&amp;CHOOSE(MONTH('บันทึกสัปดาห์ Weekly Log'!$C$6)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"&amp;(YEAR('บันทึกสัปดาห์ Weekly Log'!$C$6)+543)))&amp;" วงเงิน "&amp;TEXT('ตั้งค่า Setup'!$C$9,"#,##0.00")&amp;" บาท"&amp;" ระยะเวลาดำเนินการ "&amp;'ตั้งค่า Setup'!$C$11&amp;" วัน เริ่มสัญญาวันที่ "&amp;IF(N('ตั้งค่า Setup'!$C$10)=0,"-",DAY('ตั้งค่า Setup'!$C$10)&amp;" "&amp;CHOOSE(MONTH('ตั้งค่า Setup'!$C$10)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"&amp;(YEAR('ตั้งค่า Setup'!$C$10)+543))&amp;" สิ้นสุดสัญญาวันที่ "&amp;IF(N('ตั้งค่า Setup'!$C$14)=0,"-",DAY('ตั้งค่า Setup'!$C$14)&amp;" "&amp;CHOOSE(MONTH('ตั้งค่า Setup'!$C$14)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"&amp;(YEAR('ตั้งค่า Setup'!$C$14)+543))&amp;IF('ตั้งค่า Setup'!$C$13&gt;0," (รวมการขยายเวลา "&amp;'ตั้งค่า Setup'!$C$13&amp;" วัน)","")&amp;" นั้น"&amp;CHAR(10)&amp;"          ข้าพเจ้าในฐานะผู้ควบคุมงาน ขอรายงานผลการปฏิบัติงานของผู้รับจ้าง ประจำสัปดาห์ที่ "&amp;'บันทึกสัปดาห์ Weekly Log'!$C$12&amp;" ดังนี้"</f>
        <v>          ตามที่ (ผู้ว่าจ้าง) ได้ทำสัญญาจ้าง (ผู้รับจ้าง) ดำเนินการโครงการก่อสร้างอาคาร (แก้ไขชื่อได้) ตามสัญญาเลขที่ …… ลงวันที่ …… วงเงิน 12,108,000.00 บาท ระยะเวลาดำเนินการ 270 วัน เริ่มสัญญาวันที่ 20 กุมภาพันธ์ 2569 สิ้นสุดสัญญาวันที่ 16 พฤศจิกายน 2569 นั้น
          ข้าพเจ้าในฐานะผู้ควบคุมงาน ขอรายงานผลการปฏิบัติงานของผู้รับจ้าง ประจำสัปดาห์ที่ 31 ดังนี้</v>
      </c>
      <c r="C6" s="122"/>
      <c r="D6" s="122"/>
      <c r="E6" s="122"/>
      <c r="F6" s="122"/>
      <c r="G6" s="122"/>
      <c r="H6" s="122"/>
      <c r="I6" s="122"/>
      <c r="J6" s="122"/>
    </row>
    <row r="8" customFormat="false" ht="19.5" hidden="false" customHeight="true" outlineLevel="0" collapsed="false">
      <c r="B8" s="64" t="s">
        <v>508</v>
      </c>
      <c r="C8" s="64"/>
      <c r="D8" s="64"/>
      <c r="E8" s="64"/>
      <c r="F8" s="64"/>
      <c r="G8" s="64"/>
      <c r="H8" s="64"/>
      <c r="I8" s="64"/>
      <c r="J8" s="64"/>
    </row>
    <row r="9" customFormat="false" ht="18" hidden="false" customHeight="true" outlineLevel="0" collapsed="false">
      <c r="B9" s="21" t="s">
        <v>509</v>
      </c>
      <c r="C9" s="21"/>
      <c r="D9" s="43" t="n">
        <f aca="false">INDEX('บันทึกสัปดาห์ Weekly Log'!$D$17:$D$120,'บันทึกสัปดาห์ Weekly Log'!$C$12)</f>
        <v>0.84962</v>
      </c>
    </row>
    <row r="10" customFormat="false" ht="18" hidden="false" customHeight="true" outlineLevel="0" collapsed="false">
      <c r="B10" s="21" t="s">
        <v>510</v>
      </c>
      <c r="C10" s="21"/>
      <c r="D10" s="43" t="str">
        <f aca="false">IF(INDEX('บันทึกสัปดาห์ Weekly Log'!$E$17:$E$120,'บันทึกสัปดาห์ Weekly Log'!$C$12)="","ยังไม่กรอก",INDEX('บันทึกสัปดาห์ Weekly Log'!$E$17:$E$120,'บันทึกสัปดาห์ Weekly Log'!$C$12))</f>
        <v>ยังไม่กรอก</v>
      </c>
    </row>
    <row r="11" customFormat="false" ht="18" hidden="false" customHeight="true" outlineLevel="0" collapsed="false">
      <c r="B11" s="21" t="s">
        <v>511</v>
      </c>
      <c r="C11" s="21"/>
      <c r="D11" s="123" t="str">
        <f aca="false">IF(INDEX('บันทึกสัปดาห์ Weekly Log'!$E$17:$E$120,'บันทึกสัปดาห์ Weekly Log'!$C$12)="","-",INDEX('บันทึกสัปดาห์ Weekly Log'!$E$17:$E$120,'บันทึกสัปดาห์ Weekly Log'!$C$12)-INDEX('บันทึกสัปดาห์ Weekly Log'!$D$17:$D$120,'บันทึกสัปดาห์ Weekly Log'!$C$12))</f>
        <v>-</v>
      </c>
    </row>
    <row r="12" customFormat="false" ht="18" hidden="false" customHeight="true" outlineLevel="0" collapsed="false">
      <c r="B12" s="21" t="s">
        <v>512</v>
      </c>
      <c r="C12" s="21"/>
      <c r="D12" s="124" t="str">
        <f aca="false">IF(INDEX('บันทึกสัปดาห์ Weekly Log'!$E$17:$E$120,'บันทึกสัปดาห์ Weekly Log'!$C$12)="","-",ROUND((INDEX('บันทึกสัปดาห์ Weekly Log'!$E$17:$E$120,'บันทึกสัปดาห์ Weekly Log'!$C$12)-INDEX('บันทึกสัปดาห์ Weekly Log'!$D$17:$D$120,'บันทึกสัปดาห์ Weekly Log'!$C$12))*'ตั้งค่า Setup'!$C$11,0))</f>
        <v>-</v>
      </c>
    </row>
    <row r="13" customFormat="false" ht="18" hidden="false" customHeight="true" outlineLevel="0" collapsed="false">
      <c r="B13" s="21" t="s">
        <v>513</v>
      </c>
      <c r="C13" s="21"/>
      <c r="D13" s="43" t="str">
        <f aca="false">IF(INDEX('บันทึกสัปดาห์ Weekly Log'!$E$17:$E$120,'บันทึกสัปดาห์ Weekly Log'!$C$12)="","-",INDEX('บันทึกสัปดาห์ Weekly Log'!$F$17:$F$120,'บันทึกสัปดาห์ Weekly Log'!$C$12))</f>
        <v>-</v>
      </c>
    </row>
    <row r="14" customFormat="false" ht="18" hidden="false" customHeight="true" outlineLevel="0" collapsed="false">
      <c r="B14" s="21" t="s">
        <v>514</v>
      </c>
      <c r="C14" s="21"/>
      <c r="D14" s="43" t="str">
        <f aca="false">IF('บันทึกสัปดาห์ Weekly Log'!$C$12&lt;=1,"-",IF(INDEX('บันทึกสัปดาห์ Weekly Log'!$F$17:$F$120,'บันทึกสัปดาห์ Weekly Log'!$C$12-1)="","-",INDEX('บันทึกสัปดาห์ Weekly Log'!$F$17:$F$120,'บันทึกสัปดาห์ Weekly Log'!$C$12-1)))</f>
        <v>-</v>
      </c>
    </row>
    <row r="15" customFormat="false" ht="18" hidden="false" customHeight="true" outlineLevel="0" collapsed="false">
      <c r="B15" s="21" t="s">
        <v>515</v>
      </c>
      <c r="C15" s="21"/>
      <c r="D15" s="39" t="str">
        <f aca="false">(INDEX('บันทึกสัปดาห์ Weekly Log'!$C$17:$C$120,'บันทึกสัปดาห์ Weekly Log'!$C$12)-'ตั้งค่า Setup'!$C$10+1)&amp;" วัน ("&amp;TEXT((INDEX('บันทึกสัปดาห์ Weekly Log'!$C$17:$C$120,'บันทึกสัปดาห์ Weekly Log'!$C$12)-'ตั้งค่า Setup'!$C$10+1)/('ตั้งค่า Setup'!$C$14-'ตั้งค่า Setup'!$C$10+1),"0.0%")&amp;")"</f>
        <v>217 วัน (80.4%)</v>
      </c>
    </row>
    <row r="16" customFormat="false" ht="18" hidden="false" customHeight="true" outlineLevel="0" collapsed="false">
      <c r="B16" s="21" t="s">
        <v>516</v>
      </c>
      <c r="C16" s="21"/>
      <c r="D16" s="39" t="str">
        <f aca="false">IF('ตั้งค่า Setup'!$C$14-INDEX('บันทึกสัปดาห์ Weekly Log'!$C$17:$C$120,'บันทึกสัปดาห์ Weekly Log'!$C$12)&gt;=0,('ตั้งค่า Setup'!$C$14-INDEX('บันทึกสัปดาห์ Weekly Log'!$C$17:$C$120,'บันทึกสัปดาห์ Weekly Log'!$C$12))&amp;" วัน","เลยกำหนด "&amp;(INDEX('บันทึกสัปดาห์ Weekly Log'!$C$17:$C$120,'บันทึกสัปดาห์ Weekly Log'!$C$12)-'ตั้งค่า Setup'!$C$14)&amp;" วัน")</f>
        <v>53 วัน</v>
      </c>
    </row>
    <row r="17" customFormat="false" ht="18" hidden="false" customHeight="true" outlineLevel="0" collapsed="false">
      <c r="B17" s="21" t="s">
        <v>517</v>
      </c>
      <c r="C17" s="21"/>
      <c r="D17" s="39" t="str">
        <f aca="false">IF(INDEX('บันทึกสัปดาห์ Weekly Log'!$E$17:$E$120,'บันทึกสัปดาห์ Weekly Log'!$C$12)="","-",IF(INDEX('บันทึกสัปดาห์ Weekly Log'!$E$17:$E$120,'บันทึกสัปดาห์ Weekly Log'!$C$12)&gt;=INDEX('บันทึกสัปดาห์ Weekly Log'!$D$17:$D$120,'บันทึกสัปดาห์ Weekly Log'!$C$12),"เป็นไปตามแผน / เร็วกว่าแผน",IF(INDEX('บันทึกสัปดาห์ Weekly Log'!$E$17:$E$120,'บันทึกสัปดาห์ Weekly Log'!$C$12)/INDEX('บันทึกสัปดาห์ Weekly Log'!$D$17:$D$120,'บันทึกสัปดาห์ Weekly Log'!$C$12)&gt;=0.9,"ล่าช้ากว่าแผนเล็กน้อย","ล่าช้ากว่าแผนมาก")))</f>
        <v>-</v>
      </c>
    </row>
    <row r="19" customFormat="false" ht="19.5" hidden="false" customHeight="true" outlineLevel="0" collapsed="false">
      <c r="B19" s="64" t="s">
        <v>518</v>
      </c>
      <c r="C19" s="64"/>
      <c r="D19" s="64"/>
      <c r="E19" s="64"/>
      <c r="F19" s="64"/>
      <c r="G19" s="64"/>
      <c r="H19" s="64"/>
      <c r="I19" s="64"/>
      <c r="J19" s="64"/>
    </row>
    <row r="20" customFormat="false" ht="21.75" hidden="false" customHeight="true" outlineLevel="0" collapsed="false">
      <c r="B20" s="20" t="s">
        <v>519</v>
      </c>
      <c r="C20" s="20" t="s">
        <v>520</v>
      </c>
      <c r="D20" s="20" t="s">
        <v>521</v>
      </c>
      <c r="E20" s="20" t="s">
        <v>522</v>
      </c>
      <c r="F20" s="20"/>
      <c r="G20" s="20" t="s">
        <v>523</v>
      </c>
      <c r="H20" s="20" t="s">
        <v>517</v>
      </c>
      <c r="I20" s="20"/>
      <c r="J20" s="20" t="s">
        <v>524</v>
      </c>
    </row>
    <row r="21" customFormat="false" ht="15" hidden="false" customHeight="false" outlineLevel="0" collapsed="false">
      <c r="B21" s="87" t="str">
        <f aca="false">'งวดงาน Installments'!A7&amp;""</f>
        <v/>
      </c>
      <c r="C21" s="77" t="str">
        <f aca="false">'งวดงาน Installments'!B7&amp;""</f>
        <v/>
      </c>
      <c r="D21" s="87" t="str">
        <f aca="false">IF('งวดงาน Installments'!D7="","",IF(N('งวดงาน Installments'!D7)=0,"-",DAY('งวดงาน Installments'!D7)&amp;" "&amp;CHOOSE(MONTH('งวดงาน Installments'!D7),"ม.ค.","ก.พ.","มี.ค.","เม.ย.","พ.ค.","มิ.ย.","ก.ค.","ส.ค.","ก.ย.","ต.ค.","พ.ย.","ธ.ค.")&amp;" "&amp;RIGHT(YEAR('งวดงาน Installments'!D7)+543,2)))</f>
        <v/>
      </c>
      <c r="E21" s="125" t="str">
        <f aca="false">IF('งวดงาน Installments'!E7="","",'งวดงาน Installments'!E7)</f>
        <v/>
      </c>
      <c r="F21" s="125"/>
      <c r="G21" s="87" t="str">
        <f aca="false">'งวดงาน Installments'!J7&amp;""</f>
        <v/>
      </c>
      <c r="H21" s="126" t="str">
        <f aca="false">'งวดงาน Installments'!K7&amp;""</f>
        <v/>
      </c>
      <c r="I21" s="126"/>
      <c r="J21" s="127" t="str">
        <f aca="false">IF('งวดงาน Installments'!L7="","",'งวดงาน Installments'!L7)</f>
        <v/>
      </c>
    </row>
    <row r="22" customFormat="false" ht="15" hidden="false" customHeight="false" outlineLevel="0" collapsed="false">
      <c r="B22" s="87" t="str">
        <f aca="false">'งวดงาน Installments'!A8&amp;""</f>
        <v/>
      </c>
      <c r="C22" s="77" t="str">
        <f aca="false">'งวดงาน Installments'!B8&amp;""</f>
        <v/>
      </c>
      <c r="D22" s="87" t="str">
        <f aca="false">IF('งวดงาน Installments'!D8="","",IF(N('งวดงาน Installments'!D8)=0,"-",DAY('งวดงาน Installments'!D8)&amp;" "&amp;CHOOSE(MONTH('งวดงาน Installments'!D8),"ม.ค.","ก.พ.","มี.ค.","เม.ย.","พ.ค.","มิ.ย.","ก.ค.","ส.ค.","ก.ย.","ต.ค.","พ.ย.","ธ.ค.")&amp;" "&amp;RIGHT(YEAR('งวดงาน Installments'!D8)+543,2)))</f>
        <v/>
      </c>
      <c r="E22" s="125" t="str">
        <f aca="false">IF('งวดงาน Installments'!E8="","",'งวดงาน Installments'!E8)</f>
        <v/>
      </c>
      <c r="F22" s="125"/>
      <c r="G22" s="87" t="str">
        <f aca="false">'งวดงาน Installments'!J8&amp;""</f>
        <v/>
      </c>
      <c r="H22" s="126" t="str">
        <f aca="false">'งวดงาน Installments'!K8&amp;""</f>
        <v/>
      </c>
      <c r="I22" s="126"/>
      <c r="J22" s="127" t="str">
        <f aca="false">IF('งวดงาน Installments'!L8="","",'งวดงาน Installments'!L8)</f>
        <v/>
      </c>
    </row>
    <row r="23" customFormat="false" ht="15" hidden="false" customHeight="false" outlineLevel="0" collapsed="false">
      <c r="B23" s="87" t="str">
        <f aca="false">'งวดงาน Installments'!A9&amp;""</f>
        <v/>
      </c>
      <c r="C23" s="77" t="str">
        <f aca="false">'งวดงาน Installments'!B9&amp;""</f>
        <v/>
      </c>
      <c r="D23" s="87" t="str">
        <f aca="false">IF('งวดงาน Installments'!D9="","",IF(N('งวดงาน Installments'!D9)=0,"-",DAY('งวดงาน Installments'!D9)&amp;" "&amp;CHOOSE(MONTH('งวดงาน Installments'!D9),"ม.ค.","ก.พ.","มี.ค.","เม.ย.","พ.ค.","มิ.ย.","ก.ค.","ส.ค.","ก.ย.","ต.ค.","พ.ย.","ธ.ค.")&amp;" "&amp;RIGHT(YEAR('งวดงาน Installments'!D9)+543,2)))</f>
        <v/>
      </c>
      <c r="E23" s="125" t="str">
        <f aca="false">IF('งวดงาน Installments'!E9="","",'งวดงาน Installments'!E9)</f>
        <v/>
      </c>
      <c r="F23" s="125"/>
      <c r="G23" s="87" t="str">
        <f aca="false">'งวดงาน Installments'!J9&amp;""</f>
        <v/>
      </c>
      <c r="H23" s="126" t="str">
        <f aca="false">'งวดงาน Installments'!K9&amp;""</f>
        <v/>
      </c>
      <c r="I23" s="126"/>
      <c r="J23" s="127" t="str">
        <f aca="false">IF('งวดงาน Installments'!L9="","",'งวดงาน Installments'!L9)</f>
        <v/>
      </c>
    </row>
    <row r="24" customFormat="false" ht="15" hidden="false" customHeight="false" outlineLevel="0" collapsed="false">
      <c r="B24" s="87" t="str">
        <f aca="false">'งวดงาน Installments'!A10&amp;""</f>
        <v/>
      </c>
      <c r="C24" s="77" t="str">
        <f aca="false">'งวดงาน Installments'!B10&amp;""</f>
        <v/>
      </c>
      <c r="D24" s="87" t="str">
        <f aca="false">IF('งวดงาน Installments'!D10="","",IF(N('งวดงาน Installments'!D10)=0,"-",DAY('งวดงาน Installments'!D10)&amp;" "&amp;CHOOSE(MONTH('งวดงาน Installments'!D10),"ม.ค.","ก.พ.","มี.ค.","เม.ย.","พ.ค.","มิ.ย.","ก.ค.","ส.ค.","ก.ย.","ต.ค.","พ.ย.","ธ.ค.")&amp;" "&amp;RIGHT(YEAR('งวดงาน Installments'!D10)+543,2)))</f>
        <v/>
      </c>
      <c r="E24" s="125" t="str">
        <f aca="false">IF('งวดงาน Installments'!E10="","",'งวดงาน Installments'!E10)</f>
        <v/>
      </c>
      <c r="F24" s="125"/>
      <c r="G24" s="87" t="str">
        <f aca="false">'งวดงาน Installments'!J10&amp;""</f>
        <v/>
      </c>
      <c r="H24" s="126" t="str">
        <f aca="false">'งวดงาน Installments'!K10&amp;""</f>
        <v/>
      </c>
      <c r="I24" s="126"/>
      <c r="J24" s="127" t="str">
        <f aca="false">IF('งวดงาน Installments'!L10="","",'งวดงาน Installments'!L10)</f>
        <v/>
      </c>
    </row>
    <row r="25" customFormat="false" ht="15" hidden="false" customHeight="false" outlineLevel="0" collapsed="false">
      <c r="B25" s="87" t="str">
        <f aca="false">'งวดงาน Installments'!A11&amp;""</f>
        <v/>
      </c>
      <c r="C25" s="77" t="str">
        <f aca="false">'งวดงาน Installments'!B11&amp;""</f>
        <v/>
      </c>
      <c r="D25" s="87" t="str">
        <f aca="false">IF('งวดงาน Installments'!D11="","",IF(N('งวดงาน Installments'!D11)=0,"-",DAY('งวดงาน Installments'!D11)&amp;" "&amp;CHOOSE(MONTH('งวดงาน Installments'!D11),"ม.ค.","ก.พ.","มี.ค.","เม.ย.","พ.ค.","มิ.ย.","ก.ค.","ส.ค.","ก.ย.","ต.ค.","พ.ย.","ธ.ค.")&amp;" "&amp;RIGHT(YEAR('งวดงาน Installments'!D11)+543,2)))</f>
        <v/>
      </c>
      <c r="E25" s="125" t="str">
        <f aca="false">IF('งวดงาน Installments'!E11="","",'งวดงาน Installments'!E11)</f>
        <v/>
      </c>
      <c r="F25" s="125"/>
      <c r="G25" s="87" t="str">
        <f aca="false">'งวดงาน Installments'!J11&amp;""</f>
        <v/>
      </c>
      <c r="H25" s="126" t="str">
        <f aca="false">'งวดงาน Installments'!K11&amp;""</f>
        <v/>
      </c>
      <c r="I25" s="126"/>
      <c r="J25" s="127" t="str">
        <f aca="false">IF('งวดงาน Installments'!L11="","",'งวดงาน Installments'!L11)</f>
        <v/>
      </c>
    </row>
    <row r="26" customFormat="false" ht="15" hidden="false" customHeight="false" outlineLevel="0" collapsed="false">
      <c r="B26" s="87" t="str">
        <f aca="false">'งวดงาน Installments'!A12&amp;""</f>
        <v/>
      </c>
      <c r="C26" s="77" t="str">
        <f aca="false">'งวดงาน Installments'!B12&amp;""</f>
        <v/>
      </c>
      <c r="D26" s="87" t="str">
        <f aca="false">IF('งวดงาน Installments'!D12="","",IF(N('งวดงาน Installments'!D12)=0,"-",DAY('งวดงาน Installments'!D12)&amp;" "&amp;CHOOSE(MONTH('งวดงาน Installments'!D12),"ม.ค.","ก.พ.","มี.ค.","เม.ย.","พ.ค.","มิ.ย.","ก.ค.","ส.ค.","ก.ย.","ต.ค.","พ.ย.","ธ.ค.")&amp;" "&amp;RIGHT(YEAR('งวดงาน Installments'!D12)+543,2)))</f>
        <v/>
      </c>
      <c r="E26" s="125" t="str">
        <f aca="false">IF('งวดงาน Installments'!E12="","",'งวดงาน Installments'!E12)</f>
        <v/>
      </c>
      <c r="F26" s="125"/>
      <c r="G26" s="87" t="str">
        <f aca="false">'งวดงาน Installments'!J12&amp;""</f>
        <v/>
      </c>
      <c r="H26" s="126" t="str">
        <f aca="false">'งวดงาน Installments'!K12&amp;""</f>
        <v/>
      </c>
      <c r="I26" s="126"/>
      <c r="J26" s="127" t="str">
        <f aca="false">IF('งวดงาน Installments'!L12="","",'งวดงาน Installments'!L12)</f>
        <v/>
      </c>
    </row>
    <row r="27" customFormat="false" ht="15" hidden="false" customHeight="false" outlineLevel="0" collapsed="false">
      <c r="B27" s="87" t="str">
        <f aca="false">'งวดงาน Installments'!A13&amp;""</f>
        <v/>
      </c>
      <c r="C27" s="77" t="str">
        <f aca="false">'งวดงาน Installments'!B13&amp;""</f>
        <v/>
      </c>
      <c r="D27" s="87" t="str">
        <f aca="false">IF('งวดงาน Installments'!D13="","",IF(N('งวดงาน Installments'!D13)=0,"-",DAY('งวดงาน Installments'!D13)&amp;" "&amp;CHOOSE(MONTH('งวดงาน Installments'!D13),"ม.ค.","ก.พ.","มี.ค.","เม.ย.","พ.ค.","มิ.ย.","ก.ค.","ส.ค.","ก.ย.","ต.ค.","พ.ย.","ธ.ค.")&amp;" "&amp;RIGHT(YEAR('งวดงาน Installments'!D13)+543,2)))</f>
        <v/>
      </c>
      <c r="E27" s="125" t="str">
        <f aca="false">IF('งวดงาน Installments'!E13="","",'งวดงาน Installments'!E13)</f>
        <v/>
      </c>
      <c r="F27" s="125"/>
      <c r="G27" s="87" t="str">
        <f aca="false">'งวดงาน Installments'!J13&amp;""</f>
        <v/>
      </c>
      <c r="H27" s="126" t="str">
        <f aca="false">'งวดงาน Installments'!K13&amp;""</f>
        <v/>
      </c>
      <c r="I27" s="126"/>
      <c r="J27" s="127" t="str">
        <f aca="false">IF('งวดงาน Installments'!L13="","",'งวดงาน Installments'!L13)</f>
        <v/>
      </c>
    </row>
    <row r="28" customFormat="false" ht="15" hidden="false" customHeight="false" outlineLevel="0" collapsed="false">
      <c r="B28" s="87" t="str">
        <f aca="false">'งวดงาน Installments'!A14&amp;""</f>
        <v/>
      </c>
      <c r="C28" s="77" t="str">
        <f aca="false">'งวดงาน Installments'!B14&amp;""</f>
        <v/>
      </c>
      <c r="D28" s="87" t="str">
        <f aca="false">IF('งวดงาน Installments'!D14="","",IF(N('งวดงาน Installments'!D14)=0,"-",DAY('งวดงาน Installments'!D14)&amp;" "&amp;CHOOSE(MONTH('งวดงาน Installments'!D14),"ม.ค.","ก.พ.","มี.ค.","เม.ย.","พ.ค.","มิ.ย.","ก.ค.","ส.ค.","ก.ย.","ต.ค.","พ.ย.","ธ.ค.")&amp;" "&amp;RIGHT(YEAR('งวดงาน Installments'!D14)+543,2)))</f>
        <v/>
      </c>
      <c r="E28" s="125" t="str">
        <f aca="false">IF('งวดงาน Installments'!E14="","",'งวดงาน Installments'!E14)</f>
        <v/>
      </c>
      <c r="F28" s="125"/>
      <c r="G28" s="87" t="str">
        <f aca="false">'งวดงาน Installments'!J14&amp;""</f>
        <v/>
      </c>
      <c r="H28" s="126" t="str">
        <f aca="false">'งวดงาน Installments'!K14&amp;""</f>
        <v/>
      </c>
      <c r="I28" s="126"/>
      <c r="J28" s="127" t="str">
        <f aca="false">IF('งวดงาน Installments'!L14="","",'งวดงาน Installments'!L14)</f>
        <v/>
      </c>
    </row>
    <row r="29" customFormat="false" ht="15" hidden="false" customHeight="false" outlineLevel="0" collapsed="false">
      <c r="B29" s="87" t="str">
        <f aca="false">'งวดงาน Installments'!A15&amp;""</f>
        <v/>
      </c>
      <c r="C29" s="77" t="str">
        <f aca="false">'งวดงาน Installments'!B15&amp;""</f>
        <v/>
      </c>
      <c r="D29" s="87" t="str">
        <f aca="false">IF('งวดงาน Installments'!D15="","",IF(N('งวดงาน Installments'!D15)=0,"-",DAY('งวดงาน Installments'!D15)&amp;" "&amp;CHOOSE(MONTH('งวดงาน Installments'!D15),"ม.ค.","ก.พ.","มี.ค.","เม.ย.","พ.ค.","มิ.ย.","ก.ค.","ส.ค.","ก.ย.","ต.ค.","พ.ย.","ธ.ค.")&amp;" "&amp;RIGHT(YEAR('งวดงาน Installments'!D15)+543,2)))</f>
        <v/>
      </c>
      <c r="E29" s="125" t="str">
        <f aca="false">IF('งวดงาน Installments'!E15="","",'งวดงาน Installments'!E15)</f>
        <v/>
      </c>
      <c r="F29" s="125"/>
      <c r="G29" s="87" t="str">
        <f aca="false">'งวดงาน Installments'!J15&amp;""</f>
        <v/>
      </c>
      <c r="H29" s="126" t="str">
        <f aca="false">'งวดงาน Installments'!K15&amp;""</f>
        <v/>
      </c>
      <c r="I29" s="126"/>
      <c r="J29" s="127" t="str">
        <f aca="false">IF('งวดงาน Installments'!L15="","",'งวดงาน Installments'!L15)</f>
        <v/>
      </c>
    </row>
    <row r="30" customFormat="false" ht="15" hidden="false" customHeight="false" outlineLevel="0" collapsed="false">
      <c r="B30" s="87" t="str">
        <f aca="false">'งวดงาน Installments'!A16&amp;""</f>
        <v/>
      </c>
      <c r="C30" s="77" t="str">
        <f aca="false">'งวดงาน Installments'!B16&amp;""</f>
        <v/>
      </c>
      <c r="D30" s="87" t="str">
        <f aca="false">IF('งวดงาน Installments'!D16="","",IF(N('งวดงาน Installments'!D16)=0,"-",DAY('งวดงาน Installments'!D16)&amp;" "&amp;CHOOSE(MONTH('งวดงาน Installments'!D16),"ม.ค.","ก.พ.","มี.ค.","เม.ย.","พ.ค.","มิ.ย.","ก.ค.","ส.ค.","ก.ย.","ต.ค.","พ.ย.","ธ.ค.")&amp;" "&amp;RIGHT(YEAR('งวดงาน Installments'!D16)+543,2)))</f>
        <v/>
      </c>
      <c r="E30" s="125" t="str">
        <f aca="false">IF('งวดงาน Installments'!E16="","",'งวดงาน Installments'!E16)</f>
        <v/>
      </c>
      <c r="F30" s="125"/>
      <c r="G30" s="87" t="str">
        <f aca="false">'งวดงาน Installments'!J16&amp;""</f>
        <v/>
      </c>
      <c r="H30" s="126" t="str">
        <f aca="false">'งวดงาน Installments'!K16&amp;""</f>
        <v/>
      </c>
      <c r="I30" s="126"/>
      <c r="J30" s="127" t="str">
        <f aca="false">IF('งวดงาน Installments'!L16="","",'งวดงาน Installments'!L16)</f>
        <v/>
      </c>
    </row>
    <row r="31" customFormat="false" ht="15" hidden="false" customHeight="false" outlineLevel="0" collapsed="false">
      <c r="B31" s="128" t="str">
        <f aca="false">IF(COUNTA('งวดงาน Installments'!B7:B26)=0,"(ยังไม่ได้กรอกข้อมูลงวดงาน – กรอกที่ชีต งวดงาน Installments)","")</f>
        <v>(ยังไม่ได้กรอกข้อมูลงวดงาน – กรอกที่ชีต งวดงาน Installments)</v>
      </c>
      <c r="C31" s="128"/>
      <c r="D31" s="128"/>
      <c r="E31" s="128"/>
      <c r="F31" s="128"/>
      <c r="G31" s="128"/>
      <c r="H31" s="128"/>
      <c r="I31" s="128"/>
      <c r="J31" s="128"/>
    </row>
    <row r="33" customFormat="false" ht="19.5" hidden="false" customHeight="true" outlineLevel="0" collapsed="false">
      <c r="B33" s="64" t="s">
        <v>525</v>
      </c>
      <c r="C33" s="64"/>
      <c r="D33" s="64"/>
      <c r="E33" s="64"/>
      <c r="F33" s="64"/>
      <c r="G33" s="64"/>
      <c r="H33" s="64"/>
      <c r="I33" s="64"/>
      <c r="J33" s="64"/>
    </row>
    <row r="34" customFormat="false" ht="15" hidden="false" customHeight="false" outlineLevel="0" collapsed="false">
      <c r="B34" s="129" t="s">
        <v>526</v>
      </c>
      <c r="C34" s="129"/>
      <c r="D34" s="129"/>
      <c r="E34" s="129"/>
      <c r="F34" s="129"/>
      <c r="G34" s="129"/>
      <c r="H34" s="129"/>
      <c r="I34" s="129"/>
      <c r="J34" s="129"/>
    </row>
    <row r="35" customFormat="false" ht="63.75" hidden="false" customHeight="true" outlineLevel="0" collapsed="false">
      <c r="B35" s="130" t="str">
        <f aca="false">IF(INDEX('บันทึกสัปดาห์ Weekly Log'!$K$17:$K$120,'บันทึกสัปดาห์ Weekly Log'!$C$12)="","-",INDEX('บันทึกสัปดาห์ Weekly Log'!$K$17:$K$120,'บันทึกสัปดาห์ Weekly Log'!$C$12))</f>
        <v>-</v>
      </c>
      <c r="C35" s="130"/>
      <c r="D35" s="130"/>
      <c r="E35" s="130"/>
      <c r="F35" s="130"/>
      <c r="G35" s="130"/>
      <c r="H35" s="130"/>
      <c r="I35" s="130"/>
      <c r="J35" s="130"/>
    </row>
    <row r="36" customFormat="false" ht="15" hidden="false" customHeight="false" outlineLevel="0" collapsed="false">
      <c r="B36" s="129" t="str">
        <f aca="false">"3.2 งานที่อยู่ระหว่างดำเนินการ / ต้องดำเนินการภายใน "&amp;'ตั้งค่า Setup'!$C$20&amp;" วัน"</f>
        <v>3.2 งานที่อยู่ระหว่างดำเนินการ / ต้องดำเนินการภายใน 30 วัน</v>
      </c>
      <c r="C36" s="129"/>
      <c r="D36" s="129"/>
      <c r="E36" s="129"/>
      <c r="F36" s="129"/>
      <c r="G36" s="129"/>
      <c r="H36" s="129"/>
      <c r="I36" s="129"/>
      <c r="J36" s="129"/>
    </row>
    <row r="37" customFormat="false" ht="15" hidden="false" customHeight="true" outlineLevel="0" collapsed="false">
      <c r="B37" s="20" t="s">
        <v>430</v>
      </c>
      <c r="C37" s="75" t="s">
        <v>423</v>
      </c>
      <c r="D37" s="20" t="s">
        <v>521</v>
      </c>
      <c r="E37" s="75" t="s">
        <v>527</v>
      </c>
      <c r="F37" s="75"/>
      <c r="G37" s="20" t="s">
        <v>528</v>
      </c>
      <c r="H37" s="20" t="s">
        <v>517</v>
      </c>
      <c r="I37" s="20"/>
      <c r="J37" s="20"/>
    </row>
    <row r="38" customFormat="false" ht="21.6" hidden="false" customHeight="false" outlineLevel="0" collapsed="false">
      <c r="B38" s="87" t="n">
        <f aca="false">IF(L38="","",1)</f>
        <v>1</v>
      </c>
      <c r="C38" s="77" t="str">
        <f aca="false">IF(L38="","",INDEX('แผนงาน Schedule'!$A$7:$A$66,L38)&amp;"  "&amp;INDEX('แผนงาน Schedule'!$C$7:$C$66,L38))</f>
        <v>1.1  งานเตรียมการ ติดตั้งป้ายโครงการ และรื้อถอนระบบเดิม</v>
      </c>
      <c r="D38" s="87" t="str">
        <f aca="false">IF(L38="","",IF(N(INDEX('แผนงาน Schedule'!$AA$7:$AA$66,L38))=0,"-",DAY(INDEX('แผนงาน Schedule'!$AA$7:$AA$66,L38))&amp;" "&amp;CHOOSE(MONTH(INDEX('แผนงาน Schedule'!$AA$7:$AA$66,L38)),"ม.ค.","ก.พ.","มี.ค.","เม.ย.","พ.ค.","มิ.ย.","ก.ค.","ส.ค.","ก.ย.","ต.ค.","พ.ย.","ธ.ค.")&amp;" "&amp;RIGHT(YEAR(INDEX('แผนงาน Schedule'!$AA$7:$AA$66,L38))+543,2)))</f>
        <v>6 มี.ค. 69</v>
      </c>
      <c r="E38" s="90" t="n">
        <f aca="false">IF(L38="","",N(INDEX('แผนงาน Schedule'!$O$7:$O$66,L38)))</f>
        <v>0</v>
      </c>
      <c r="F38" s="90"/>
      <c r="G38" s="87" t="str">
        <f aca="false">IF(L38="","",IF(N(INDEX('แผนงาน Schedule'!$V$7:$V$66,L38))=0,"-",DAY(INDEX('แผนงาน Schedule'!$V$7:$V$66,L38))&amp;" "&amp;CHOOSE(MONTH(INDEX('แผนงาน Schedule'!$V$7:$V$66,L38)),"ม.ค.","ก.พ.","มี.ค.","เม.ย.","พ.ค.","มิ.ย.","ก.ค.","ส.ค.","ก.ย.","ต.ค.","พ.ย.","ธ.ค.")&amp;" "&amp;RIGHT(YEAR(INDEX('แผนงาน Schedule'!$V$7:$V$66,L38))+543,2)))</f>
        <v>13 ต.ค. 69</v>
      </c>
      <c r="H38" s="87" t="str">
        <f aca="false">IF(L38="","",INDEX('แผนงาน Schedule'!$X$7:$X$66,L38))</f>
        <v>เกินกำหนด / Overdue</v>
      </c>
      <c r="I38" s="87"/>
      <c r="J38" s="87"/>
      <c r="L38" s="91" t="n">
        <f aca="false">IFERROR(MATCH(1,'แผนงาน Schedule'!$AD$7:$AD$66,0),"")</f>
        <v>1</v>
      </c>
    </row>
    <row r="39" customFormat="false" ht="21.6" hidden="false" customHeight="false" outlineLevel="0" collapsed="false">
      <c r="B39" s="87" t="n">
        <f aca="false">IF(L39="","",2)</f>
        <v>2</v>
      </c>
      <c r="C39" s="77" t="str">
        <f aca="false">IF(L39="","",INDEX('แผนงาน Schedule'!$A$7:$A$66,L39)&amp;"  "&amp;INDEX('แผนงาน Schedule'!$C$7:$C$66,L39))</f>
        <v>1.2  ก่อสร้างสำนักงานชั่วคราวและจัดเตรียมอุปกรณ์สำนักงาน</v>
      </c>
      <c r="D39" s="87" t="str">
        <f aca="false">IF(L39="","",IF(N(INDEX('แผนงาน Schedule'!$AA$7:$AA$66,L39))=0,"-",DAY(INDEX('แผนงาน Schedule'!$AA$7:$AA$66,L39))&amp;" "&amp;CHOOSE(MONTH(INDEX('แผนงาน Schedule'!$AA$7:$AA$66,L39)),"ม.ค.","ก.พ.","มี.ค.","เม.ย.","พ.ค.","มิ.ย.","ก.ค.","ส.ค.","ก.ย.","ต.ค.","พ.ย.","ธ.ค.")&amp;" "&amp;RIGHT(YEAR(INDEX('แผนงาน Schedule'!$AA$7:$AA$66,L39))+543,2)))</f>
        <v>15 เม.ย. 69</v>
      </c>
      <c r="E39" s="90" t="n">
        <f aca="false">IF(L39="","",N(INDEX('แผนงาน Schedule'!$O$7:$O$66,L39)))</f>
        <v>0</v>
      </c>
      <c r="F39" s="90"/>
      <c r="G39" s="87" t="str">
        <f aca="false">IF(L39="","",IF(N(INDEX('แผนงาน Schedule'!$V$7:$V$66,L39))=0,"-",DAY(INDEX('แผนงาน Schedule'!$V$7:$V$66,L39))&amp;" "&amp;CHOOSE(MONTH(INDEX('แผนงาน Schedule'!$V$7:$V$66,L39)),"ม.ค.","ก.พ.","มี.ค.","เม.ย.","พ.ค.","มิ.ย.","ก.ค.","ส.ค.","ก.ย.","ต.ค.","พ.ย.","ธ.ค.")&amp;" "&amp;RIGHT(YEAR(INDEX('แผนงาน Schedule'!$V$7:$V$66,L39))+543,2)))</f>
        <v>11 พ.ย. 69</v>
      </c>
      <c r="H39" s="87" t="str">
        <f aca="false">IF(L39="","",INDEX('แผนงาน Schedule'!$X$7:$X$66,L39))</f>
        <v>เกินกำหนด / Overdue</v>
      </c>
      <c r="I39" s="87"/>
      <c r="J39" s="87"/>
      <c r="L39" s="91" t="n">
        <f aca="false">IFERROR(MATCH(2,'แผนงาน Schedule'!$AD$7:$AD$66,0),"")</f>
        <v>2</v>
      </c>
    </row>
    <row r="40" customFormat="false" ht="21.6" hidden="false" customHeight="false" outlineLevel="0" collapsed="false">
      <c r="B40" s="87" t="n">
        <f aca="false">IF(L40="","",3)</f>
        <v>3</v>
      </c>
      <c r="C40" s="77" t="str">
        <f aca="false">IF(L40="","",INDEX('แผนงาน Schedule'!$A$7:$A$66,L40)&amp;"  "&amp;INDEX('แผนงาน Schedule'!$C$7:$C$66,L40))</f>
        <v>1.3  งานรื้อถอนโครงสร้างเดิมและเตรียมพื้นที่ติดตั้งใหม่</v>
      </c>
      <c r="D40" s="87" t="str">
        <f aca="false">IF(L40="","",IF(N(INDEX('แผนงาน Schedule'!$AA$7:$AA$66,L40))=0,"-",DAY(INDEX('แผนงาน Schedule'!$AA$7:$AA$66,L40))&amp;" "&amp;CHOOSE(MONTH(INDEX('แผนงาน Schedule'!$AA$7:$AA$66,L40)),"ม.ค.","ก.พ.","มี.ค.","เม.ย.","พ.ค.","มิ.ย.","ก.ค.","ส.ค.","ก.ย.","ต.ค.","พ.ย.","ธ.ค.")&amp;" "&amp;RIGHT(YEAR(INDEX('แผนงาน Schedule'!$AA$7:$AA$66,L40))+543,2)))</f>
        <v>20 เม.ย. 69</v>
      </c>
      <c r="E40" s="90" t="n">
        <f aca="false">IF(L40="","",N(INDEX('แผนงาน Schedule'!$O$7:$O$66,L40)))</f>
        <v>0</v>
      </c>
      <c r="F40" s="90"/>
      <c r="G40" s="87" t="str">
        <f aca="false">IF(L40="","",IF(N(INDEX('แผนงาน Schedule'!$V$7:$V$66,L40))=0,"-",DAY(INDEX('แผนงาน Schedule'!$V$7:$V$66,L40))&amp;" "&amp;CHOOSE(MONTH(INDEX('แผนงาน Schedule'!$V$7:$V$66,L40)),"ม.ค.","ก.พ.","มี.ค.","เม.ย.","พ.ค.","มิ.ย.","ก.ค.","ส.ค.","ก.ย.","ต.ค.","พ.ย.","ธ.ค.")&amp;" "&amp;RIGHT(YEAR(INDEX('แผนงาน Schedule'!$V$7:$V$66,L40))+543,2)))</f>
        <v>7 พ.ย. 69</v>
      </c>
      <c r="H40" s="87" t="str">
        <f aca="false">IF(L40="","",INDEX('แผนงาน Schedule'!$X$7:$X$66,L40))</f>
        <v>เกินกำหนด / Overdue</v>
      </c>
      <c r="I40" s="87"/>
      <c r="J40" s="87"/>
      <c r="L40" s="91" t="n">
        <f aca="false">IFERROR(MATCH(3,'แผนงาน Schedule'!$AD$7:$AD$66,0),"")</f>
        <v>3</v>
      </c>
    </row>
    <row r="41" customFormat="false" ht="15" hidden="false" customHeight="false" outlineLevel="0" collapsed="false">
      <c r="B41" s="87" t="n">
        <f aca="false">IF(L41="","",4)</f>
        <v>4</v>
      </c>
      <c r="C41" s="77" t="str">
        <f aca="false">IF(L41="","",INDEX('แผนงาน Schedule'!$A$7:$A$66,L41)&amp;"  "&amp;INDEX('แผนงาน Schedule'!$C$7:$C$66,L41))</f>
        <v>2.1  งานฐานราก คานคอดิน พื้นชั้น 1 และเสาชั้น 1</v>
      </c>
      <c r="D41" s="87" t="str">
        <f aca="false">IF(L41="","",IF(N(INDEX('แผนงาน Schedule'!$AA$7:$AA$66,L41))=0,"-",DAY(INDEX('แผนงาน Schedule'!$AA$7:$AA$66,L41))&amp;" "&amp;CHOOSE(MONTH(INDEX('แผนงาน Schedule'!$AA$7:$AA$66,L41)),"ม.ค.","ก.พ.","มี.ค.","เม.ย.","พ.ค.","มิ.ย.","ก.ค.","ส.ค.","ก.ย.","ต.ค.","พ.ย.","ธ.ค.")&amp;" "&amp;RIGHT(YEAR(INDEX('แผนงาน Schedule'!$AA$7:$AA$66,L41))+543,2)))</f>
        <v>30 เม.ย. 69</v>
      </c>
      <c r="E41" s="90" t="n">
        <f aca="false">IF(L41="","",N(INDEX('แผนงาน Schedule'!$O$7:$O$66,L41)))</f>
        <v>0</v>
      </c>
      <c r="F41" s="90"/>
      <c r="G41" s="87" t="str">
        <f aca="false">IF(L41="","",IF(N(INDEX('แผนงาน Schedule'!$V$7:$V$66,L41))=0,"-",DAY(INDEX('แผนงาน Schedule'!$V$7:$V$66,L41))&amp;" "&amp;CHOOSE(MONTH(INDEX('แผนงาน Schedule'!$V$7:$V$66,L41)),"ม.ค.","ก.พ.","มี.ค.","เม.ย.","พ.ค.","มิ.ย.","ก.ค.","ส.ค.","ก.ย.","ต.ค.","พ.ย.","ธ.ค.")&amp;" "&amp;RIGHT(YEAR(INDEX('แผนงาน Schedule'!$V$7:$V$66,L41))+543,2)))</f>
        <v>13 พ.ย. 69</v>
      </c>
      <c r="H41" s="87" t="str">
        <f aca="false">IF(L41="","",INDEX('แผนงาน Schedule'!$X$7:$X$66,L41))</f>
        <v>เกินกำหนด / Overdue</v>
      </c>
      <c r="I41" s="87"/>
      <c r="J41" s="87"/>
      <c r="L41" s="91" t="n">
        <f aca="false">IFERROR(MATCH(4,'แผนงาน Schedule'!$AD$7:$AD$66,0),"")</f>
        <v>4</v>
      </c>
    </row>
    <row r="42" customFormat="false" ht="23.85" hidden="false" customHeight="false" outlineLevel="0" collapsed="false">
      <c r="B42" s="87" t="n">
        <f aca="false">IF(L42="","",5)</f>
        <v>5</v>
      </c>
      <c r="C42" s="77" t="str">
        <f aca="false">IF(L42="","",INDEX('แผนงาน Schedule'!$A$7:$A$66,L42)&amp;"  "&amp;INDEX('แผนงาน Schedule'!$C$7:$C$66,L42))</f>
        <v>2.2  งานวาง SLEEVE/เดินท่อฝังในโครงสร้าง และโครงสร้างชั้น 1–2</v>
      </c>
      <c r="D42" s="87" t="str">
        <f aca="false">IF(L42="","",IF(N(INDEX('แผนงาน Schedule'!$AA$7:$AA$66,L42))=0,"-",DAY(INDEX('แผนงาน Schedule'!$AA$7:$AA$66,L42))&amp;" "&amp;CHOOSE(MONTH(INDEX('แผนงาน Schedule'!$AA$7:$AA$66,L42)),"ม.ค.","ก.พ.","มี.ค.","เม.ย.","พ.ค.","มิ.ย.","ก.ค.","ส.ค.","ก.ย.","ต.ค.","พ.ย.","ธ.ค.")&amp;" "&amp;RIGHT(YEAR(INDEX('แผนงาน Schedule'!$AA$7:$AA$66,L42))+543,2)))</f>
        <v>15 พ.ค. 69</v>
      </c>
      <c r="E42" s="90" t="n">
        <f aca="false">IF(L42="","",N(INDEX('แผนงาน Schedule'!$O$7:$O$66,L42)))</f>
        <v>0</v>
      </c>
      <c r="F42" s="90"/>
      <c r="G42" s="87" t="str">
        <f aca="false">IF(L42="","",IF(N(INDEX('แผนงาน Schedule'!$V$7:$V$66,L42))=0,"-",DAY(INDEX('แผนงาน Schedule'!$V$7:$V$66,L42))&amp;" "&amp;CHOOSE(MONTH(INDEX('แผนงาน Schedule'!$V$7:$V$66,L42)),"ม.ค.","ก.พ.","มี.ค.","เม.ย.","พ.ค.","มิ.ย.","ก.ค.","ส.ค.","ก.ย.","ต.ค.","พ.ย.","ธ.ค.")&amp;" "&amp;RIGHT(YEAR(INDEX('แผนงาน Schedule'!$V$7:$V$66,L42))+543,2)))</f>
        <v>28 ต.ค. 69</v>
      </c>
      <c r="H42" s="87" t="str">
        <f aca="false">IF(L42="","",INDEX('แผนงาน Schedule'!$X$7:$X$66,L42))</f>
        <v>เกินกำหนด / Overdue</v>
      </c>
      <c r="I42" s="87"/>
      <c r="J42" s="87"/>
      <c r="L42" s="91" t="n">
        <f aca="false">IFERROR(MATCH(5,'แผนงาน Schedule'!$AD$7:$AD$66,0),"")</f>
        <v>5</v>
      </c>
    </row>
    <row r="43" customFormat="false" ht="23.85" hidden="false" customHeight="false" outlineLevel="0" collapsed="false">
      <c r="B43" s="87" t="n">
        <f aca="false">IF(L43="","",6)</f>
        <v>6</v>
      </c>
      <c r="C43" s="77" t="str">
        <f aca="false">IF(L43="","",INDEX('แผนงาน Schedule'!$A$7:$A$66,L43)&amp;"  "&amp;INDEX('แผนงาน Schedule'!$C$7:$C$66,L43))</f>
        <v>2.3  งานคานและพื้นชั้น 2 พร้อมวาง SLEEVE ชั้น 2</v>
      </c>
      <c r="D43" s="87" t="str">
        <f aca="false">IF(L43="","",IF(N(INDEX('แผนงาน Schedule'!$AA$7:$AA$66,L43))=0,"-",DAY(INDEX('แผนงาน Schedule'!$AA$7:$AA$66,L43))&amp;" "&amp;CHOOSE(MONTH(INDEX('แผนงาน Schedule'!$AA$7:$AA$66,L43)),"ม.ค.","ก.พ.","มี.ค.","เม.ย.","พ.ค.","มิ.ย.","ก.ค.","ส.ค.","ก.ย.","ต.ค.","พ.ย.","ธ.ค.")&amp;" "&amp;RIGHT(YEAR(INDEX('แผนงาน Schedule'!$AA$7:$AA$66,L43))+543,2)))</f>
        <v>5 มิ.ย. 69</v>
      </c>
      <c r="E43" s="90" t="n">
        <f aca="false">IF(L43="","",N(INDEX('แผนงาน Schedule'!$O$7:$O$66,L43)))</f>
        <v>0</v>
      </c>
      <c r="F43" s="90"/>
      <c r="G43" s="87" t="str">
        <f aca="false">IF(L43="","",IF(N(INDEX('แผนงาน Schedule'!$V$7:$V$66,L43))=0,"-",DAY(INDEX('แผนงาน Schedule'!$V$7:$V$66,L43))&amp;" "&amp;CHOOSE(MONTH(INDEX('แผนงาน Schedule'!$V$7:$V$66,L43)),"ม.ค.","ก.พ.","มี.ค.","เม.ย.","พ.ค.","มิ.ย.","ก.ค.","ส.ค.","ก.ย.","ต.ค.","พ.ย.","ธ.ค.")&amp;" "&amp;RIGHT(YEAR(INDEX('แผนงาน Schedule'!$V$7:$V$66,L43))+543,2)))</f>
        <v>23 ต.ค. 69</v>
      </c>
      <c r="H43" s="87" t="str">
        <f aca="false">IF(L43="","",INDEX('แผนงาน Schedule'!$X$7:$X$66,L43))</f>
        <v>เกินกำหนด / Overdue</v>
      </c>
      <c r="I43" s="87"/>
      <c r="J43" s="87"/>
      <c r="L43" s="91" t="n">
        <f aca="false">IFERROR(MATCH(6,'แผนงาน Schedule'!$AD$7:$AD$66,0),"")</f>
        <v>6</v>
      </c>
    </row>
    <row r="44" customFormat="false" ht="15" hidden="false" customHeight="false" outlineLevel="0" collapsed="false">
      <c r="B44" s="87" t="n">
        <f aca="false">IF(L44="","",7)</f>
        <v>7</v>
      </c>
      <c r="C44" s="77" t="str">
        <f aca="false">IF(L44="","",INDEX('แผนงาน Schedule'!$A$7:$A$66,L44)&amp;"  "&amp;INDEX('แผนงาน Schedule'!$C$7:$C$66,L44))</f>
        <v>2.4  งานโครงสร้างหลังคาและมุงหลังคา</v>
      </c>
      <c r="D44" s="87" t="str">
        <f aca="false">IF(L44="","",IF(N(INDEX('แผนงาน Schedule'!$AA$7:$AA$66,L44))=0,"-",DAY(INDEX('แผนงาน Schedule'!$AA$7:$AA$66,L44))&amp;" "&amp;CHOOSE(MONTH(INDEX('แผนงาน Schedule'!$AA$7:$AA$66,L44)),"ม.ค.","ก.พ.","มี.ค.","เม.ย.","พ.ค.","มิ.ย.","ก.ค.","ส.ค.","ก.ย.","ต.ค.","พ.ย.","ธ.ค.")&amp;" "&amp;RIGHT(YEAR(INDEX('แผนงาน Schedule'!$AA$7:$AA$66,L44))+543,2)))</f>
        <v>25 มิ.ย. 69</v>
      </c>
      <c r="E44" s="90" t="n">
        <f aca="false">IF(L44="","",N(INDEX('แผนงาน Schedule'!$O$7:$O$66,L44)))</f>
        <v>0</v>
      </c>
      <c r="F44" s="90"/>
      <c r="G44" s="87" t="str">
        <f aca="false">IF(L44="","",IF(N(INDEX('แผนงาน Schedule'!$V$7:$V$66,L44))=0,"-",DAY(INDEX('แผนงาน Schedule'!$V$7:$V$66,L44))&amp;" "&amp;CHOOSE(MONTH(INDEX('แผนงาน Schedule'!$V$7:$V$66,L44)),"ม.ค.","ก.พ.","มี.ค.","เม.ย.","พ.ค.","มิ.ย.","ก.ค.","ส.ค.","ก.ย.","ต.ค.","พ.ย.","ธ.ค.")&amp;" "&amp;RIGHT(YEAR(INDEX('แผนงาน Schedule'!$V$7:$V$66,L44))+543,2)))</f>
        <v>22 ต.ค. 69</v>
      </c>
      <c r="H44" s="87" t="str">
        <f aca="false">IF(L44="","",INDEX('แผนงาน Schedule'!$X$7:$X$66,L44))</f>
        <v>เกินกำหนด / Overdue</v>
      </c>
      <c r="I44" s="87"/>
      <c r="J44" s="87"/>
      <c r="L44" s="91" t="n">
        <f aca="false">IFERROR(MATCH(7,'แผนงาน Schedule'!$AD$7:$AD$66,0),"")</f>
        <v>7</v>
      </c>
    </row>
    <row r="45" customFormat="false" ht="21.6" hidden="false" customHeight="false" outlineLevel="0" collapsed="false">
      <c r="B45" s="87" t="n">
        <f aca="false">IF(L45="","",8)</f>
        <v>8</v>
      </c>
      <c r="C45" s="77" t="str">
        <f aca="false">IF(L45="","",INDEX('แผนงาน Schedule'!$A$7:$A$66,L45)&amp;"  "&amp;INDEX('แผนงาน Schedule'!$C$7:$C$66,L45))</f>
        <v>3.1  งานผนัง/โครงเคร่า ติดตั้งฉนวน PU Foam และรางน้ำ</v>
      </c>
      <c r="D45" s="87" t="str">
        <f aca="false">IF(L45="","",IF(N(INDEX('แผนงาน Schedule'!$AA$7:$AA$66,L45))=0,"-",DAY(INDEX('แผนงาน Schedule'!$AA$7:$AA$66,L45))&amp;" "&amp;CHOOSE(MONTH(INDEX('แผนงาน Schedule'!$AA$7:$AA$66,L45)),"ม.ค.","ก.พ.","มี.ค.","เม.ย.","พ.ค.","มิ.ย.","ก.ค.","ส.ค.","ก.ย.","ต.ค.","พ.ย.","ธ.ค.")&amp;" "&amp;RIGHT(YEAR(INDEX('แผนงาน Schedule'!$AA$7:$AA$66,L45))+543,2)))</f>
        <v>15 ก.ค. 69</v>
      </c>
      <c r="E45" s="90" t="n">
        <f aca="false">IF(L45="","",N(INDEX('แผนงาน Schedule'!$O$7:$O$66,L45)))</f>
        <v>0</v>
      </c>
      <c r="F45" s="90"/>
      <c r="G45" s="87" t="str">
        <f aca="false">IF(L45="","",IF(N(INDEX('แผนงาน Schedule'!$V$7:$V$66,L45))=0,"-",DAY(INDEX('แผนงาน Schedule'!$V$7:$V$66,L45))&amp;" "&amp;CHOOSE(MONTH(INDEX('แผนงาน Schedule'!$V$7:$V$66,L45)),"ม.ค.","ก.พ.","มี.ค.","เม.ย.","พ.ค.","มิ.ย.","ก.ค.","ส.ค.","ก.ย.","ต.ค.","พ.ย.","ธ.ค.")&amp;" "&amp;RIGHT(YEAR(INDEX('แผนงาน Schedule'!$V$7:$V$66,L45))+543,2)))</f>
        <v>28 ต.ค. 69</v>
      </c>
      <c r="H45" s="87" t="str">
        <f aca="false">IF(L45="","",INDEX('แผนงาน Schedule'!$X$7:$X$66,L45))</f>
        <v>เกินกำหนด / Overdue</v>
      </c>
      <c r="I45" s="87"/>
      <c r="J45" s="87"/>
      <c r="L45" s="91" t="n">
        <f aca="false">IFERROR(MATCH(8,'แผนงาน Schedule'!$AD$7:$AD$66,0),"")</f>
        <v>8</v>
      </c>
    </row>
    <row r="46" customFormat="false" ht="15" hidden="false" customHeight="false" outlineLevel="0" collapsed="false">
      <c r="B46" s="129" t="s">
        <v>529</v>
      </c>
      <c r="C46" s="129"/>
      <c r="D46" s="129"/>
      <c r="E46" s="129"/>
      <c r="F46" s="129"/>
      <c r="G46" s="129"/>
      <c r="H46" s="129"/>
      <c r="I46" s="129"/>
      <c r="J46" s="129"/>
    </row>
    <row r="47" customFormat="false" ht="51.75" hidden="false" customHeight="true" outlineLevel="0" collapsed="false">
      <c r="B47" s="130" t="str">
        <f aca="false">IF(INDEX('บันทึกสัปดาห์ Weekly Log'!$L$17:$L$120,'บันทึกสัปดาห์ Weekly Log'!$C$12)="","-",INDEX('บันทึกสัปดาห์ Weekly Log'!$L$17:$L$120,'บันทึกสัปดาห์ Weekly Log'!$C$12))</f>
        <v>-</v>
      </c>
      <c r="C47" s="130"/>
      <c r="D47" s="130"/>
      <c r="E47" s="130"/>
      <c r="F47" s="130"/>
      <c r="G47" s="130"/>
      <c r="H47" s="130"/>
      <c r="I47" s="130"/>
      <c r="J47" s="130"/>
    </row>
    <row r="49" customFormat="false" ht="19.5" hidden="false" customHeight="true" outlineLevel="0" collapsed="false">
      <c r="B49" s="64" t="s">
        <v>530</v>
      </c>
      <c r="C49" s="64"/>
      <c r="D49" s="64"/>
      <c r="E49" s="64"/>
      <c r="F49" s="64"/>
      <c r="G49" s="64"/>
      <c r="H49" s="64"/>
      <c r="I49" s="64"/>
      <c r="J49" s="64"/>
    </row>
    <row r="50" customFormat="false" ht="18" hidden="false" customHeight="true" outlineLevel="0" collapsed="false">
      <c r="B50" s="21" t="s">
        <v>531</v>
      </c>
      <c r="C50" s="21"/>
      <c r="D50" s="131" t="str">
        <f aca="false">IF(INDEX('บันทึกสัปดาห์ Weekly Log'!$H$17:$H$120,'บันทึกสัปดาห์ Weekly Log'!$C$12)="","-",INDEX('บันทึกสัปดาห์ Weekly Log'!$H$17:$H$120,'บันทึกสัปดาห์ Weekly Log'!$C$12)&amp;" คน/วัน")</f>
        <v>-</v>
      </c>
      <c r="E50" s="131"/>
      <c r="F50" s="131"/>
      <c r="G50" s="131"/>
      <c r="H50" s="131"/>
      <c r="I50" s="131"/>
      <c r="J50" s="131"/>
    </row>
    <row r="51" customFormat="false" ht="18" hidden="false" customHeight="true" outlineLevel="0" collapsed="false">
      <c r="B51" s="21" t="s">
        <v>532</v>
      </c>
      <c r="C51" s="21"/>
      <c r="D51" s="131" t="str">
        <f aca="false">IF(INDEX('บันทึกสัปดาห์ Weekly Log'!$I$17:$I$120,'บันทึกสัปดาห์ Weekly Log'!$C$12)="","-",INDEX('บันทึกสัปดาห์ Weekly Log'!$I$17:$I$120,'บันทึกสัปดาห์ Weekly Log'!$C$12))</f>
        <v>-</v>
      </c>
      <c r="E51" s="131"/>
      <c r="F51" s="131"/>
      <c r="G51" s="131"/>
      <c r="H51" s="131"/>
      <c r="I51" s="131"/>
      <c r="J51" s="131"/>
    </row>
    <row r="52" customFormat="false" ht="18" hidden="false" customHeight="true" outlineLevel="0" collapsed="false">
      <c r="B52" s="21" t="s">
        <v>533</v>
      </c>
      <c r="C52" s="21"/>
      <c r="D52" s="131" t="str">
        <f aca="false">IF(INDEX('บันทึกสัปดาห์ Weekly Log'!$J$17:$J$120,'บันทึกสัปดาห์ Weekly Log'!$C$12)="","-",INDEX('บันทึกสัปดาห์ Weekly Log'!$J$17:$J$120,'บันทึกสัปดาห์ Weekly Log'!$C$12))</f>
        <v>-</v>
      </c>
      <c r="E52" s="131"/>
      <c r="F52" s="131"/>
      <c r="G52" s="131"/>
      <c r="H52" s="131"/>
      <c r="I52" s="131"/>
      <c r="J52" s="131"/>
    </row>
    <row r="53" customFormat="false" ht="30" hidden="false" customHeight="true" outlineLevel="0" collapsed="false">
      <c r="B53" s="21" t="s">
        <v>534</v>
      </c>
      <c r="C53" s="21"/>
      <c r="D53" s="131" t="str">
        <f aca="false">IF(INDEX('บันทึกสัปดาห์ Weekly Log'!$M$17:$M$120,'บันทึกสัปดาห์ Weekly Log'!$C$12)="","-",INDEX('บันทึกสัปดาห์ Weekly Log'!$M$17:$M$120,'บันทึกสัปดาห์ Weekly Log'!$C$12))</f>
        <v>-</v>
      </c>
      <c r="E53" s="131"/>
      <c r="F53" s="131"/>
      <c r="G53" s="131"/>
      <c r="H53" s="131"/>
      <c r="I53" s="131"/>
      <c r="J53" s="131"/>
    </row>
    <row r="55" customFormat="false" ht="19.5" hidden="false" customHeight="true" outlineLevel="0" collapsed="false">
      <c r="B55" s="64" t="s">
        <v>535</v>
      </c>
      <c r="C55" s="64"/>
      <c r="D55" s="64"/>
      <c r="E55" s="64"/>
      <c r="F55" s="64"/>
      <c r="G55" s="64"/>
      <c r="H55" s="64"/>
      <c r="I55" s="64"/>
      <c r="J55" s="64"/>
    </row>
    <row r="56" customFormat="false" ht="45.75" hidden="false" customHeight="true" outlineLevel="0" collapsed="false">
      <c r="B56" s="130" t="str">
        <f aca="false">IF(INDEX('บันทึกสัปดาห์ Weekly Log'!$N$17:$N$120,'บันทึกสัปดาห์ Weekly Log'!$C$12)="","-",INDEX('บันทึกสัปดาห์ Weekly Log'!$N$17:$N$120,'บันทึกสัปดาห์ Weekly Log'!$C$12))</f>
        <v>-</v>
      </c>
      <c r="C56" s="130"/>
      <c r="D56" s="130"/>
      <c r="E56" s="130"/>
      <c r="F56" s="130"/>
      <c r="G56" s="130"/>
      <c r="H56" s="130"/>
      <c r="I56" s="130"/>
      <c r="J56" s="130"/>
    </row>
    <row r="57" customFormat="false" ht="18" hidden="false" customHeight="true" outlineLevel="0" collapsed="false">
      <c r="B57" s="132" t="str">
        <f aca="false">"การขอขยายเวลา: ขอรวม "&amp;Dashboard!C49&amp;" วัน • อนุมัติแล้ว "&amp;Dashboard!C50&amp;" วัน • รอพิจารณา "&amp;Dashboard!C51&amp;" วัน • วันสิ้นสุดสัญญาปัจจุบัน "&amp;IF(N('ตั้งค่า Setup'!$C$14)=0,"-",DAY('ตั้งค่า Setup'!$C$14)&amp;" "&amp;CHOOSE(MONTH('ตั้งค่า Setup'!$C$14)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"&amp;(YEAR('ตั้งค่า Setup'!$C$14)+543))</f>
        <v>การขอขยายเวลา: ขอรวม 0 วัน • อนุมัติแล้ว 0 วัน • รอพิจารณา 0 วัน • วันสิ้นสุดสัญญาปัจจุบัน 16 พฤศจิกายน 2569</v>
      </c>
      <c r="C57" s="132"/>
      <c r="D57" s="132"/>
      <c r="E57" s="132"/>
      <c r="F57" s="132"/>
      <c r="G57" s="132"/>
      <c r="H57" s="132"/>
      <c r="I57" s="132"/>
      <c r="J57" s="132"/>
    </row>
    <row r="58" customFormat="false" ht="18" hidden="false" customHeight="true" outlineLevel="0" collapsed="false">
      <c r="B58" s="132" t="str">
        <f aca="false">"ค่าปรับ: "&amp;IF(Dashboard!C54&gt;0,"เกิดขึ้นแล้ว "&amp;TEXT(Dashboard!C54,"#,##0")&amp;" บาท • ","")&amp;Dashboard!C57</f>
        <v>ค่าปรับ: ⚠ เกินเกณฑ์ 10% – ความเสี่ยงถูกบอกเลิกสัญญา</v>
      </c>
      <c r="C58" s="132"/>
      <c r="D58" s="132"/>
      <c r="E58" s="132"/>
      <c r="F58" s="132"/>
      <c r="G58" s="132"/>
      <c r="H58" s="132"/>
      <c r="I58" s="132"/>
      <c r="J58" s="132"/>
    </row>
    <row r="60" customFormat="false" ht="19.5" hidden="false" customHeight="true" outlineLevel="0" collapsed="false">
      <c r="B60" s="64" t="s">
        <v>536</v>
      </c>
      <c r="C60" s="64"/>
      <c r="D60" s="64"/>
      <c r="E60" s="64"/>
      <c r="F60" s="64"/>
      <c r="G60" s="64"/>
      <c r="H60" s="64"/>
      <c r="I60" s="64"/>
      <c r="J60" s="64"/>
    </row>
    <row r="61" customFormat="false" ht="51.75" hidden="false" customHeight="true" outlineLevel="0" collapsed="false">
      <c r="B61" s="130" t="str">
        <f aca="false">IF(INDEX('บันทึกสัปดาห์ Weekly Log'!$O$17:$O$120,'บันทึกสัปดาห์ Weekly Log'!$C$12)="","-",INDEX('บันทึกสัปดาห์ Weekly Log'!$O$17:$O$120,'บันทึกสัปดาห์ Weekly Log'!$C$12))</f>
        <v>-</v>
      </c>
      <c r="C61" s="130"/>
      <c r="D61" s="130"/>
      <c r="E61" s="130"/>
      <c r="F61" s="130"/>
      <c r="G61" s="130"/>
      <c r="H61" s="130"/>
      <c r="I61" s="130"/>
      <c r="J61" s="130"/>
    </row>
    <row r="63" customFormat="false" ht="15" hidden="false" customHeight="false" outlineLevel="0" collapsed="false">
      <c r="B63" s="133" t="s">
        <v>537</v>
      </c>
      <c r="C63" s="133"/>
      <c r="D63" s="133"/>
      <c r="E63" s="133"/>
      <c r="F63" s="133"/>
      <c r="G63" s="133"/>
      <c r="H63" s="133"/>
      <c r="I63" s="133"/>
      <c r="J63" s="133"/>
    </row>
    <row r="65" customFormat="false" ht="15" hidden="false" customHeight="true" outlineLevel="0" collapsed="false">
      <c r="G65" s="134" t="s">
        <v>538</v>
      </c>
      <c r="H65" s="134"/>
      <c r="I65" s="134"/>
      <c r="J65" s="134"/>
    </row>
    <row r="66" customFormat="false" ht="15" hidden="false" customHeight="false" outlineLevel="0" collapsed="false">
      <c r="G66" s="134" t="str">
        <f aca="false">"("&amp;IF('บันทึกสัปดาห์ Weekly Log'!C7="","..........................................",'บันทึกสัปดาห์ Weekly Log'!C7)&amp;")"</f>
        <v>(..........................................)</v>
      </c>
      <c r="H66" s="134"/>
      <c r="I66" s="134"/>
      <c r="J66" s="134"/>
    </row>
    <row r="67" customFormat="false" ht="15" hidden="false" customHeight="false" outlineLevel="0" collapsed="false">
      <c r="G67" s="134" t="str">
        <f aca="false">"ตำแหน่ง "&amp;'บันทึกสัปดาห์ Weekly Log'!C8</f>
        <v>ตำแหน่ง ผู้ควบคุมงาน</v>
      </c>
      <c r="H67" s="134"/>
      <c r="I67" s="134"/>
      <c r="J67" s="134"/>
    </row>
    <row r="68" customFormat="false" ht="15" hidden="false" customHeight="true" outlineLevel="0" collapsed="false">
      <c r="G68" s="135" t="s">
        <v>478</v>
      </c>
      <c r="H68" s="135"/>
      <c r="I68" s="135"/>
      <c r="J68" s="135"/>
    </row>
    <row r="71" customFormat="false" ht="19.5" hidden="false" customHeight="true" outlineLevel="0" collapsed="false">
      <c r="B71" s="64" t="s">
        <v>539</v>
      </c>
      <c r="C71" s="64"/>
      <c r="D71" s="64"/>
      <c r="E71" s="64"/>
      <c r="F71" s="64"/>
      <c r="G71" s="64"/>
      <c r="H71" s="64"/>
      <c r="I71" s="64"/>
      <c r="J71" s="64"/>
    </row>
    <row r="72" customFormat="false" ht="21.75" hidden="false" customHeight="true" outlineLevel="0" collapsed="false">
      <c r="B72" s="136" t="s">
        <v>540</v>
      </c>
      <c r="C72" s="136"/>
      <c r="D72" s="136"/>
      <c r="E72" s="136"/>
      <c r="F72" s="136"/>
      <c r="G72" s="136"/>
      <c r="H72" s="136"/>
      <c r="I72" s="136"/>
      <c r="J72" s="136"/>
    </row>
    <row r="73" customFormat="false" ht="21.75" hidden="false" customHeight="true" outlineLevel="0" collapsed="false">
      <c r="B73" s="136"/>
      <c r="C73" s="136"/>
      <c r="D73" s="136"/>
      <c r="E73" s="136"/>
      <c r="F73" s="136"/>
      <c r="G73" s="136"/>
      <c r="H73" s="136"/>
      <c r="I73" s="136"/>
      <c r="J73" s="136"/>
    </row>
    <row r="74" customFormat="false" ht="21.75" hidden="false" customHeight="true" outlineLevel="0" collapsed="false">
      <c r="B74" s="136"/>
      <c r="C74" s="136"/>
      <c r="D74" s="136"/>
      <c r="E74" s="136"/>
      <c r="F74" s="136"/>
      <c r="G74" s="136"/>
      <c r="H74" s="136"/>
      <c r="I74" s="136"/>
      <c r="J74" s="136"/>
    </row>
    <row r="76" customFormat="false" ht="15" hidden="false" customHeight="true" outlineLevel="0" collapsed="false">
      <c r="B76" s="137" t="s">
        <v>541</v>
      </c>
      <c r="C76" s="137"/>
      <c r="D76" s="137"/>
      <c r="E76" s="137" t="s">
        <v>541</v>
      </c>
      <c r="F76" s="137"/>
      <c r="G76" s="137"/>
      <c r="H76" s="137" t="s">
        <v>541</v>
      </c>
      <c r="I76" s="137"/>
      <c r="J76" s="137"/>
    </row>
    <row r="77" customFormat="false" ht="15" hidden="false" customHeight="false" outlineLevel="0" collapsed="false">
      <c r="B77" s="137" t="str">
        <f aca="false">"("&amp;IF('บันทึกสัปดาห์ Weekly Log'!C9="",".............................",'บันทึกสัปดาห์ Weekly Log'!C9)&amp;")"</f>
        <v>(.............................)</v>
      </c>
      <c r="C77" s="137"/>
      <c r="D77" s="137"/>
      <c r="E77" s="137" t="str">
        <f aca="false">"("&amp;IF('บันทึกสัปดาห์ Weekly Log'!C10="",".............................",'บันทึกสัปดาห์ Weekly Log'!C10)&amp;")"</f>
        <v>(.............................)</v>
      </c>
      <c r="F77" s="137"/>
      <c r="G77" s="137"/>
      <c r="H77" s="137" t="str">
        <f aca="false">"("&amp;IF('บันทึกสัปดาห์ Weekly Log'!C11="",".............................",'บันทึกสัปดาห์ Weekly Log'!C11)&amp;")"</f>
        <v>(.............................)</v>
      </c>
      <c r="I77" s="137"/>
      <c r="J77" s="137"/>
    </row>
    <row r="78" customFormat="false" ht="15" hidden="false" customHeight="true" outlineLevel="0" collapsed="false">
      <c r="B78" s="138" t="s">
        <v>542</v>
      </c>
      <c r="C78" s="138"/>
      <c r="D78" s="138"/>
      <c r="E78" s="138" t="s">
        <v>543</v>
      </c>
      <c r="F78" s="138"/>
      <c r="G78" s="138"/>
      <c r="H78" s="138" t="s">
        <v>543</v>
      </c>
      <c r="I78" s="138"/>
      <c r="J78" s="138"/>
    </row>
    <row r="79" customFormat="false" ht="15" hidden="false" customHeight="true" outlineLevel="0" collapsed="false">
      <c r="B79" s="137" t="s">
        <v>544</v>
      </c>
      <c r="C79" s="137"/>
      <c r="D79" s="137"/>
      <c r="E79" s="137" t="s">
        <v>544</v>
      </c>
      <c r="F79" s="137"/>
      <c r="G79" s="137"/>
      <c r="H79" s="137" t="s">
        <v>544</v>
      </c>
      <c r="I79" s="137"/>
      <c r="J79" s="137"/>
    </row>
    <row r="82" customFormat="false" ht="25.5" hidden="false" customHeight="true" outlineLevel="0" collapsed="false">
      <c r="B82" s="139" t="str">
        <f aca="false">"ภาพถ่ายประกอบรายงาน ประจำสัปดาห์ที่ "&amp;'บันทึกสัปดาห์ Weekly Log'!$C$12</f>
        <v>ภาพถ่ายประกอบรายงาน ประจำสัปดาห์ที่ 31</v>
      </c>
      <c r="C82" s="139"/>
      <c r="D82" s="139"/>
      <c r="E82" s="139"/>
      <c r="F82" s="139"/>
      <c r="G82" s="139"/>
      <c r="H82" s="139"/>
      <c r="I82" s="139"/>
      <c r="J82" s="139"/>
    </row>
    <row r="83" customFormat="false" ht="15" hidden="false" customHeight="true" outlineLevel="0" collapsed="false">
      <c r="B83" s="140" t="s">
        <v>545</v>
      </c>
      <c r="C83" s="140"/>
      <c r="D83" s="140"/>
      <c r="E83" s="140"/>
      <c r="F83" s="140"/>
      <c r="G83" s="140"/>
      <c r="H83" s="140"/>
      <c r="I83" s="140"/>
      <c r="J83" s="140"/>
    </row>
    <row r="85" customFormat="false" ht="15.75" hidden="false" customHeight="true" outlineLevel="0" collapsed="false">
      <c r="B85" s="141" t="s">
        <v>546</v>
      </c>
      <c r="C85" s="141"/>
      <c r="D85" s="141"/>
      <c r="E85" s="141"/>
      <c r="F85" s="141" t="s">
        <v>547</v>
      </c>
      <c r="G85" s="141"/>
      <c r="H85" s="141"/>
      <c r="I85" s="141"/>
      <c r="J85" s="141"/>
    </row>
    <row r="86" customFormat="false" ht="15.75" hidden="false" customHeight="true" outlineLevel="0" collapsed="false">
      <c r="B86" s="141"/>
      <c r="C86" s="141"/>
      <c r="D86" s="141"/>
      <c r="E86" s="141"/>
      <c r="F86" s="141"/>
      <c r="G86" s="141"/>
      <c r="H86" s="141"/>
      <c r="I86" s="141"/>
      <c r="J86" s="141"/>
    </row>
    <row r="87" customFormat="false" ht="15.75" hidden="false" customHeight="true" outlineLevel="0" collapsed="false">
      <c r="B87" s="141"/>
      <c r="C87" s="141"/>
      <c r="D87" s="141"/>
      <c r="E87" s="141"/>
      <c r="F87" s="141"/>
      <c r="G87" s="141"/>
      <c r="H87" s="141"/>
      <c r="I87" s="141"/>
      <c r="J87" s="141"/>
    </row>
    <row r="88" customFormat="false" ht="15.75" hidden="false" customHeight="true" outlineLevel="0" collapsed="false">
      <c r="B88" s="141"/>
      <c r="C88" s="141"/>
      <c r="D88" s="141"/>
      <c r="E88" s="141"/>
      <c r="F88" s="141"/>
      <c r="G88" s="141"/>
      <c r="H88" s="141"/>
      <c r="I88" s="141"/>
      <c r="J88" s="141"/>
    </row>
    <row r="89" customFormat="false" ht="15.75" hidden="false" customHeight="true" outlineLevel="0" collapsed="false">
      <c r="B89" s="141"/>
      <c r="C89" s="141"/>
      <c r="D89" s="141"/>
      <c r="E89" s="141"/>
      <c r="F89" s="141"/>
      <c r="G89" s="141"/>
      <c r="H89" s="141"/>
      <c r="I89" s="141"/>
      <c r="J89" s="141"/>
    </row>
    <row r="90" customFormat="false" ht="15.75" hidden="false" customHeight="true" outlineLevel="0" collapsed="false">
      <c r="B90" s="141"/>
      <c r="C90" s="141"/>
      <c r="D90" s="141"/>
      <c r="E90" s="141"/>
      <c r="F90" s="141"/>
      <c r="G90" s="141"/>
      <c r="H90" s="141"/>
      <c r="I90" s="141"/>
      <c r="J90" s="141"/>
    </row>
    <row r="91" customFormat="false" ht="15.75" hidden="false" customHeight="true" outlineLevel="0" collapsed="false">
      <c r="B91" s="141"/>
      <c r="C91" s="141"/>
      <c r="D91" s="141"/>
      <c r="E91" s="141"/>
      <c r="F91" s="141"/>
      <c r="G91" s="141"/>
      <c r="H91" s="141"/>
      <c r="I91" s="141"/>
      <c r="J91" s="141"/>
    </row>
    <row r="92" customFormat="false" ht="15.75" hidden="false" customHeight="true" outlineLevel="0" collapsed="false">
      <c r="B92" s="141"/>
      <c r="C92" s="141"/>
      <c r="D92" s="141"/>
      <c r="E92" s="141"/>
      <c r="F92" s="141"/>
      <c r="G92" s="141"/>
      <c r="H92" s="141"/>
      <c r="I92" s="141"/>
      <c r="J92" s="141"/>
    </row>
    <row r="93" customFormat="false" ht="15.75" hidden="false" customHeight="true" outlineLevel="0" collapsed="false">
      <c r="B93" s="141"/>
      <c r="C93" s="141"/>
      <c r="D93" s="141"/>
      <c r="E93" s="141"/>
      <c r="F93" s="141"/>
      <c r="G93" s="141"/>
      <c r="H93" s="141"/>
      <c r="I93" s="141"/>
      <c r="J93" s="141"/>
    </row>
    <row r="94" customFormat="false" ht="15.75" hidden="false" customHeight="true" outlineLevel="0" collapsed="false">
      <c r="B94" s="141"/>
      <c r="C94" s="141"/>
      <c r="D94" s="141"/>
      <c r="E94" s="141"/>
      <c r="F94" s="141"/>
      <c r="G94" s="141"/>
      <c r="H94" s="141"/>
      <c r="I94" s="141"/>
      <c r="J94" s="141"/>
    </row>
    <row r="95" customFormat="false" ht="15.75" hidden="false" customHeight="true" outlineLevel="0" collapsed="false">
      <c r="B95" s="141"/>
      <c r="C95" s="141"/>
      <c r="D95" s="141"/>
      <c r="E95" s="141"/>
      <c r="F95" s="141"/>
      <c r="G95" s="141"/>
      <c r="H95" s="141"/>
      <c r="I95" s="141"/>
      <c r="J95" s="141"/>
    </row>
    <row r="96" customFormat="false" ht="15.75" hidden="false" customHeight="true" outlineLevel="0" collapsed="false">
      <c r="B96" s="141"/>
      <c r="C96" s="141"/>
      <c r="D96" s="141"/>
      <c r="E96" s="141"/>
      <c r="F96" s="141"/>
      <c r="G96" s="141"/>
      <c r="H96" s="141"/>
      <c r="I96" s="141"/>
      <c r="J96" s="141"/>
    </row>
    <row r="97" customFormat="false" ht="15.75" hidden="false" customHeight="true" outlineLevel="0" collapsed="false">
      <c r="B97" s="142"/>
      <c r="C97" s="142"/>
      <c r="D97" s="142"/>
      <c r="E97" s="142"/>
      <c r="F97" s="142"/>
      <c r="G97" s="142"/>
      <c r="H97" s="142"/>
      <c r="I97" s="142"/>
      <c r="J97" s="142"/>
    </row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>
      <c r="B100" s="141" t="s">
        <v>548</v>
      </c>
      <c r="C100" s="141"/>
      <c r="D100" s="141"/>
      <c r="E100" s="141"/>
      <c r="F100" s="141" t="s">
        <v>549</v>
      </c>
      <c r="G100" s="141"/>
      <c r="H100" s="141"/>
      <c r="I100" s="141"/>
      <c r="J100" s="141"/>
    </row>
    <row r="101" customFormat="false" ht="15.75" hidden="false" customHeight="true" outlineLevel="0" collapsed="false">
      <c r="B101" s="141"/>
      <c r="C101" s="141"/>
      <c r="D101" s="141"/>
      <c r="E101" s="141"/>
      <c r="F101" s="141"/>
      <c r="G101" s="141"/>
      <c r="H101" s="141"/>
      <c r="I101" s="141"/>
      <c r="J101" s="141"/>
    </row>
    <row r="102" customFormat="false" ht="15.75" hidden="false" customHeight="true" outlineLevel="0" collapsed="false">
      <c r="B102" s="141"/>
      <c r="C102" s="141"/>
      <c r="D102" s="141"/>
      <c r="E102" s="141"/>
      <c r="F102" s="141"/>
      <c r="G102" s="141"/>
      <c r="H102" s="141"/>
      <c r="I102" s="141"/>
      <c r="J102" s="141"/>
    </row>
    <row r="103" customFormat="false" ht="15.75" hidden="false" customHeight="true" outlineLevel="0" collapsed="false">
      <c r="B103" s="141"/>
      <c r="C103" s="141"/>
      <c r="D103" s="141"/>
      <c r="E103" s="141"/>
      <c r="F103" s="141"/>
      <c r="G103" s="141"/>
      <c r="H103" s="141"/>
      <c r="I103" s="141"/>
      <c r="J103" s="141"/>
    </row>
    <row r="104" customFormat="false" ht="15.75" hidden="false" customHeight="true" outlineLevel="0" collapsed="false">
      <c r="B104" s="141"/>
      <c r="C104" s="141"/>
      <c r="D104" s="141"/>
      <c r="E104" s="141"/>
      <c r="F104" s="141"/>
      <c r="G104" s="141"/>
      <c r="H104" s="141"/>
      <c r="I104" s="141"/>
      <c r="J104" s="141"/>
    </row>
    <row r="105" customFormat="false" ht="15.75" hidden="false" customHeight="true" outlineLevel="0" collapsed="false">
      <c r="B105" s="141"/>
      <c r="C105" s="141"/>
      <c r="D105" s="141"/>
      <c r="E105" s="141"/>
      <c r="F105" s="141"/>
      <c r="G105" s="141"/>
      <c r="H105" s="141"/>
      <c r="I105" s="141"/>
      <c r="J105" s="141"/>
    </row>
    <row r="106" customFormat="false" ht="15.75" hidden="false" customHeight="true" outlineLevel="0" collapsed="false">
      <c r="B106" s="141"/>
      <c r="C106" s="141"/>
      <c r="D106" s="141"/>
      <c r="E106" s="141"/>
      <c r="F106" s="141"/>
      <c r="G106" s="141"/>
      <c r="H106" s="141"/>
      <c r="I106" s="141"/>
      <c r="J106" s="141"/>
    </row>
    <row r="107" customFormat="false" ht="15.75" hidden="false" customHeight="true" outlineLevel="0" collapsed="false">
      <c r="B107" s="141"/>
      <c r="C107" s="141"/>
      <c r="D107" s="141"/>
      <c r="E107" s="141"/>
      <c r="F107" s="141"/>
      <c r="G107" s="141"/>
      <c r="H107" s="141"/>
      <c r="I107" s="141"/>
      <c r="J107" s="141"/>
    </row>
    <row r="108" customFormat="false" ht="15.75" hidden="false" customHeight="true" outlineLevel="0" collapsed="false">
      <c r="B108" s="141"/>
      <c r="C108" s="141"/>
      <c r="D108" s="141"/>
      <c r="E108" s="141"/>
      <c r="F108" s="141"/>
      <c r="G108" s="141"/>
      <c r="H108" s="141"/>
      <c r="I108" s="141"/>
      <c r="J108" s="141"/>
    </row>
    <row r="109" customFormat="false" ht="15.75" hidden="false" customHeight="true" outlineLevel="0" collapsed="false">
      <c r="B109" s="141"/>
      <c r="C109" s="141"/>
      <c r="D109" s="141"/>
      <c r="E109" s="141"/>
      <c r="F109" s="141"/>
      <c r="G109" s="141"/>
      <c r="H109" s="141"/>
      <c r="I109" s="141"/>
      <c r="J109" s="141"/>
    </row>
    <row r="110" customFormat="false" ht="15.75" hidden="false" customHeight="true" outlineLevel="0" collapsed="false">
      <c r="B110" s="141"/>
      <c r="C110" s="141"/>
      <c r="D110" s="141"/>
      <c r="E110" s="141"/>
      <c r="F110" s="141"/>
      <c r="G110" s="141"/>
      <c r="H110" s="141"/>
      <c r="I110" s="141"/>
      <c r="J110" s="141"/>
    </row>
    <row r="111" customFormat="false" ht="15.75" hidden="false" customHeight="true" outlineLevel="0" collapsed="false">
      <c r="B111" s="141"/>
      <c r="C111" s="141"/>
      <c r="D111" s="141"/>
      <c r="E111" s="141"/>
      <c r="F111" s="141"/>
      <c r="G111" s="141"/>
      <c r="H111" s="141"/>
      <c r="I111" s="141"/>
      <c r="J111" s="141"/>
    </row>
    <row r="112" customFormat="false" ht="15.75" hidden="false" customHeight="true" outlineLevel="0" collapsed="false">
      <c r="B112" s="142"/>
      <c r="C112" s="142"/>
      <c r="D112" s="142"/>
      <c r="E112" s="142"/>
      <c r="F112" s="142"/>
      <c r="G112" s="142"/>
      <c r="H112" s="142"/>
      <c r="I112" s="142"/>
      <c r="J112" s="142"/>
    </row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>
      <c r="B115" s="141" t="s">
        <v>550</v>
      </c>
      <c r="C115" s="141"/>
      <c r="D115" s="141"/>
      <c r="E115" s="141"/>
      <c r="F115" s="141" t="s">
        <v>551</v>
      </c>
      <c r="G115" s="141"/>
      <c r="H115" s="141"/>
      <c r="I115" s="141"/>
      <c r="J115" s="141"/>
    </row>
    <row r="116" customFormat="false" ht="15.75" hidden="false" customHeight="true" outlineLevel="0" collapsed="false">
      <c r="B116" s="141"/>
      <c r="C116" s="141"/>
      <c r="D116" s="141"/>
      <c r="E116" s="141"/>
      <c r="F116" s="141"/>
      <c r="G116" s="141"/>
      <c r="H116" s="141"/>
      <c r="I116" s="141"/>
      <c r="J116" s="141"/>
    </row>
    <row r="117" customFormat="false" ht="15.75" hidden="false" customHeight="true" outlineLevel="0" collapsed="false">
      <c r="B117" s="141"/>
      <c r="C117" s="141"/>
      <c r="D117" s="141"/>
      <c r="E117" s="141"/>
      <c r="F117" s="141"/>
      <c r="G117" s="141"/>
      <c r="H117" s="141"/>
      <c r="I117" s="141"/>
      <c r="J117" s="141"/>
    </row>
    <row r="118" customFormat="false" ht="15.75" hidden="false" customHeight="true" outlineLevel="0" collapsed="false">
      <c r="B118" s="141"/>
      <c r="C118" s="141"/>
      <c r="D118" s="141"/>
      <c r="E118" s="141"/>
      <c r="F118" s="141"/>
      <c r="G118" s="141"/>
      <c r="H118" s="141"/>
      <c r="I118" s="141"/>
      <c r="J118" s="141"/>
    </row>
    <row r="119" customFormat="false" ht="15.75" hidden="false" customHeight="true" outlineLevel="0" collapsed="false">
      <c r="B119" s="141"/>
      <c r="C119" s="141"/>
      <c r="D119" s="141"/>
      <c r="E119" s="141"/>
      <c r="F119" s="141"/>
      <c r="G119" s="141"/>
      <c r="H119" s="141"/>
      <c r="I119" s="141"/>
      <c r="J119" s="141"/>
    </row>
    <row r="120" customFormat="false" ht="15.75" hidden="false" customHeight="true" outlineLevel="0" collapsed="false">
      <c r="B120" s="141"/>
      <c r="C120" s="141"/>
      <c r="D120" s="141"/>
      <c r="E120" s="141"/>
      <c r="F120" s="141"/>
      <c r="G120" s="141"/>
      <c r="H120" s="141"/>
      <c r="I120" s="141"/>
      <c r="J120" s="141"/>
    </row>
    <row r="121" customFormat="false" ht="15.75" hidden="false" customHeight="true" outlineLevel="0" collapsed="false">
      <c r="B121" s="141"/>
      <c r="C121" s="141"/>
      <c r="D121" s="141"/>
      <c r="E121" s="141"/>
      <c r="F121" s="141"/>
      <c r="G121" s="141"/>
      <c r="H121" s="141"/>
      <c r="I121" s="141"/>
      <c r="J121" s="141"/>
    </row>
    <row r="122" customFormat="false" ht="15.75" hidden="false" customHeight="true" outlineLevel="0" collapsed="false">
      <c r="B122" s="141"/>
      <c r="C122" s="141"/>
      <c r="D122" s="141"/>
      <c r="E122" s="141"/>
      <c r="F122" s="141"/>
      <c r="G122" s="141"/>
      <c r="H122" s="141"/>
      <c r="I122" s="141"/>
      <c r="J122" s="141"/>
    </row>
    <row r="123" customFormat="false" ht="15.75" hidden="false" customHeight="true" outlineLevel="0" collapsed="false">
      <c r="B123" s="141"/>
      <c r="C123" s="141"/>
      <c r="D123" s="141"/>
      <c r="E123" s="141"/>
      <c r="F123" s="141"/>
      <c r="G123" s="141"/>
      <c r="H123" s="141"/>
      <c r="I123" s="141"/>
      <c r="J123" s="141"/>
    </row>
    <row r="124" customFormat="false" ht="15.75" hidden="false" customHeight="true" outlineLevel="0" collapsed="false">
      <c r="B124" s="141"/>
      <c r="C124" s="141"/>
      <c r="D124" s="141"/>
      <c r="E124" s="141"/>
      <c r="F124" s="141"/>
      <c r="G124" s="141"/>
      <c r="H124" s="141"/>
      <c r="I124" s="141"/>
      <c r="J124" s="141"/>
    </row>
    <row r="125" customFormat="false" ht="15.75" hidden="false" customHeight="true" outlineLevel="0" collapsed="false">
      <c r="B125" s="141"/>
      <c r="C125" s="141"/>
      <c r="D125" s="141"/>
      <c r="E125" s="141"/>
      <c r="F125" s="141"/>
      <c r="G125" s="141"/>
      <c r="H125" s="141"/>
      <c r="I125" s="141"/>
      <c r="J125" s="141"/>
    </row>
    <row r="126" customFormat="false" ht="15.75" hidden="false" customHeight="true" outlineLevel="0" collapsed="false">
      <c r="B126" s="141"/>
      <c r="C126" s="141"/>
      <c r="D126" s="141"/>
      <c r="E126" s="141"/>
      <c r="F126" s="141"/>
      <c r="G126" s="141"/>
      <c r="H126" s="141"/>
      <c r="I126" s="141"/>
      <c r="J126" s="141"/>
    </row>
    <row r="127" customFormat="false" ht="15.75" hidden="false" customHeight="true" outlineLevel="0" collapsed="false">
      <c r="B127" s="142"/>
      <c r="C127" s="142"/>
      <c r="D127" s="142"/>
      <c r="E127" s="142"/>
      <c r="F127" s="142"/>
      <c r="G127" s="142"/>
      <c r="H127" s="142"/>
      <c r="I127" s="142"/>
      <c r="J127" s="142"/>
    </row>
    <row r="128" customFormat="false" ht="15.75" hidden="false" customHeight="true" outlineLevel="0" collapsed="false"/>
    <row r="129" customFormat="false" ht="15.75" hidden="false" customHeight="true" outlineLevel="0" collapsed="false"/>
  </sheetData>
  <sheetProtection sheet="true" formatCells="false" formatColumns="false" formatRows="false"/>
  <mergeCells count="115">
    <mergeCell ref="B1:J1"/>
    <mergeCell ref="C2:J2"/>
    <mergeCell ref="C3:F3"/>
    <mergeCell ref="H3:J3"/>
    <mergeCell ref="C4:J4"/>
    <mergeCell ref="C5:J5"/>
    <mergeCell ref="B6:J6"/>
    <mergeCell ref="B8:J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9:J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B31:J31"/>
    <mergeCell ref="B33:J33"/>
    <mergeCell ref="B34:J34"/>
    <mergeCell ref="B35:J35"/>
    <mergeCell ref="B36:J36"/>
    <mergeCell ref="E37:F37"/>
    <mergeCell ref="H37:J37"/>
    <mergeCell ref="E38:F38"/>
    <mergeCell ref="H38:J38"/>
    <mergeCell ref="E39:F39"/>
    <mergeCell ref="H39:J39"/>
    <mergeCell ref="E40:F40"/>
    <mergeCell ref="H40:J40"/>
    <mergeCell ref="E41:F41"/>
    <mergeCell ref="H41:J41"/>
    <mergeCell ref="E42:F42"/>
    <mergeCell ref="H42:J42"/>
    <mergeCell ref="E43:F43"/>
    <mergeCell ref="H43:J43"/>
    <mergeCell ref="E44:F44"/>
    <mergeCell ref="H44:J44"/>
    <mergeCell ref="E45:F45"/>
    <mergeCell ref="H45:J45"/>
    <mergeCell ref="B46:J46"/>
    <mergeCell ref="B47:J47"/>
    <mergeCell ref="B49:J49"/>
    <mergeCell ref="B50:C50"/>
    <mergeCell ref="D50:J50"/>
    <mergeCell ref="B51:C51"/>
    <mergeCell ref="D51:J51"/>
    <mergeCell ref="B52:C52"/>
    <mergeCell ref="D52:J52"/>
    <mergeCell ref="B53:C53"/>
    <mergeCell ref="D53:J53"/>
    <mergeCell ref="B55:J55"/>
    <mergeCell ref="B56:J56"/>
    <mergeCell ref="B57:J57"/>
    <mergeCell ref="B58:J58"/>
    <mergeCell ref="B60:J60"/>
    <mergeCell ref="B61:J61"/>
    <mergeCell ref="B63:J63"/>
    <mergeCell ref="G65:J65"/>
    <mergeCell ref="G66:J66"/>
    <mergeCell ref="G67:J67"/>
    <mergeCell ref="G68:J68"/>
    <mergeCell ref="B71:J71"/>
    <mergeCell ref="B72:J72"/>
    <mergeCell ref="B73:J73"/>
    <mergeCell ref="B74:J74"/>
    <mergeCell ref="B76:D76"/>
    <mergeCell ref="E76:G76"/>
    <mergeCell ref="H76:J76"/>
    <mergeCell ref="B77:D77"/>
    <mergeCell ref="E77:G77"/>
    <mergeCell ref="H77:J77"/>
    <mergeCell ref="B78:D78"/>
    <mergeCell ref="E78:G78"/>
    <mergeCell ref="H78:J78"/>
    <mergeCell ref="B79:D79"/>
    <mergeCell ref="E79:G79"/>
    <mergeCell ref="H79:J79"/>
    <mergeCell ref="B82:J82"/>
    <mergeCell ref="B83:J83"/>
    <mergeCell ref="B85:E96"/>
    <mergeCell ref="F85:J96"/>
    <mergeCell ref="B97:E97"/>
    <mergeCell ref="F97:J97"/>
    <mergeCell ref="B100:E111"/>
    <mergeCell ref="F100:J111"/>
    <mergeCell ref="B112:E112"/>
    <mergeCell ref="F112:J112"/>
    <mergeCell ref="B115:E126"/>
    <mergeCell ref="F115:J126"/>
    <mergeCell ref="B127:E127"/>
    <mergeCell ref="F127:J127"/>
  </mergeCells>
  <conditionalFormatting sqref="D17">
    <cfRule type="expression" priority="2" aboveAverage="0" equalAverage="0" bottom="0" percent="0" rank="0" text="" dxfId="0">
      <formula>ISNUMBER(SEARCH("มาก",D17))</formula>
    </cfRule>
    <cfRule type="expression" priority="3" aboveAverage="0" equalAverage="0" bottom="0" percent="0" rank="0" text="" dxfId="5">
      <formula>ISNUMBER(SEARCH("เล็กน้อย",D17))</formula>
    </cfRule>
    <cfRule type="expression" priority="4" aboveAverage="0" equalAverage="0" bottom="0" percent="0" rank="0" text="" dxfId="2">
      <formula>ISNUMBER(SEARCH("ตามแผน",D17))</formula>
    </cfRule>
  </conditionalFormatting>
  <conditionalFormatting sqref="D12">
    <cfRule type="expression" priority="5" aboveAverage="0" equalAverage="0" bottom="0" percent="0" rank="0" text="" dxfId="4">
      <formula>AND(ISNUMBER(D12),D12&lt;0)</formula>
    </cfRule>
  </conditionalFormatting>
  <conditionalFormatting sqref="H21:H30">
    <cfRule type="expression" priority="6" aboveAverage="0" equalAverage="0" bottom="0" percent="0" rank="0" text="" dxfId="4">
      <formula>H21="เกินกำหนด"</formula>
    </cfRule>
    <cfRule type="expression" priority="7" aboveAverage="0" equalAverage="0" bottom="0" percent="0" rank="0" text="" dxfId="7">
      <formula>H21="ตรวจรับแล้ว"</formula>
    </cfRule>
  </conditionalFormatting>
  <conditionalFormatting sqref="B58">
    <cfRule type="expression" priority="8" aboveAverage="0" equalAverage="0" bottom="0" percent="0" rank="0" text="" dxfId="4">
      <formula>ISNUMBER(SEARCH("⚠",B58))</formula>
    </cfRule>
  </conditionalFormatting>
  <printOptions headings="false" gridLines="false" gridLinesSet="true" horizontalCentered="false" verticalCentered="false"/>
  <pageMargins left="0.6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/ &amp;N</oddFooter>
  </headerFooter>
  <rowBreaks count="2" manualBreakCount="2">
    <brk id="32" man="true" max="16383" min="0"/>
    <brk id="69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44"/>
    <col collapsed="false" customWidth="true" hidden="false" outlineLevel="0" max="6" min="5" style="1" width="11"/>
    <col collapsed="false" customWidth="true" hidden="false" outlineLevel="0" max="7" min="7" style="1" width="15"/>
    <col collapsed="false" customWidth="true" hidden="false" outlineLevel="0" max="8" min="8" style="1" width="16"/>
    <col collapsed="false" customWidth="true" hidden="false" outlineLevel="0" max="9" min="9" style="1" width="15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5"/>
    <col collapsed="false" customWidth="true" hidden="false" outlineLevel="0" max="13" min="13" style="1" width="28"/>
  </cols>
  <sheetData>
    <row r="1" customFormat="false" ht="20.1" hidden="false" customHeight="false" outlineLevel="0" collapsed="false">
      <c r="A1" s="2" t="s">
        <v>552</v>
      </c>
    </row>
    <row r="2" customFormat="false" ht="15" hidden="false" customHeight="false" outlineLevel="0" collapsed="false">
      <c r="A2" s="19" t="s">
        <v>553</v>
      </c>
    </row>
    <row r="3" customFormat="false" ht="15" hidden="false" customHeight="false" outlineLevel="0" collapsed="false">
      <c r="A3" s="143" t="s">
        <v>554</v>
      </c>
      <c r="B3" s="143"/>
      <c r="C3" s="144" t="n">
        <f aca="false">'ตั้งค่า Setup'!$C$9</f>
        <v>12108000</v>
      </c>
      <c r="E3" s="100" t="s">
        <v>555</v>
      </c>
      <c r="F3" s="97" t="str">
        <f aca="false">COUNTIF(H10:H59,"รอพิจารณา")&amp;" รายการ  •  "&amp;TEXT(SUMIF(H10:H59,"รอพิจารณา",G10:G59),"#,##0")&amp;" บาท"</f>
        <v>0 รายการ  •  0 บาท</v>
      </c>
    </row>
    <row r="4" customFormat="false" ht="15" hidden="false" customHeight="false" outlineLevel="0" collapsed="false">
      <c r="A4" s="143" t="s">
        <v>556</v>
      </c>
      <c r="B4" s="143"/>
      <c r="C4" s="144" t="n">
        <f aca="false">SUMIFS(L10:L59,L10:L59,"&gt;0")</f>
        <v>0</v>
      </c>
      <c r="E4" s="100" t="s">
        <v>557</v>
      </c>
      <c r="F4" s="145" t="s">
        <v>558</v>
      </c>
    </row>
    <row r="5" customFormat="false" ht="15" hidden="false" customHeight="false" outlineLevel="0" collapsed="false">
      <c r="A5" s="143" t="s">
        <v>559</v>
      </c>
      <c r="B5" s="143"/>
      <c r="C5" s="144" t="n">
        <f aca="false">SUMIFS(L10:L59,L10:L59,"&lt;0")</f>
        <v>0</v>
      </c>
      <c r="F5" s="145" t="s">
        <v>560</v>
      </c>
    </row>
    <row r="6" customFormat="false" ht="15" hidden="false" customHeight="false" outlineLevel="0" collapsed="false">
      <c r="A6" s="143" t="s">
        <v>561</v>
      </c>
      <c r="B6" s="143"/>
      <c r="C6" s="144" t="n">
        <f aca="false">C3+C4+C5</f>
        <v>12108000</v>
      </c>
    </row>
    <row r="7" customFormat="false" ht="15" hidden="false" customHeight="false" outlineLevel="0" collapsed="false">
      <c r="A7" s="146" t="s">
        <v>562</v>
      </c>
      <c r="B7" s="146"/>
      <c r="C7" s="147" t="n">
        <f aca="false">IFERROR((C6-C3)/C3,0)</f>
        <v>0</v>
      </c>
    </row>
    <row r="9" customFormat="false" ht="36" hidden="false" customHeight="true" outlineLevel="0" collapsed="false">
      <c r="A9" s="20" t="s">
        <v>430</v>
      </c>
      <c r="B9" s="20" t="s">
        <v>563</v>
      </c>
      <c r="C9" s="20" t="s">
        <v>505</v>
      </c>
      <c r="D9" s="20" t="s">
        <v>564</v>
      </c>
      <c r="E9" s="75" t="s">
        <v>565</v>
      </c>
      <c r="F9" s="20" t="s">
        <v>566</v>
      </c>
      <c r="G9" s="20" t="s">
        <v>567</v>
      </c>
      <c r="H9" s="20" t="s">
        <v>568</v>
      </c>
      <c r="I9" s="20" t="s">
        <v>569</v>
      </c>
      <c r="J9" s="20" t="s">
        <v>570</v>
      </c>
      <c r="K9" s="20" t="s">
        <v>571</v>
      </c>
      <c r="L9" s="20" t="s">
        <v>572</v>
      </c>
      <c r="M9" s="20" t="s">
        <v>237</v>
      </c>
    </row>
    <row r="10" customFormat="false" ht="15" hidden="false" customHeight="false" outlineLevel="0" collapsed="false">
      <c r="A10" s="106" t="str">
        <f aca="false">IF(D10="","",COUNTA(D$10:D10))</f>
        <v/>
      </c>
      <c r="B10" s="22"/>
      <c r="C10" s="27"/>
      <c r="D10" s="35"/>
      <c r="E10" s="24"/>
      <c r="F10" s="24"/>
      <c r="G10" s="148"/>
      <c r="H10" s="24"/>
      <c r="I10" s="148"/>
      <c r="J10" s="27"/>
      <c r="K10" s="22"/>
      <c r="L10" s="149" t="n">
        <f aca="false">IF(OR(D10="",H10&lt;&gt;"อนุมัติ"),0,IF(F10="งานลด",-N(I10),N(I10)))</f>
        <v>0</v>
      </c>
      <c r="M10" s="35"/>
    </row>
    <row r="11" customFormat="false" ht="15" hidden="false" customHeight="false" outlineLevel="0" collapsed="false">
      <c r="A11" s="106" t="str">
        <f aca="false">IF(D11="","",COUNTA(D$10:D11))</f>
        <v/>
      </c>
      <c r="B11" s="22"/>
      <c r="C11" s="27"/>
      <c r="D11" s="35"/>
      <c r="E11" s="24"/>
      <c r="F11" s="24"/>
      <c r="G11" s="148"/>
      <c r="H11" s="24"/>
      <c r="I11" s="148"/>
      <c r="J11" s="27"/>
      <c r="K11" s="22"/>
      <c r="L11" s="149" t="n">
        <f aca="false">IF(OR(D11="",H11&lt;&gt;"อนุมัติ"),0,IF(F11="งานลด",-N(I11),N(I11)))</f>
        <v>0</v>
      </c>
      <c r="M11" s="35"/>
    </row>
    <row r="12" customFormat="false" ht="15" hidden="false" customHeight="false" outlineLevel="0" collapsed="false">
      <c r="A12" s="106" t="str">
        <f aca="false">IF(D12="","",COUNTA(D$10:D12))</f>
        <v/>
      </c>
      <c r="B12" s="22"/>
      <c r="C12" s="27"/>
      <c r="D12" s="35"/>
      <c r="E12" s="24"/>
      <c r="F12" s="24"/>
      <c r="G12" s="148"/>
      <c r="H12" s="24"/>
      <c r="I12" s="148"/>
      <c r="J12" s="27"/>
      <c r="K12" s="22"/>
      <c r="L12" s="149" t="n">
        <f aca="false">IF(OR(D12="",H12&lt;&gt;"อนุมัติ"),0,IF(F12="งานลด",-N(I12),N(I12)))</f>
        <v>0</v>
      </c>
      <c r="M12" s="35"/>
    </row>
    <row r="13" customFormat="false" ht="15" hidden="false" customHeight="false" outlineLevel="0" collapsed="false">
      <c r="A13" s="106" t="str">
        <f aca="false">IF(D13="","",COUNTA(D$10:D13))</f>
        <v/>
      </c>
      <c r="B13" s="22"/>
      <c r="C13" s="27"/>
      <c r="D13" s="35"/>
      <c r="E13" s="24"/>
      <c r="F13" s="24"/>
      <c r="G13" s="148"/>
      <c r="H13" s="24"/>
      <c r="I13" s="148"/>
      <c r="J13" s="27"/>
      <c r="K13" s="22"/>
      <c r="L13" s="149" t="n">
        <f aca="false">IF(OR(D13="",H13&lt;&gt;"อนุมัติ"),0,IF(F13="งานลด",-N(I13),N(I13)))</f>
        <v>0</v>
      </c>
      <c r="M13" s="35"/>
    </row>
    <row r="14" customFormat="false" ht="15" hidden="false" customHeight="false" outlineLevel="0" collapsed="false">
      <c r="A14" s="106" t="str">
        <f aca="false">IF(D14="","",COUNTA(D$10:D14))</f>
        <v/>
      </c>
      <c r="B14" s="22"/>
      <c r="C14" s="27"/>
      <c r="D14" s="35"/>
      <c r="E14" s="24"/>
      <c r="F14" s="24"/>
      <c r="G14" s="148"/>
      <c r="H14" s="24"/>
      <c r="I14" s="148"/>
      <c r="J14" s="27"/>
      <c r="K14" s="22"/>
      <c r="L14" s="149" t="n">
        <f aca="false">IF(OR(D14="",H14&lt;&gt;"อนุมัติ"),0,IF(F14="งานลด",-N(I14),N(I14)))</f>
        <v>0</v>
      </c>
      <c r="M14" s="35"/>
    </row>
    <row r="15" customFormat="false" ht="15" hidden="false" customHeight="false" outlineLevel="0" collapsed="false">
      <c r="A15" s="106" t="str">
        <f aca="false">IF(D15="","",COUNTA(D$10:D15))</f>
        <v/>
      </c>
      <c r="B15" s="22"/>
      <c r="C15" s="27"/>
      <c r="D15" s="35"/>
      <c r="E15" s="24"/>
      <c r="F15" s="24"/>
      <c r="G15" s="148"/>
      <c r="H15" s="24"/>
      <c r="I15" s="148"/>
      <c r="J15" s="27"/>
      <c r="K15" s="22"/>
      <c r="L15" s="149" t="n">
        <f aca="false">IF(OR(D15="",H15&lt;&gt;"อนุมัติ"),0,IF(F15="งานลด",-N(I15),N(I15)))</f>
        <v>0</v>
      </c>
      <c r="M15" s="35"/>
    </row>
    <row r="16" customFormat="false" ht="15" hidden="false" customHeight="false" outlineLevel="0" collapsed="false">
      <c r="A16" s="106" t="str">
        <f aca="false">IF(D16="","",COUNTA(D$10:D16))</f>
        <v/>
      </c>
      <c r="B16" s="22"/>
      <c r="C16" s="27"/>
      <c r="D16" s="35"/>
      <c r="E16" s="24"/>
      <c r="F16" s="24"/>
      <c r="G16" s="148"/>
      <c r="H16" s="24"/>
      <c r="I16" s="148"/>
      <c r="J16" s="27"/>
      <c r="K16" s="22"/>
      <c r="L16" s="149" t="n">
        <f aca="false">IF(OR(D16="",H16&lt;&gt;"อนุมัติ"),0,IF(F16="งานลด",-N(I16),N(I16)))</f>
        <v>0</v>
      </c>
      <c r="M16" s="35"/>
    </row>
    <row r="17" customFormat="false" ht="15" hidden="false" customHeight="false" outlineLevel="0" collapsed="false">
      <c r="A17" s="106" t="str">
        <f aca="false">IF(D17="","",COUNTA(D$10:D17))</f>
        <v/>
      </c>
      <c r="B17" s="22"/>
      <c r="C17" s="27"/>
      <c r="D17" s="35"/>
      <c r="E17" s="24"/>
      <c r="F17" s="24"/>
      <c r="G17" s="148"/>
      <c r="H17" s="24"/>
      <c r="I17" s="148"/>
      <c r="J17" s="27"/>
      <c r="K17" s="22"/>
      <c r="L17" s="149" t="n">
        <f aca="false">IF(OR(D17="",H17&lt;&gt;"อนุมัติ"),0,IF(F17="งานลด",-N(I17),N(I17)))</f>
        <v>0</v>
      </c>
      <c r="M17" s="35"/>
    </row>
    <row r="18" customFormat="false" ht="15" hidden="false" customHeight="false" outlineLevel="0" collapsed="false">
      <c r="A18" s="106" t="str">
        <f aca="false">IF(D18="","",COUNTA(D$10:D18))</f>
        <v/>
      </c>
      <c r="B18" s="22"/>
      <c r="C18" s="27"/>
      <c r="D18" s="35"/>
      <c r="E18" s="24"/>
      <c r="F18" s="24"/>
      <c r="G18" s="148"/>
      <c r="H18" s="24"/>
      <c r="I18" s="148"/>
      <c r="J18" s="27"/>
      <c r="K18" s="22"/>
      <c r="L18" s="149" t="n">
        <f aca="false">IF(OR(D18="",H18&lt;&gt;"อนุมัติ"),0,IF(F18="งานลด",-N(I18),N(I18)))</f>
        <v>0</v>
      </c>
      <c r="M18" s="35"/>
    </row>
    <row r="19" customFormat="false" ht="15" hidden="false" customHeight="false" outlineLevel="0" collapsed="false">
      <c r="A19" s="106" t="str">
        <f aca="false">IF(D19="","",COUNTA(D$10:D19))</f>
        <v/>
      </c>
      <c r="B19" s="22"/>
      <c r="C19" s="27"/>
      <c r="D19" s="35"/>
      <c r="E19" s="24"/>
      <c r="F19" s="24"/>
      <c r="G19" s="148"/>
      <c r="H19" s="24"/>
      <c r="I19" s="148"/>
      <c r="J19" s="27"/>
      <c r="K19" s="22"/>
      <c r="L19" s="149" t="n">
        <f aca="false">IF(OR(D19="",H19&lt;&gt;"อนุมัติ"),0,IF(F19="งานลด",-N(I19),N(I19)))</f>
        <v>0</v>
      </c>
      <c r="M19" s="35"/>
    </row>
    <row r="20" customFormat="false" ht="15" hidden="false" customHeight="false" outlineLevel="0" collapsed="false">
      <c r="A20" s="106" t="str">
        <f aca="false">IF(D20="","",COUNTA(D$10:D20))</f>
        <v/>
      </c>
      <c r="B20" s="22"/>
      <c r="C20" s="27"/>
      <c r="D20" s="35"/>
      <c r="E20" s="24"/>
      <c r="F20" s="24"/>
      <c r="G20" s="148"/>
      <c r="H20" s="24"/>
      <c r="I20" s="148"/>
      <c r="J20" s="27"/>
      <c r="K20" s="22"/>
      <c r="L20" s="149" t="n">
        <f aca="false">IF(OR(D20="",H20&lt;&gt;"อนุมัติ"),0,IF(F20="งานลด",-N(I20),N(I20)))</f>
        <v>0</v>
      </c>
      <c r="M20" s="35"/>
    </row>
    <row r="21" customFormat="false" ht="15" hidden="false" customHeight="false" outlineLevel="0" collapsed="false">
      <c r="A21" s="106" t="str">
        <f aca="false">IF(D21="","",COUNTA(D$10:D21))</f>
        <v/>
      </c>
      <c r="B21" s="22"/>
      <c r="C21" s="27"/>
      <c r="D21" s="35"/>
      <c r="E21" s="24"/>
      <c r="F21" s="24"/>
      <c r="G21" s="148"/>
      <c r="H21" s="24"/>
      <c r="I21" s="148"/>
      <c r="J21" s="27"/>
      <c r="K21" s="22"/>
      <c r="L21" s="149" t="n">
        <f aca="false">IF(OR(D21="",H21&lt;&gt;"อนุมัติ"),0,IF(F21="งานลด",-N(I21),N(I21)))</f>
        <v>0</v>
      </c>
      <c r="M21" s="35"/>
    </row>
    <row r="22" customFormat="false" ht="15" hidden="false" customHeight="false" outlineLevel="0" collapsed="false">
      <c r="A22" s="106" t="str">
        <f aca="false">IF(D22="","",COUNTA(D$10:D22))</f>
        <v/>
      </c>
      <c r="B22" s="22"/>
      <c r="C22" s="27"/>
      <c r="D22" s="35"/>
      <c r="E22" s="24"/>
      <c r="F22" s="24"/>
      <c r="G22" s="148"/>
      <c r="H22" s="24"/>
      <c r="I22" s="148"/>
      <c r="J22" s="27"/>
      <c r="K22" s="22"/>
      <c r="L22" s="149" t="n">
        <f aca="false">IF(OR(D22="",H22&lt;&gt;"อนุมัติ"),0,IF(F22="งานลด",-N(I22),N(I22)))</f>
        <v>0</v>
      </c>
      <c r="M22" s="35"/>
    </row>
    <row r="23" customFormat="false" ht="15" hidden="false" customHeight="false" outlineLevel="0" collapsed="false">
      <c r="A23" s="106" t="str">
        <f aca="false">IF(D23="","",COUNTA(D$10:D23))</f>
        <v/>
      </c>
      <c r="B23" s="22"/>
      <c r="C23" s="27"/>
      <c r="D23" s="35"/>
      <c r="E23" s="24"/>
      <c r="F23" s="24"/>
      <c r="G23" s="148"/>
      <c r="H23" s="24"/>
      <c r="I23" s="148"/>
      <c r="J23" s="27"/>
      <c r="K23" s="22"/>
      <c r="L23" s="149" t="n">
        <f aca="false">IF(OR(D23="",H23&lt;&gt;"อนุมัติ"),0,IF(F23="งานลด",-N(I23),N(I23)))</f>
        <v>0</v>
      </c>
      <c r="M23" s="35"/>
    </row>
    <row r="24" customFormat="false" ht="15" hidden="false" customHeight="false" outlineLevel="0" collapsed="false">
      <c r="A24" s="106" t="str">
        <f aca="false">IF(D24="","",COUNTA(D$10:D24))</f>
        <v/>
      </c>
      <c r="B24" s="22"/>
      <c r="C24" s="27"/>
      <c r="D24" s="35"/>
      <c r="E24" s="24"/>
      <c r="F24" s="24"/>
      <c r="G24" s="148"/>
      <c r="H24" s="24"/>
      <c r="I24" s="148"/>
      <c r="J24" s="27"/>
      <c r="K24" s="22"/>
      <c r="L24" s="149" t="n">
        <f aca="false">IF(OR(D24="",H24&lt;&gt;"อนุมัติ"),0,IF(F24="งานลด",-N(I24),N(I24)))</f>
        <v>0</v>
      </c>
      <c r="M24" s="35"/>
    </row>
    <row r="25" customFormat="false" ht="15" hidden="false" customHeight="false" outlineLevel="0" collapsed="false">
      <c r="A25" s="106" t="str">
        <f aca="false">IF(D25="","",COUNTA(D$10:D25))</f>
        <v/>
      </c>
      <c r="B25" s="22"/>
      <c r="C25" s="27"/>
      <c r="D25" s="35"/>
      <c r="E25" s="24"/>
      <c r="F25" s="24"/>
      <c r="G25" s="148"/>
      <c r="H25" s="24"/>
      <c r="I25" s="148"/>
      <c r="J25" s="27"/>
      <c r="K25" s="22"/>
      <c r="L25" s="149" t="n">
        <f aca="false">IF(OR(D25="",H25&lt;&gt;"อนุมัติ"),0,IF(F25="งานลด",-N(I25),N(I25)))</f>
        <v>0</v>
      </c>
      <c r="M25" s="35"/>
    </row>
    <row r="26" customFormat="false" ht="15" hidden="false" customHeight="false" outlineLevel="0" collapsed="false">
      <c r="A26" s="106" t="str">
        <f aca="false">IF(D26="","",COUNTA(D$10:D26))</f>
        <v/>
      </c>
      <c r="B26" s="22"/>
      <c r="C26" s="27"/>
      <c r="D26" s="35"/>
      <c r="E26" s="24"/>
      <c r="F26" s="24"/>
      <c r="G26" s="148"/>
      <c r="H26" s="24"/>
      <c r="I26" s="148"/>
      <c r="J26" s="27"/>
      <c r="K26" s="22"/>
      <c r="L26" s="149" t="n">
        <f aca="false">IF(OR(D26="",H26&lt;&gt;"อนุมัติ"),0,IF(F26="งานลด",-N(I26),N(I26)))</f>
        <v>0</v>
      </c>
      <c r="M26" s="35"/>
    </row>
    <row r="27" customFormat="false" ht="15" hidden="false" customHeight="false" outlineLevel="0" collapsed="false">
      <c r="A27" s="106" t="str">
        <f aca="false">IF(D27="","",COUNTA(D$10:D27))</f>
        <v/>
      </c>
      <c r="B27" s="22"/>
      <c r="C27" s="27"/>
      <c r="D27" s="35"/>
      <c r="E27" s="24"/>
      <c r="F27" s="24"/>
      <c r="G27" s="148"/>
      <c r="H27" s="24"/>
      <c r="I27" s="148"/>
      <c r="J27" s="27"/>
      <c r="K27" s="22"/>
      <c r="L27" s="149" t="n">
        <f aca="false">IF(OR(D27="",H27&lt;&gt;"อนุมัติ"),0,IF(F27="งานลด",-N(I27),N(I27)))</f>
        <v>0</v>
      </c>
      <c r="M27" s="35"/>
    </row>
    <row r="28" customFormat="false" ht="15" hidden="false" customHeight="false" outlineLevel="0" collapsed="false">
      <c r="A28" s="106" t="str">
        <f aca="false">IF(D28="","",COUNTA(D$10:D28))</f>
        <v/>
      </c>
      <c r="B28" s="22"/>
      <c r="C28" s="27"/>
      <c r="D28" s="35"/>
      <c r="E28" s="24"/>
      <c r="F28" s="24"/>
      <c r="G28" s="148"/>
      <c r="H28" s="24"/>
      <c r="I28" s="148"/>
      <c r="J28" s="27"/>
      <c r="K28" s="22"/>
      <c r="L28" s="149" t="n">
        <f aca="false">IF(OR(D28="",H28&lt;&gt;"อนุมัติ"),0,IF(F28="งานลด",-N(I28),N(I28)))</f>
        <v>0</v>
      </c>
      <c r="M28" s="35"/>
    </row>
    <row r="29" customFormat="false" ht="15" hidden="false" customHeight="false" outlineLevel="0" collapsed="false">
      <c r="A29" s="106" t="str">
        <f aca="false">IF(D29="","",COUNTA(D$10:D29))</f>
        <v/>
      </c>
      <c r="B29" s="22"/>
      <c r="C29" s="27"/>
      <c r="D29" s="35"/>
      <c r="E29" s="24"/>
      <c r="F29" s="24"/>
      <c r="G29" s="148"/>
      <c r="H29" s="24"/>
      <c r="I29" s="148"/>
      <c r="J29" s="27"/>
      <c r="K29" s="22"/>
      <c r="L29" s="149" t="n">
        <f aca="false">IF(OR(D29="",H29&lt;&gt;"อนุมัติ"),0,IF(F29="งานลด",-N(I29),N(I29)))</f>
        <v>0</v>
      </c>
      <c r="M29" s="35"/>
    </row>
    <row r="30" customFormat="false" ht="15" hidden="false" customHeight="false" outlineLevel="0" collapsed="false">
      <c r="A30" s="106" t="str">
        <f aca="false">IF(D30="","",COUNTA(D$10:D30))</f>
        <v/>
      </c>
      <c r="B30" s="22"/>
      <c r="C30" s="27"/>
      <c r="D30" s="35"/>
      <c r="E30" s="24"/>
      <c r="F30" s="24"/>
      <c r="G30" s="148"/>
      <c r="H30" s="24"/>
      <c r="I30" s="148"/>
      <c r="J30" s="27"/>
      <c r="K30" s="22"/>
      <c r="L30" s="149" t="n">
        <f aca="false">IF(OR(D30="",H30&lt;&gt;"อนุมัติ"),0,IF(F30="งานลด",-N(I30),N(I30)))</f>
        <v>0</v>
      </c>
      <c r="M30" s="35"/>
    </row>
    <row r="31" customFormat="false" ht="15" hidden="false" customHeight="false" outlineLevel="0" collapsed="false">
      <c r="A31" s="106" t="str">
        <f aca="false">IF(D31="","",COUNTA(D$10:D31))</f>
        <v/>
      </c>
      <c r="B31" s="22"/>
      <c r="C31" s="27"/>
      <c r="D31" s="35"/>
      <c r="E31" s="24"/>
      <c r="F31" s="24"/>
      <c r="G31" s="148"/>
      <c r="H31" s="24"/>
      <c r="I31" s="148"/>
      <c r="J31" s="27"/>
      <c r="K31" s="22"/>
      <c r="L31" s="149" t="n">
        <f aca="false">IF(OR(D31="",H31&lt;&gt;"อนุมัติ"),0,IF(F31="งานลด",-N(I31),N(I31)))</f>
        <v>0</v>
      </c>
      <c r="M31" s="35"/>
    </row>
    <row r="32" customFormat="false" ht="15" hidden="false" customHeight="false" outlineLevel="0" collapsed="false">
      <c r="A32" s="106" t="str">
        <f aca="false">IF(D32="","",COUNTA(D$10:D32))</f>
        <v/>
      </c>
      <c r="B32" s="22"/>
      <c r="C32" s="27"/>
      <c r="D32" s="35"/>
      <c r="E32" s="24"/>
      <c r="F32" s="24"/>
      <c r="G32" s="148"/>
      <c r="H32" s="24"/>
      <c r="I32" s="148"/>
      <c r="J32" s="27"/>
      <c r="K32" s="22"/>
      <c r="L32" s="149" t="n">
        <f aca="false">IF(OR(D32="",H32&lt;&gt;"อนุมัติ"),0,IF(F32="งานลด",-N(I32),N(I32)))</f>
        <v>0</v>
      </c>
      <c r="M32" s="35"/>
    </row>
    <row r="33" customFormat="false" ht="15" hidden="false" customHeight="false" outlineLevel="0" collapsed="false">
      <c r="A33" s="106" t="str">
        <f aca="false">IF(D33="","",COUNTA(D$10:D33))</f>
        <v/>
      </c>
      <c r="B33" s="22"/>
      <c r="C33" s="27"/>
      <c r="D33" s="35"/>
      <c r="E33" s="24"/>
      <c r="F33" s="24"/>
      <c r="G33" s="148"/>
      <c r="H33" s="24"/>
      <c r="I33" s="148"/>
      <c r="J33" s="27"/>
      <c r="K33" s="22"/>
      <c r="L33" s="149" t="n">
        <f aca="false">IF(OR(D33="",H33&lt;&gt;"อนุมัติ"),0,IF(F33="งานลด",-N(I33),N(I33)))</f>
        <v>0</v>
      </c>
      <c r="M33" s="35"/>
    </row>
    <row r="34" customFormat="false" ht="15" hidden="false" customHeight="false" outlineLevel="0" collapsed="false">
      <c r="A34" s="106" t="str">
        <f aca="false">IF(D34="","",COUNTA(D$10:D34))</f>
        <v/>
      </c>
      <c r="B34" s="22"/>
      <c r="C34" s="27"/>
      <c r="D34" s="35"/>
      <c r="E34" s="24"/>
      <c r="F34" s="24"/>
      <c r="G34" s="148"/>
      <c r="H34" s="24"/>
      <c r="I34" s="148"/>
      <c r="J34" s="27"/>
      <c r="K34" s="22"/>
      <c r="L34" s="149" t="n">
        <f aca="false">IF(OR(D34="",H34&lt;&gt;"อนุมัติ"),0,IF(F34="งานลด",-N(I34),N(I34)))</f>
        <v>0</v>
      </c>
      <c r="M34" s="35"/>
    </row>
    <row r="35" customFormat="false" ht="15" hidden="false" customHeight="false" outlineLevel="0" collapsed="false">
      <c r="A35" s="106" t="str">
        <f aca="false">IF(D35="","",COUNTA(D$10:D35))</f>
        <v/>
      </c>
      <c r="B35" s="22"/>
      <c r="C35" s="27"/>
      <c r="D35" s="35"/>
      <c r="E35" s="24"/>
      <c r="F35" s="24"/>
      <c r="G35" s="148"/>
      <c r="H35" s="24"/>
      <c r="I35" s="148"/>
      <c r="J35" s="27"/>
      <c r="K35" s="22"/>
      <c r="L35" s="149" t="n">
        <f aca="false">IF(OR(D35="",H35&lt;&gt;"อนุมัติ"),0,IF(F35="งานลด",-N(I35),N(I35)))</f>
        <v>0</v>
      </c>
      <c r="M35" s="35"/>
    </row>
    <row r="36" customFormat="false" ht="15" hidden="false" customHeight="false" outlineLevel="0" collapsed="false">
      <c r="A36" s="106" t="str">
        <f aca="false">IF(D36="","",COUNTA(D$10:D36))</f>
        <v/>
      </c>
      <c r="B36" s="22"/>
      <c r="C36" s="27"/>
      <c r="D36" s="35"/>
      <c r="E36" s="24"/>
      <c r="F36" s="24"/>
      <c r="G36" s="148"/>
      <c r="H36" s="24"/>
      <c r="I36" s="148"/>
      <c r="J36" s="27"/>
      <c r="K36" s="22"/>
      <c r="L36" s="149" t="n">
        <f aca="false">IF(OR(D36="",H36&lt;&gt;"อนุมัติ"),0,IF(F36="งานลด",-N(I36),N(I36)))</f>
        <v>0</v>
      </c>
      <c r="M36" s="35"/>
    </row>
    <row r="37" customFormat="false" ht="15" hidden="false" customHeight="false" outlineLevel="0" collapsed="false">
      <c r="A37" s="106" t="str">
        <f aca="false">IF(D37="","",COUNTA(D$10:D37))</f>
        <v/>
      </c>
      <c r="B37" s="22"/>
      <c r="C37" s="27"/>
      <c r="D37" s="35"/>
      <c r="E37" s="24"/>
      <c r="F37" s="24"/>
      <c r="G37" s="148"/>
      <c r="H37" s="24"/>
      <c r="I37" s="148"/>
      <c r="J37" s="27"/>
      <c r="K37" s="22"/>
      <c r="L37" s="149" t="n">
        <f aca="false">IF(OR(D37="",H37&lt;&gt;"อนุมัติ"),0,IF(F37="งานลด",-N(I37),N(I37)))</f>
        <v>0</v>
      </c>
      <c r="M37" s="35"/>
    </row>
    <row r="38" customFormat="false" ht="15" hidden="false" customHeight="false" outlineLevel="0" collapsed="false">
      <c r="A38" s="106" t="str">
        <f aca="false">IF(D38="","",COUNTA(D$10:D38))</f>
        <v/>
      </c>
      <c r="B38" s="22"/>
      <c r="C38" s="27"/>
      <c r="D38" s="35"/>
      <c r="E38" s="24"/>
      <c r="F38" s="24"/>
      <c r="G38" s="148"/>
      <c r="H38" s="24"/>
      <c r="I38" s="148"/>
      <c r="J38" s="27"/>
      <c r="K38" s="22"/>
      <c r="L38" s="149" t="n">
        <f aca="false">IF(OR(D38="",H38&lt;&gt;"อนุมัติ"),0,IF(F38="งานลด",-N(I38),N(I38)))</f>
        <v>0</v>
      </c>
      <c r="M38" s="35"/>
    </row>
    <row r="39" customFormat="false" ht="15" hidden="false" customHeight="false" outlineLevel="0" collapsed="false">
      <c r="A39" s="106" t="str">
        <f aca="false">IF(D39="","",COUNTA(D$10:D39))</f>
        <v/>
      </c>
      <c r="B39" s="22"/>
      <c r="C39" s="27"/>
      <c r="D39" s="35"/>
      <c r="E39" s="24"/>
      <c r="F39" s="24"/>
      <c r="G39" s="148"/>
      <c r="H39" s="24"/>
      <c r="I39" s="148"/>
      <c r="J39" s="27"/>
      <c r="K39" s="22"/>
      <c r="L39" s="149" t="n">
        <f aca="false">IF(OR(D39="",H39&lt;&gt;"อนุมัติ"),0,IF(F39="งานลด",-N(I39),N(I39)))</f>
        <v>0</v>
      </c>
      <c r="M39" s="35"/>
    </row>
    <row r="40" customFormat="false" ht="15" hidden="false" customHeight="false" outlineLevel="0" collapsed="false">
      <c r="A40" s="106" t="str">
        <f aca="false">IF(D40="","",COUNTA(D$10:D40))</f>
        <v/>
      </c>
      <c r="B40" s="22"/>
      <c r="C40" s="27"/>
      <c r="D40" s="35"/>
      <c r="E40" s="24"/>
      <c r="F40" s="24"/>
      <c r="G40" s="148"/>
      <c r="H40" s="24"/>
      <c r="I40" s="148"/>
      <c r="J40" s="27"/>
      <c r="K40" s="22"/>
      <c r="L40" s="149" t="n">
        <f aca="false">IF(OR(D40="",H40&lt;&gt;"อนุมัติ"),0,IF(F40="งานลด",-N(I40),N(I40)))</f>
        <v>0</v>
      </c>
      <c r="M40" s="35"/>
    </row>
    <row r="41" customFormat="false" ht="15" hidden="false" customHeight="false" outlineLevel="0" collapsed="false">
      <c r="A41" s="106" t="str">
        <f aca="false">IF(D41="","",COUNTA(D$10:D41))</f>
        <v/>
      </c>
      <c r="B41" s="22"/>
      <c r="C41" s="27"/>
      <c r="D41" s="35"/>
      <c r="E41" s="24"/>
      <c r="F41" s="24"/>
      <c r="G41" s="148"/>
      <c r="H41" s="24"/>
      <c r="I41" s="148"/>
      <c r="J41" s="27"/>
      <c r="K41" s="22"/>
      <c r="L41" s="149" t="n">
        <f aca="false">IF(OR(D41="",H41&lt;&gt;"อนุมัติ"),0,IF(F41="งานลด",-N(I41),N(I41)))</f>
        <v>0</v>
      </c>
      <c r="M41" s="35"/>
    </row>
    <row r="42" customFormat="false" ht="15" hidden="false" customHeight="false" outlineLevel="0" collapsed="false">
      <c r="A42" s="106" t="str">
        <f aca="false">IF(D42="","",COUNTA(D$10:D42))</f>
        <v/>
      </c>
      <c r="B42" s="22"/>
      <c r="C42" s="27"/>
      <c r="D42" s="35"/>
      <c r="E42" s="24"/>
      <c r="F42" s="24"/>
      <c r="G42" s="148"/>
      <c r="H42" s="24"/>
      <c r="I42" s="148"/>
      <c r="J42" s="27"/>
      <c r="K42" s="22"/>
      <c r="L42" s="149" t="n">
        <f aca="false">IF(OR(D42="",H42&lt;&gt;"อนุมัติ"),0,IF(F42="งานลด",-N(I42),N(I42)))</f>
        <v>0</v>
      </c>
      <c r="M42" s="35"/>
    </row>
    <row r="43" customFormat="false" ht="15" hidden="false" customHeight="false" outlineLevel="0" collapsed="false">
      <c r="A43" s="106" t="str">
        <f aca="false">IF(D43="","",COUNTA(D$10:D43))</f>
        <v/>
      </c>
      <c r="B43" s="22"/>
      <c r="C43" s="27"/>
      <c r="D43" s="35"/>
      <c r="E43" s="24"/>
      <c r="F43" s="24"/>
      <c r="G43" s="148"/>
      <c r="H43" s="24"/>
      <c r="I43" s="148"/>
      <c r="J43" s="27"/>
      <c r="K43" s="22"/>
      <c r="L43" s="149" t="n">
        <f aca="false">IF(OR(D43="",H43&lt;&gt;"อนุมัติ"),0,IF(F43="งานลด",-N(I43),N(I43)))</f>
        <v>0</v>
      </c>
      <c r="M43" s="35"/>
    </row>
    <row r="44" customFormat="false" ht="15" hidden="false" customHeight="false" outlineLevel="0" collapsed="false">
      <c r="A44" s="106" t="str">
        <f aca="false">IF(D44="","",COUNTA(D$10:D44))</f>
        <v/>
      </c>
      <c r="B44" s="22"/>
      <c r="C44" s="27"/>
      <c r="D44" s="35"/>
      <c r="E44" s="24"/>
      <c r="F44" s="24"/>
      <c r="G44" s="148"/>
      <c r="H44" s="24"/>
      <c r="I44" s="148"/>
      <c r="J44" s="27"/>
      <c r="K44" s="22"/>
      <c r="L44" s="149" t="n">
        <f aca="false">IF(OR(D44="",H44&lt;&gt;"อนุมัติ"),0,IF(F44="งานลด",-N(I44),N(I44)))</f>
        <v>0</v>
      </c>
      <c r="M44" s="35"/>
    </row>
    <row r="45" customFormat="false" ht="15" hidden="false" customHeight="false" outlineLevel="0" collapsed="false">
      <c r="A45" s="106" t="str">
        <f aca="false">IF(D45="","",COUNTA(D$10:D45))</f>
        <v/>
      </c>
      <c r="B45" s="22"/>
      <c r="C45" s="27"/>
      <c r="D45" s="35"/>
      <c r="E45" s="24"/>
      <c r="F45" s="24"/>
      <c r="G45" s="148"/>
      <c r="H45" s="24"/>
      <c r="I45" s="148"/>
      <c r="J45" s="27"/>
      <c r="K45" s="22"/>
      <c r="L45" s="149" t="n">
        <f aca="false">IF(OR(D45="",H45&lt;&gt;"อนุมัติ"),0,IF(F45="งานลด",-N(I45),N(I45)))</f>
        <v>0</v>
      </c>
      <c r="M45" s="35"/>
    </row>
    <row r="46" customFormat="false" ht="15" hidden="false" customHeight="false" outlineLevel="0" collapsed="false">
      <c r="A46" s="106" t="str">
        <f aca="false">IF(D46="","",COUNTA(D$10:D46))</f>
        <v/>
      </c>
      <c r="B46" s="22"/>
      <c r="C46" s="27"/>
      <c r="D46" s="35"/>
      <c r="E46" s="24"/>
      <c r="F46" s="24"/>
      <c r="G46" s="148"/>
      <c r="H46" s="24"/>
      <c r="I46" s="148"/>
      <c r="J46" s="27"/>
      <c r="K46" s="22"/>
      <c r="L46" s="149" t="n">
        <f aca="false">IF(OR(D46="",H46&lt;&gt;"อนุมัติ"),0,IF(F46="งานลด",-N(I46),N(I46)))</f>
        <v>0</v>
      </c>
      <c r="M46" s="35"/>
    </row>
    <row r="47" customFormat="false" ht="15" hidden="false" customHeight="false" outlineLevel="0" collapsed="false">
      <c r="A47" s="106" t="str">
        <f aca="false">IF(D47="","",COUNTA(D$10:D47))</f>
        <v/>
      </c>
      <c r="B47" s="22"/>
      <c r="C47" s="27"/>
      <c r="D47" s="35"/>
      <c r="E47" s="24"/>
      <c r="F47" s="24"/>
      <c r="G47" s="148"/>
      <c r="H47" s="24"/>
      <c r="I47" s="148"/>
      <c r="J47" s="27"/>
      <c r="K47" s="22"/>
      <c r="L47" s="149" t="n">
        <f aca="false">IF(OR(D47="",H47&lt;&gt;"อนุมัติ"),0,IF(F47="งานลด",-N(I47),N(I47)))</f>
        <v>0</v>
      </c>
      <c r="M47" s="35"/>
    </row>
    <row r="48" customFormat="false" ht="15" hidden="false" customHeight="false" outlineLevel="0" collapsed="false">
      <c r="A48" s="106" t="str">
        <f aca="false">IF(D48="","",COUNTA(D$10:D48))</f>
        <v/>
      </c>
      <c r="B48" s="22"/>
      <c r="C48" s="27"/>
      <c r="D48" s="35"/>
      <c r="E48" s="24"/>
      <c r="F48" s="24"/>
      <c r="G48" s="148"/>
      <c r="H48" s="24"/>
      <c r="I48" s="148"/>
      <c r="J48" s="27"/>
      <c r="K48" s="22"/>
      <c r="L48" s="149" t="n">
        <f aca="false">IF(OR(D48="",H48&lt;&gt;"อนุมัติ"),0,IF(F48="งานลด",-N(I48),N(I48)))</f>
        <v>0</v>
      </c>
      <c r="M48" s="35"/>
    </row>
    <row r="49" customFormat="false" ht="15" hidden="false" customHeight="false" outlineLevel="0" collapsed="false">
      <c r="A49" s="106" t="str">
        <f aca="false">IF(D49="","",COUNTA(D$10:D49))</f>
        <v/>
      </c>
      <c r="B49" s="22"/>
      <c r="C49" s="27"/>
      <c r="D49" s="35"/>
      <c r="E49" s="24"/>
      <c r="F49" s="24"/>
      <c r="G49" s="148"/>
      <c r="H49" s="24"/>
      <c r="I49" s="148"/>
      <c r="J49" s="27"/>
      <c r="K49" s="22"/>
      <c r="L49" s="149" t="n">
        <f aca="false">IF(OR(D49="",H49&lt;&gt;"อนุมัติ"),0,IF(F49="งานลด",-N(I49),N(I49)))</f>
        <v>0</v>
      </c>
      <c r="M49" s="35"/>
    </row>
    <row r="50" customFormat="false" ht="15" hidden="false" customHeight="false" outlineLevel="0" collapsed="false">
      <c r="A50" s="106" t="str">
        <f aca="false">IF(D50="","",COUNTA(D$10:D50))</f>
        <v/>
      </c>
      <c r="B50" s="22"/>
      <c r="C50" s="27"/>
      <c r="D50" s="35"/>
      <c r="E50" s="24"/>
      <c r="F50" s="24"/>
      <c r="G50" s="148"/>
      <c r="H50" s="24"/>
      <c r="I50" s="148"/>
      <c r="J50" s="27"/>
      <c r="K50" s="22"/>
      <c r="L50" s="149" t="n">
        <f aca="false">IF(OR(D50="",H50&lt;&gt;"อนุมัติ"),0,IF(F50="งานลด",-N(I50),N(I50)))</f>
        <v>0</v>
      </c>
      <c r="M50" s="35"/>
    </row>
    <row r="51" customFormat="false" ht="15" hidden="false" customHeight="false" outlineLevel="0" collapsed="false">
      <c r="A51" s="106" t="str">
        <f aca="false">IF(D51="","",COUNTA(D$10:D51))</f>
        <v/>
      </c>
      <c r="B51" s="22"/>
      <c r="C51" s="27"/>
      <c r="D51" s="35"/>
      <c r="E51" s="24"/>
      <c r="F51" s="24"/>
      <c r="G51" s="148"/>
      <c r="H51" s="24"/>
      <c r="I51" s="148"/>
      <c r="J51" s="27"/>
      <c r="K51" s="22"/>
      <c r="L51" s="149" t="n">
        <f aca="false">IF(OR(D51="",H51&lt;&gt;"อนุมัติ"),0,IF(F51="งานลด",-N(I51),N(I51)))</f>
        <v>0</v>
      </c>
      <c r="M51" s="35"/>
    </row>
    <row r="52" customFormat="false" ht="15" hidden="false" customHeight="false" outlineLevel="0" collapsed="false">
      <c r="A52" s="106" t="str">
        <f aca="false">IF(D52="","",COUNTA(D$10:D52))</f>
        <v/>
      </c>
      <c r="B52" s="22"/>
      <c r="C52" s="27"/>
      <c r="D52" s="35"/>
      <c r="E52" s="24"/>
      <c r="F52" s="24"/>
      <c r="G52" s="148"/>
      <c r="H52" s="24"/>
      <c r="I52" s="148"/>
      <c r="J52" s="27"/>
      <c r="K52" s="22"/>
      <c r="L52" s="149" t="n">
        <f aca="false">IF(OR(D52="",H52&lt;&gt;"อนุมัติ"),0,IF(F52="งานลด",-N(I52),N(I52)))</f>
        <v>0</v>
      </c>
      <c r="M52" s="35"/>
    </row>
    <row r="53" customFormat="false" ht="15" hidden="false" customHeight="false" outlineLevel="0" collapsed="false">
      <c r="A53" s="106" t="str">
        <f aca="false">IF(D53="","",COUNTA(D$10:D53))</f>
        <v/>
      </c>
      <c r="B53" s="22"/>
      <c r="C53" s="27"/>
      <c r="D53" s="35"/>
      <c r="E53" s="24"/>
      <c r="F53" s="24"/>
      <c r="G53" s="148"/>
      <c r="H53" s="24"/>
      <c r="I53" s="148"/>
      <c r="J53" s="27"/>
      <c r="K53" s="22"/>
      <c r="L53" s="149" t="n">
        <f aca="false">IF(OR(D53="",H53&lt;&gt;"อนุมัติ"),0,IF(F53="งานลด",-N(I53),N(I53)))</f>
        <v>0</v>
      </c>
      <c r="M53" s="35"/>
    </row>
    <row r="54" customFormat="false" ht="15" hidden="false" customHeight="false" outlineLevel="0" collapsed="false">
      <c r="A54" s="106" t="str">
        <f aca="false">IF(D54="","",COUNTA(D$10:D54))</f>
        <v/>
      </c>
      <c r="B54" s="22"/>
      <c r="C54" s="27"/>
      <c r="D54" s="35"/>
      <c r="E54" s="24"/>
      <c r="F54" s="24"/>
      <c r="G54" s="148"/>
      <c r="H54" s="24"/>
      <c r="I54" s="148"/>
      <c r="J54" s="27"/>
      <c r="K54" s="22"/>
      <c r="L54" s="149" t="n">
        <f aca="false">IF(OR(D54="",H54&lt;&gt;"อนุมัติ"),0,IF(F54="งานลด",-N(I54),N(I54)))</f>
        <v>0</v>
      </c>
      <c r="M54" s="35"/>
    </row>
    <row r="55" customFormat="false" ht="15" hidden="false" customHeight="false" outlineLevel="0" collapsed="false">
      <c r="A55" s="106" t="str">
        <f aca="false">IF(D55="","",COUNTA(D$10:D55))</f>
        <v/>
      </c>
      <c r="B55" s="22"/>
      <c r="C55" s="27"/>
      <c r="D55" s="35"/>
      <c r="E55" s="24"/>
      <c r="F55" s="24"/>
      <c r="G55" s="148"/>
      <c r="H55" s="24"/>
      <c r="I55" s="148"/>
      <c r="J55" s="27"/>
      <c r="K55" s="22"/>
      <c r="L55" s="149" t="n">
        <f aca="false">IF(OR(D55="",H55&lt;&gt;"อนุมัติ"),0,IF(F55="งานลด",-N(I55),N(I55)))</f>
        <v>0</v>
      </c>
      <c r="M55" s="35"/>
    </row>
    <row r="56" customFormat="false" ht="15" hidden="false" customHeight="false" outlineLevel="0" collapsed="false">
      <c r="A56" s="106" t="str">
        <f aca="false">IF(D56="","",COUNTA(D$10:D56))</f>
        <v/>
      </c>
      <c r="B56" s="22"/>
      <c r="C56" s="27"/>
      <c r="D56" s="35"/>
      <c r="E56" s="24"/>
      <c r="F56" s="24"/>
      <c r="G56" s="148"/>
      <c r="H56" s="24"/>
      <c r="I56" s="148"/>
      <c r="J56" s="27"/>
      <c r="K56" s="22"/>
      <c r="L56" s="149" t="n">
        <f aca="false">IF(OR(D56="",H56&lt;&gt;"อนุมัติ"),0,IF(F56="งานลด",-N(I56),N(I56)))</f>
        <v>0</v>
      </c>
      <c r="M56" s="35"/>
    </row>
    <row r="57" customFormat="false" ht="15" hidden="false" customHeight="false" outlineLevel="0" collapsed="false">
      <c r="A57" s="106" t="str">
        <f aca="false">IF(D57="","",COUNTA(D$10:D57))</f>
        <v/>
      </c>
      <c r="B57" s="22"/>
      <c r="C57" s="27"/>
      <c r="D57" s="35"/>
      <c r="E57" s="24"/>
      <c r="F57" s="24"/>
      <c r="G57" s="148"/>
      <c r="H57" s="24"/>
      <c r="I57" s="148"/>
      <c r="J57" s="27"/>
      <c r="K57" s="22"/>
      <c r="L57" s="149" t="n">
        <f aca="false">IF(OR(D57="",H57&lt;&gt;"อนุมัติ"),0,IF(F57="งานลด",-N(I57),N(I57)))</f>
        <v>0</v>
      </c>
      <c r="M57" s="35"/>
    </row>
    <row r="58" customFormat="false" ht="15" hidden="false" customHeight="false" outlineLevel="0" collapsed="false">
      <c r="A58" s="106" t="str">
        <f aca="false">IF(D58="","",COUNTA(D$10:D58))</f>
        <v/>
      </c>
      <c r="B58" s="22"/>
      <c r="C58" s="27"/>
      <c r="D58" s="35"/>
      <c r="E58" s="24"/>
      <c r="F58" s="24"/>
      <c r="G58" s="148"/>
      <c r="H58" s="24"/>
      <c r="I58" s="148"/>
      <c r="J58" s="27"/>
      <c r="K58" s="22"/>
      <c r="L58" s="149" t="n">
        <f aca="false">IF(OR(D58="",H58&lt;&gt;"อนุมัติ"),0,IF(F58="งานลด",-N(I58),N(I58)))</f>
        <v>0</v>
      </c>
      <c r="M58" s="35"/>
    </row>
    <row r="59" customFormat="false" ht="15" hidden="false" customHeight="false" outlineLevel="0" collapsed="false">
      <c r="A59" s="106" t="str">
        <f aca="false">IF(D59="","",COUNTA(D$10:D59))</f>
        <v/>
      </c>
      <c r="B59" s="22"/>
      <c r="C59" s="27"/>
      <c r="D59" s="35"/>
      <c r="E59" s="24"/>
      <c r="F59" s="24"/>
      <c r="G59" s="148"/>
      <c r="H59" s="24"/>
      <c r="I59" s="148"/>
      <c r="J59" s="27"/>
      <c r="K59" s="22"/>
      <c r="L59" s="149" t="n">
        <f aca="false">IF(OR(D59="",H59&lt;&gt;"อนุมัติ"),0,IF(F59="งานลด",-N(I59),N(I59)))</f>
        <v>0</v>
      </c>
      <c r="M59" s="35"/>
    </row>
  </sheetData>
  <sheetProtection sheet="true" formatCells="false" formatColumns="false" formatRows="false"/>
  <mergeCells count="5">
    <mergeCell ref="A3:B3"/>
    <mergeCell ref="A4:B4"/>
    <mergeCell ref="A5:B5"/>
    <mergeCell ref="A6:B6"/>
    <mergeCell ref="A7:B7"/>
  </mergeCells>
  <conditionalFormatting sqref="H10:H59">
    <cfRule type="expression" priority="2" aboveAverage="0" equalAverage="0" bottom="0" percent="0" rank="0" text="" dxfId="5">
      <formula>H10="รอพิจารณา"</formula>
    </cfRule>
    <cfRule type="expression" priority="3" aboveAverage="0" equalAverage="0" bottom="0" percent="0" rank="0" text="" dxfId="7">
      <formula>H10="อนุมัติ"</formula>
    </cfRule>
  </conditionalFormatting>
  <conditionalFormatting sqref="L10:L59">
    <cfRule type="expression" priority="4" aboveAverage="0" equalAverage="0" bottom="0" percent="0" rank="0" text="" dxfId="9">
      <formula>L10&lt;0</formula>
    </cfRule>
  </conditionalFormatting>
  <dataValidations count="3">
    <dataValidation allowBlank="false" errorStyle="stop" operator="between" showDropDown="false" showErrorMessage="false" showInputMessage="false" sqref="F10:F59" type="list">
      <formula1>"งานเพิ่ม,งานลด"</formula1>
      <formula2>0</formula2>
    </dataValidation>
    <dataValidation allowBlank="false" errorStyle="stop" operator="between" showDropDown="false" showErrorMessage="false" showInputMessage="false" sqref="H10:H59" type="list">
      <formula1>"รอพิจารณา,อนุมัติ,ไม่อนุมัติ"</formula1>
      <formula2>0</formula2>
    </dataValidation>
    <dataValidation allowBlank="true" errorStyle="stop" operator="between" showDropDown="false" showErrorMessage="false" showInputMessage="false" sqref="E10:E59" type="list">
      <formula1>'แผนงาน Schedule'!$A$7:$A$66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5" min="5" style="1" width="15"/>
    <col collapsed="false" customWidth="true" hidden="false" outlineLevel="0" max="11" min="6" style="1" width="9"/>
    <col collapsed="false" customWidth="true" hidden="false" outlineLevel="0" max="14" min="12" style="1" width="14"/>
    <col collapsed="false" customWidth="true" hidden="false" outlineLevel="0" max="15" min="15" style="1" width="13"/>
    <col collapsed="false" customWidth="true" hidden="false" outlineLevel="0" max="16" min="16" style="1" width="16"/>
    <col collapsed="false" customWidth="true" hidden="false" outlineLevel="0" max="17" min="17" style="1" width="18"/>
  </cols>
  <sheetData>
    <row r="1" customFormat="false" ht="20.1" hidden="false" customHeight="false" outlineLevel="0" collapsed="false">
      <c r="A1" s="2" t="s">
        <v>573</v>
      </c>
    </row>
    <row r="2" customFormat="false" ht="15" hidden="false" customHeight="false" outlineLevel="0" collapsed="false">
      <c r="A2" s="19" t="s">
        <v>574</v>
      </c>
    </row>
    <row r="3" customFormat="false" ht="15" hidden="false" customHeight="true" outlineLevel="0" collapsed="false">
      <c r="A3" s="20" t="s">
        <v>575</v>
      </c>
      <c r="B3" s="20"/>
      <c r="C3" s="20"/>
      <c r="D3" s="20" t="s">
        <v>576</v>
      </c>
      <c r="F3" s="20" t="s">
        <v>577</v>
      </c>
      <c r="G3" s="20"/>
      <c r="H3" s="20" t="s">
        <v>578</v>
      </c>
      <c r="I3" s="75" t="s">
        <v>579</v>
      </c>
      <c r="J3" s="94" t="s">
        <v>580</v>
      </c>
      <c r="K3" s="94"/>
      <c r="L3" s="20" t="s">
        <v>581</v>
      </c>
      <c r="M3" s="20"/>
      <c r="N3" s="20" t="s">
        <v>582</v>
      </c>
    </row>
    <row r="4" customFormat="false" ht="15" hidden="false" customHeight="false" outlineLevel="0" collapsed="false">
      <c r="A4" s="65" t="s">
        <v>583</v>
      </c>
      <c r="B4" s="65"/>
      <c r="C4" s="65"/>
      <c r="D4" s="150" t="n">
        <f aca="false">'งานเพิ่มลด VO'!C6</f>
        <v>12108000</v>
      </c>
      <c r="F4" s="65" t="s">
        <v>584</v>
      </c>
      <c r="G4" s="65"/>
      <c r="H4" s="151" t="n">
        <v>0.25</v>
      </c>
      <c r="I4" s="152"/>
      <c r="J4" s="153"/>
      <c r="K4" s="153"/>
      <c r="L4" s="65" t="s">
        <v>585</v>
      </c>
      <c r="M4" s="65"/>
      <c r="N4" s="150" t="n">
        <f aca="false">D6-SUMIF(Q15:Q34,"ตรวจรับแล้ว",M15:M34)</f>
        <v>1816200</v>
      </c>
    </row>
    <row r="5" customFormat="false" ht="15" hidden="false" customHeight="false" outlineLevel="0" collapsed="false">
      <c r="A5" s="65" t="s">
        <v>586</v>
      </c>
      <c r="B5" s="65"/>
      <c r="C5" s="65"/>
      <c r="D5" s="154" t="n">
        <v>0.15</v>
      </c>
      <c r="F5" s="68" t="s">
        <v>587</v>
      </c>
      <c r="G5" s="68"/>
      <c r="H5" s="151" t="n">
        <v>0.15</v>
      </c>
      <c r="I5" s="151" t="n">
        <v>100</v>
      </c>
      <c r="J5" s="155" t="s">
        <v>588</v>
      </c>
      <c r="K5" s="155"/>
      <c r="L5" s="65" t="s">
        <v>589</v>
      </c>
      <c r="M5" s="65"/>
      <c r="N5" s="150" t="n">
        <f aca="false">SUMIF(Q15:Q34,"ตรวจรับแล้ว",N15:N34)</f>
        <v>0</v>
      </c>
    </row>
    <row r="6" customFormat="false" ht="15" hidden="false" customHeight="false" outlineLevel="0" collapsed="false">
      <c r="A6" s="65" t="s">
        <v>590</v>
      </c>
      <c r="B6" s="65"/>
      <c r="C6" s="65"/>
      <c r="D6" s="156" t="n">
        <f aca="false">'ตั้งค่า Setup'!$C$9*D5</f>
        <v>1816200</v>
      </c>
      <c r="F6" s="68" t="s">
        <v>591</v>
      </c>
      <c r="G6" s="68"/>
      <c r="H6" s="151" t="n">
        <v>0.1</v>
      </c>
      <c r="I6" s="151" t="n">
        <v>100</v>
      </c>
      <c r="J6" s="155" t="s">
        <v>592</v>
      </c>
      <c r="K6" s="155"/>
      <c r="L6" s="65" t="s">
        <v>593</v>
      </c>
      <c r="M6" s="65"/>
      <c r="N6" s="150" t="n">
        <f aca="false">SUMIF(Q15:Q34,"ตรวจรับแล้ว",P15:P34)</f>
        <v>0</v>
      </c>
    </row>
    <row r="7" customFormat="false" ht="15" hidden="false" customHeight="false" outlineLevel="0" collapsed="false">
      <c r="A7" s="65" t="s">
        <v>594</v>
      </c>
      <c r="B7" s="65"/>
      <c r="C7" s="65"/>
      <c r="D7" s="154" t="n">
        <v>0.05</v>
      </c>
      <c r="F7" s="68" t="s">
        <v>595</v>
      </c>
      <c r="G7" s="68"/>
      <c r="H7" s="151" t="n">
        <v>0.4</v>
      </c>
      <c r="I7" s="151" t="n">
        <v>100</v>
      </c>
      <c r="J7" s="155" t="s">
        <v>596</v>
      </c>
      <c r="K7" s="155"/>
    </row>
    <row r="8" customFormat="false" ht="15" hidden="false" customHeight="false" outlineLevel="0" collapsed="false">
      <c r="A8" s="65" t="s">
        <v>597</v>
      </c>
      <c r="B8" s="65"/>
      <c r="C8" s="65"/>
      <c r="D8" s="154" t="n">
        <v>0.04</v>
      </c>
      <c r="F8" s="68" t="s">
        <v>598</v>
      </c>
      <c r="G8" s="68"/>
      <c r="H8" s="151" t="n">
        <v>0.1</v>
      </c>
      <c r="I8" s="151" t="n">
        <v>100</v>
      </c>
      <c r="J8" s="155" t="s">
        <v>599</v>
      </c>
      <c r="K8" s="155"/>
    </row>
    <row r="9" customFormat="false" ht="15" hidden="false" customHeight="false" outlineLevel="0" collapsed="false">
      <c r="A9" s="65" t="s">
        <v>600</v>
      </c>
      <c r="B9" s="65"/>
      <c r="C9" s="65"/>
      <c r="D9" s="22" t="s">
        <v>601</v>
      </c>
      <c r="F9" s="68" t="s">
        <v>602</v>
      </c>
      <c r="G9" s="68"/>
      <c r="H9" s="151" t="n">
        <v>0</v>
      </c>
      <c r="I9" s="151"/>
      <c r="J9" s="155"/>
      <c r="K9" s="155"/>
    </row>
    <row r="10" customFormat="false" ht="15" hidden="false" customHeight="false" outlineLevel="0" collapsed="false">
      <c r="A10" s="65" t="s">
        <v>603</v>
      </c>
      <c r="B10" s="65"/>
      <c r="C10" s="65"/>
      <c r="D10" s="47" t="n">
        <f aca="false">H4+SUM(H5:H9)</f>
        <v>1</v>
      </c>
      <c r="F10" s="157" t="s">
        <v>604</v>
      </c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</row>
    <row r="14" customFormat="false" ht="36" hidden="false" customHeight="true" outlineLevel="0" collapsed="false">
      <c r="A14" s="20" t="s">
        <v>519</v>
      </c>
      <c r="B14" s="20" t="s">
        <v>605</v>
      </c>
      <c r="C14" s="20" t="s">
        <v>606</v>
      </c>
      <c r="D14" s="75" t="s">
        <v>607</v>
      </c>
      <c r="E14" s="20" t="s">
        <v>608</v>
      </c>
      <c r="F14" s="75" t="s">
        <v>609</v>
      </c>
      <c r="G14" s="75" t="s">
        <v>610</v>
      </c>
      <c r="H14" s="75" t="s">
        <v>611</v>
      </c>
      <c r="I14" s="75" t="s">
        <v>612</v>
      </c>
      <c r="J14" s="75" t="s">
        <v>613</v>
      </c>
      <c r="K14" s="20" t="s">
        <v>614</v>
      </c>
      <c r="L14" s="20" t="s">
        <v>615</v>
      </c>
      <c r="M14" s="20" t="s">
        <v>616</v>
      </c>
      <c r="N14" s="20" t="s">
        <v>617</v>
      </c>
      <c r="O14" s="20" t="s">
        <v>618</v>
      </c>
      <c r="P14" s="20" t="s">
        <v>619</v>
      </c>
      <c r="Q14" s="20" t="s">
        <v>620</v>
      </c>
    </row>
    <row r="15" customFormat="false" ht="15" hidden="false" customHeight="false" outlineLevel="0" collapsed="false">
      <c r="A15" s="87" t="str">
        <f aca="false">IF('งวดงาน Installments'!B7="","",'งวดงาน Installments'!A7)</f>
        <v/>
      </c>
      <c r="B15" s="88" t="str">
        <f aca="false">IF(A15="","",IF('งวดงาน Installments'!H7&lt;&gt;"",'งวดงาน Installments'!H7,IF('งวดงาน Installments'!G7&lt;&gt;"",'งวดงาน Installments'!G7,"")))</f>
        <v/>
      </c>
      <c r="C15" s="158" t="str">
        <f aca="false">IF(A15="","",N('งวดงาน Installments'!E7))</f>
        <v/>
      </c>
      <c r="D15" s="148"/>
      <c r="E15" s="158" t="str">
        <f aca="false">IF(A15="","",C15+N(D15))</f>
        <v/>
      </c>
      <c r="F15" s="151"/>
      <c r="G15" s="151"/>
      <c r="H15" s="151"/>
      <c r="I15" s="151"/>
      <c r="J15" s="151"/>
      <c r="K15" s="159" t="str">
        <f aca="false">IF(OR(A15="",$D$9&lt;&gt;"ใช้",OR(COUNT(F15:J15)=0,AND($H$5&gt;0,F15=""),AND($H$6&gt;0,G15=""),AND($H$7&gt;0,H15=""),AND($H$8&gt;0,I15=""),AND($H$9&gt;0,J15=""))),"",$H$4+IF($I$5&gt;0,$H$5*F15/$I$5,0)+IF($I$6&gt;0,$H$6*G15/$I$6,0)+IF($I$7&gt;0,$H$7*H15/$I$7,0)+IF($I$8&gt;0,$H$8*I15/$I$8,0)+IF($I$9&gt;0,$H$9*J15/$I$9,0))</f>
        <v/>
      </c>
      <c r="L15" s="158" t="str">
        <f aca="false">IF(K15="","",IF(K15&gt;1+$D$8,E15*(K15-1-$D$8),IF(K15&lt;1-$D$8,E15*(K15-1+$D$8),0)))</f>
        <v/>
      </c>
      <c r="M15" s="158" t="str">
        <f aca="false">IF(A15="","",E15*$D$5)</f>
        <v/>
      </c>
      <c r="N15" s="158" t="str">
        <f aca="false">IF(A15="","",E15*$D$7)</f>
        <v/>
      </c>
      <c r="O15" s="148"/>
      <c r="P15" s="158" t="str">
        <f aca="false">IF(A15="","",E15+N(L15)-M15-N15-N(O15))</f>
        <v/>
      </c>
      <c r="Q15" s="87" t="str">
        <f aca="false">IF(A15="","",'งวดงาน Installments'!K7)</f>
        <v/>
      </c>
    </row>
    <row r="16" customFormat="false" ht="15" hidden="false" customHeight="false" outlineLevel="0" collapsed="false">
      <c r="A16" s="87" t="str">
        <f aca="false">IF('งวดงาน Installments'!B8="","",'งวดงาน Installments'!A8)</f>
        <v/>
      </c>
      <c r="B16" s="88" t="str">
        <f aca="false">IF(A16="","",IF('งวดงาน Installments'!H8&lt;&gt;"",'งวดงาน Installments'!H8,IF('งวดงาน Installments'!G8&lt;&gt;"",'งวดงาน Installments'!G8,"")))</f>
        <v/>
      </c>
      <c r="C16" s="158" t="str">
        <f aca="false">IF(A16="","",N('งวดงาน Installments'!E8))</f>
        <v/>
      </c>
      <c r="D16" s="148"/>
      <c r="E16" s="158" t="str">
        <f aca="false">IF(A16="","",C16+N(D16))</f>
        <v/>
      </c>
      <c r="F16" s="151"/>
      <c r="G16" s="151"/>
      <c r="H16" s="151"/>
      <c r="I16" s="151"/>
      <c r="J16" s="151"/>
      <c r="K16" s="159" t="str">
        <f aca="false">IF(OR(A16="",$D$9&lt;&gt;"ใช้",OR(COUNT(F16:J16)=0,AND($H$5&gt;0,F16=""),AND($H$6&gt;0,G16=""),AND($H$7&gt;0,H16=""),AND($H$8&gt;0,I16=""),AND($H$9&gt;0,J16=""))),"",$H$4+IF($I$5&gt;0,$H$5*F16/$I$5,0)+IF($I$6&gt;0,$H$6*G16/$I$6,0)+IF($I$7&gt;0,$H$7*H16/$I$7,0)+IF($I$8&gt;0,$H$8*I16/$I$8,0)+IF($I$9&gt;0,$H$9*J16/$I$9,0))</f>
        <v/>
      </c>
      <c r="L16" s="158" t="str">
        <f aca="false">IF(K16="","",IF(K16&gt;1+$D$8,E16*(K16-1-$D$8),IF(K16&lt;1-$D$8,E16*(K16-1+$D$8),0)))</f>
        <v/>
      </c>
      <c r="M16" s="158" t="str">
        <f aca="false">IF(A16="","",E16*$D$5)</f>
        <v/>
      </c>
      <c r="N16" s="158" t="str">
        <f aca="false">IF(A16="","",E16*$D$7)</f>
        <v/>
      </c>
      <c r="O16" s="148"/>
      <c r="P16" s="158" t="str">
        <f aca="false">IF(A16="","",E16+N(L16)-M16-N16-N(O16))</f>
        <v/>
      </c>
      <c r="Q16" s="87" t="str">
        <f aca="false">IF(A16="","",'งวดงาน Installments'!K8)</f>
        <v/>
      </c>
    </row>
    <row r="17" customFormat="false" ht="15" hidden="false" customHeight="false" outlineLevel="0" collapsed="false">
      <c r="A17" s="87" t="str">
        <f aca="false">IF('งวดงาน Installments'!B9="","",'งวดงาน Installments'!A9)</f>
        <v/>
      </c>
      <c r="B17" s="88" t="str">
        <f aca="false">IF(A17="","",IF('งวดงาน Installments'!H9&lt;&gt;"",'งวดงาน Installments'!H9,IF('งวดงาน Installments'!G9&lt;&gt;"",'งวดงาน Installments'!G9,"")))</f>
        <v/>
      </c>
      <c r="C17" s="158" t="str">
        <f aca="false">IF(A17="","",N('งวดงาน Installments'!E9))</f>
        <v/>
      </c>
      <c r="D17" s="148"/>
      <c r="E17" s="158" t="str">
        <f aca="false">IF(A17="","",C17+N(D17))</f>
        <v/>
      </c>
      <c r="F17" s="151"/>
      <c r="G17" s="151"/>
      <c r="H17" s="151"/>
      <c r="I17" s="151"/>
      <c r="J17" s="151"/>
      <c r="K17" s="159" t="str">
        <f aca="false">IF(OR(A17="",$D$9&lt;&gt;"ใช้",OR(COUNT(F17:J17)=0,AND($H$5&gt;0,F17=""),AND($H$6&gt;0,G17=""),AND($H$7&gt;0,H17=""),AND($H$8&gt;0,I17=""),AND($H$9&gt;0,J17=""))),"",$H$4+IF($I$5&gt;0,$H$5*F17/$I$5,0)+IF($I$6&gt;0,$H$6*G17/$I$6,0)+IF($I$7&gt;0,$H$7*H17/$I$7,0)+IF($I$8&gt;0,$H$8*I17/$I$8,0)+IF($I$9&gt;0,$H$9*J17/$I$9,0))</f>
        <v/>
      </c>
      <c r="L17" s="158" t="str">
        <f aca="false">IF(K17="","",IF(K17&gt;1+$D$8,E17*(K17-1-$D$8),IF(K17&lt;1-$D$8,E17*(K17-1+$D$8),0)))</f>
        <v/>
      </c>
      <c r="M17" s="158" t="str">
        <f aca="false">IF(A17="","",E17*$D$5)</f>
        <v/>
      </c>
      <c r="N17" s="158" t="str">
        <f aca="false">IF(A17="","",E17*$D$7)</f>
        <v/>
      </c>
      <c r="O17" s="148"/>
      <c r="P17" s="158" t="str">
        <f aca="false">IF(A17="","",E17+N(L17)-M17-N17-N(O17))</f>
        <v/>
      </c>
      <c r="Q17" s="87" t="str">
        <f aca="false">IF(A17="","",'งวดงาน Installments'!K9)</f>
        <v/>
      </c>
    </row>
    <row r="18" customFormat="false" ht="15" hidden="false" customHeight="false" outlineLevel="0" collapsed="false">
      <c r="A18" s="87" t="str">
        <f aca="false">IF('งวดงาน Installments'!B10="","",'งวดงาน Installments'!A10)</f>
        <v/>
      </c>
      <c r="B18" s="88" t="str">
        <f aca="false">IF(A18="","",IF('งวดงาน Installments'!H10&lt;&gt;"",'งวดงาน Installments'!H10,IF('งวดงาน Installments'!G10&lt;&gt;"",'งวดงาน Installments'!G10,"")))</f>
        <v/>
      </c>
      <c r="C18" s="158" t="str">
        <f aca="false">IF(A18="","",N('งวดงาน Installments'!E10))</f>
        <v/>
      </c>
      <c r="D18" s="148"/>
      <c r="E18" s="158" t="str">
        <f aca="false">IF(A18="","",C18+N(D18))</f>
        <v/>
      </c>
      <c r="F18" s="151"/>
      <c r="G18" s="151"/>
      <c r="H18" s="151"/>
      <c r="I18" s="151"/>
      <c r="J18" s="151"/>
      <c r="K18" s="159" t="str">
        <f aca="false">IF(OR(A18="",$D$9&lt;&gt;"ใช้",OR(COUNT(F18:J18)=0,AND($H$5&gt;0,F18=""),AND($H$6&gt;0,G18=""),AND($H$7&gt;0,H18=""),AND($H$8&gt;0,I18=""),AND($H$9&gt;0,J18=""))),"",$H$4+IF($I$5&gt;0,$H$5*F18/$I$5,0)+IF($I$6&gt;0,$H$6*G18/$I$6,0)+IF($I$7&gt;0,$H$7*H18/$I$7,0)+IF($I$8&gt;0,$H$8*I18/$I$8,0)+IF($I$9&gt;0,$H$9*J18/$I$9,0))</f>
        <v/>
      </c>
      <c r="L18" s="158" t="str">
        <f aca="false">IF(K18="","",IF(K18&gt;1+$D$8,E18*(K18-1-$D$8),IF(K18&lt;1-$D$8,E18*(K18-1+$D$8),0)))</f>
        <v/>
      </c>
      <c r="M18" s="158" t="str">
        <f aca="false">IF(A18="","",E18*$D$5)</f>
        <v/>
      </c>
      <c r="N18" s="158" t="str">
        <f aca="false">IF(A18="","",E18*$D$7)</f>
        <v/>
      </c>
      <c r="O18" s="148"/>
      <c r="P18" s="158" t="str">
        <f aca="false">IF(A18="","",E18+N(L18)-M18-N18-N(O18))</f>
        <v/>
      </c>
      <c r="Q18" s="87" t="str">
        <f aca="false">IF(A18="","",'งวดงาน Installments'!K10)</f>
        <v/>
      </c>
    </row>
    <row r="19" customFormat="false" ht="15" hidden="false" customHeight="false" outlineLevel="0" collapsed="false">
      <c r="A19" s="87" t="str">
        <f aca="false">IF('งวดงาน Installments'!B11="","",'งวดงาน Installments'!A11)</f>
        <v/>
      </c>
      <c r="B19" s="88" t="str">
        <f aca="false">IF(A19="","",IF('งวดงาน Installments'!H11&lt;&gt;"",'งวดงาน Installments'!H11,IF('งวดงาน Installments'!G11&lt;&gt;"",'งวดงาน Installments'!G11,"")))</f>
        <v/>
      </c>
      <c r="C19" s="158" t="str">
        <f aca="false">IF(A19="","",N('งวดงาน Installments'!E11))</f>
        <v/>
      </c>
      <c r="D19" s="148"/>
      <c r="E19" s="158" t="str">
        <f aca="false">IF(A19="","",C19+N(D19))</f>
        <v/>
      </c>
      <c r="F19" s="151"/>
      <c r="G19" s="151"/>
      <c r="H19" s="151"/>
      <c r="I19" s="151"/>
      <c r="J19" s="151"/>
      <c r="K19" s="159" t="str">
        <f aca="false">IF(OR(A19="",$D$9&lt;&gt;"ใช้",OR(COUNT(F19:J19)=0,AND($H$5&gt;0,F19=""),AND($H$6&gt;0,G19=""),AND($H$7&gt;0,H19=""),AND($H$8&gt;0,I19=""),AND($H$9&gt;0,J19=""))),"",$H$4+IF($I$5&gt;0,$H$5*F19/$I$5,0)+IF($I$6&gt;0,$H$6*G19/$I$6,0)+IF($I$7&gt;0,$H$7*H19/$I$7,0)+IF($I$8&gt;0,$H$8*I19/$I$8,0)+IF($I$9&gt;0,$H$9*J19/$I$9,0))</f>
        <v/>
      </c>
      <c r="L19" s="158" t="str">
        <f aca="false">IF(K19="","",IF(K19&gt;1+$D$8,E19*(K19-1-$D$8),IF(K19&lt;1-$D$8,E19*(K19-1+$D$8),0)))</f>
        <v/>
      </c>
      <c r="M19" s="158" t="str">
        <f aca="false">IF(A19="","",E19*$D$5)</f>
        <v/>
      </c>
      <c r="N19" s="158" t="str">
        <f aca="false">IF(A19="","",E19*$D$7)</f>
        <v/>
      </c>
      <c r="O19" s="148"/>
      <c r="P19" s="158" t="str">
        <f aca="false">IF(A19="","",E19+N(L19)-M19-N19-N(O19))</f>
        <v/>
      </c>
      <c r="Q19" s="87" t="str">
        <f aca="false">IF(A19="","",'งวดงาน Installments'!K11)</f>
        <v/>
      </c>
    </row>
    <row r="20" customFormat="false" ht="15" hidden="false" customHeight="false" outlineLevel="0" collapsed="false">
      <c r="A20" s="87" t="str">
        <f aca="false">IF('งวดงาน Installments'!B12="","",'งวดงาน Installments'!A12)</f>
        <v/>
      </c>
      <c r="B20" s="88" t="str">
        <f aca="false">IF(A20="","",IF('งวดงาน Installments'!H12&lt;&gt;"",'งวดงาน Installments'!H12,IF('งวดงาน Installments'!G12&lt;&gt;"",'งวดงาน Installments'!G12,"")))</f>
        <v/>
      </c>
      <c r="C20" s="158" t="str">
        <f aca="false">IF(A20="","",N('งวดงาน Installments'!E12))</f>
        <v/>
      </c>
      <c r="D20" s="148"/>
      <c r="E20" s="158" t="str">
        <f aca="false">IF(A20="","",C20+N(D20))</f>
        <v/>
      </c>
      <c r="F20" s="151"/>
      <c r="G20" s="151"/>
      <c r="H20" s="151"/>
      <c r="I20" s="151"/>
      <c r="J20" s="151"/>
      <c r="K20" s="159" t="str">
        <f aca="false">IF(OR(A20="",$D$9&lt;&gt;"ใช้",OR(COUNT(F20:J20)=0,AND($H$5&gt;0,F20=""),AND($H$6&gt;0,G20=""),AND($H$7&gt;0,H20=""),AND($H$8&gt;0,I20=""),AND($H$9&gt;0,J20=""))),"",$H$4+IF($I$5&gt;0,$H$5*F20/$I$5,0)+IF($I$6&gt;0,$H$6*G20/$I$6,0)+IF($I$7&gt;0,$H$7*H20/$I$7,0)+IF($I$8&gt;0,$H$8*I20/$I$8,0)+IF($I$9&gt;0,$H$9*J20/$I$9,0))</f>
        <v/>
      </c>
      <c r="L20" s="158" t="str">
        <f aca="false">IF(K20="","",IF(K20&gt;1+$D$8,E20*(K20-1-$D$8),IF(K20&lt;1-$D$8,E20*(K20-1+$D$8),0)))</f>
        <v/>
      </c>
      <c r="M20" s="158" t="str">
        <f aca="false">IF(A20="","",E20*$D$5)</f>
        <v/>
      </c>
      <c r="N20" s="158" t="str">
        <f aca="false">IF(A20="","",E20*$D$7)</f>
        <v/>
      </c>
      <c r="O20" s="148"/>
      <c r="P20" s="158" t="str">
        <f aca="false">IF(A20="","",E20+N(L20)-M20-N20-N(O20))</f>
        <v/>
      </c>
      <c r="Q20" s="87" t="str">
        <f aca="false">IF(A20="","",'งวดงาน Installments'!K12)</f>
        <v/>
      </c>
    </row>
    <row r="21" customFormat="false" ht="15" hidden="false" customHeight="false" outlineLevel="0" collapsed="false">
      <c r="A21" s="87" t="str">
        <f aca="false">IF('งวดงาน Installments'!B13="","",'งวดงาน Installments'!A13)</f>
        <v/>
      </c>
      <c r="B21" s="88" t="str">
        <f aca="false">IF(A21="","",IF('งวดงาน Installments'!H13&lt;&gt;"",'งวดงาน Installments'!H13,IF('งวดงาน Installments'!G13&lt;&gt;"",'งวดงาน Installments'!G13,"")))</f>
        <v/>
      </c>
      <c r="C21" s="158" t="str">
        <f aca="false">IF(A21="","",N('งวดงาน Installments'!E13))</f>
        <v/>
      </c>
      <c r="D21" s="148"/>
      <c r="E21" s="158" t="str">
        <f aca="false">IF(A21="","",C21+N(D21))</f>
        <v/>
      </c>
      <c r="F21" s="151"/>
      <c r="G21" s="151"/>
      <c r="H21" s="151"/>
      <c r="I21" s="151"/>
      <c r="J21" s="151"/>
      <c r="K21" s="159" t="str">
        <f aca="false">IF(OR(A21="",$D$9&lt;&gt;"ใช้",OR(COUNT(F21:J21)=0,AND($H$5&gt;0,F21=""),AND($H$6&gt;0,G21=""),AND($H$7&gt;0,H21=""),AND($H$8&gt;0,I21=""),AND($H$9&gt;0,J21=""))),"",$H$4+IF($I$5&gt;0,$H$5*F21/$I$5,0)+IF($I$6&gt;0,$H$6*G21/$I$6,0)+IF($I$7&gt;0,$H$7*H21/$I$7,0)+IF($I$8&gt;0,$H$8*I21/$I$8,0)+IF($I$9&gt;0,$H$9*J21/$I$9,0))</f>
        <v/>
      </c>
      <c r="L21" s="158" t="str">
        <f aca="false">IF(K21="","",IF(K21&gt;1+$D$8,E21*(K21-1-$D$8),IF(K21&lt;1-$D$8,E21*(K21-1+$D$8),0)))</f>
        <v/>
      </c>
      <c r="M21" s="158" t="str">
        <f aca="false">IF(A21="","",E21*$D$5)</f>
        <v/>
      </c>
      <c r="N21" s="158" t="str">
        <f aca="false">IF(A21="","",E21*$D$7)</f>
        <v/>
      </c>
      <c r="O21" s="148"/>
      <c r="P21" s="158" t="str">
        <f aca="false">IF(A21="","",E21+N(L21)-M21-N21-N(O21))</f>
        <v/>
      </c>
      <c r="Q21" s="87" t="str">
        <f aca="false">IF(A21="","",'งวดงาน Installments'!K13)</f>
        <v/>
      </c>
    </row>
    <row r="22" customFormat="false" ht="15" hidden="false" customHeight="false" outlineLevel="0" collapsed="false">
      <c r="A22" s="87" t="str">
        <f aca="false">IF('งวดงาน Installments'!B14="","",'งวดงาน Installments'!A14)</f>
        <v/>
      </c>
      <c r="B22" s="88" t="str">
        <f aca="false">IF(A22="","",IF('งวดงาน Installments'!H14&lt;&gt;"",'งวดงาน Installments'!H14,IF('งวดงาน Installments'!G14&lt;&gt;"",'งวดงาน Installments'!G14,"")))</f>
        <v/>
      </c>
      <c r="C22" s="158" t="str">
        <f aca="false">IF(A22="","",N('งวดงาน Installments'!E14))</f>
        <v/>
      </c>
      <c r="D22" s="148"/>
      <c r="E22" s="158" t="str">
        <f aca="false">IF(A22="","",C22+N(D22))</f>
        <v/>
      </c>
      <c r="F22" s="151"/>
      <c r="G22" s="151"/>
      <c r="H22" s="151"/>
      <c r="I22" s="151"/>
      <c r="J22" s="151"/>
      <c r="K22" s="159" t="str">
        <f aca="false">IF(OR(A22="",$D$9&lt;&gt;"ใช้",OR(COUNT(F22:J22)=0,AND($H$5&gt;0,F22=""),AND($H$6&gt;0,G22=""),AND($H$7&gt;0,H22=""),AND($H$8&gt;0,I22=""),AND($H$9&gt;0,J22=""))),"",$H$4+IF($I$5&gt;0,$H$5*F22/$I$5,0)+IF($I$6&gt;0,$H$6*G22/$I$6,0)+IF($I$7&gt;0,$H$7*H22/$I$7,0)+IF($I$8&gt;0,$H$8*I22/$I$8,0)+IF($I$9&gt;0,$H$9*J22/$I$9,0))</f>
        <v/>
      </c>
      <c r="L22" s="158" t="str">
        <f aca="false">IF(K22="","",IF(K22&gt;1+$D$8,E22*(K22-1-$D$8),IF(K22&lt;1-$D$8,E22*(K22-1+$D$8),0)))</f>
        <v/>
      </c>
      <c r="M22" s="158" t="str">
        <f aca="false">IF(A22="","",E22*$D$5)</f>
        <v/>
      </c>
      <c r="N22" s="158" t="str">
        <f aca="false">IF(A22="","",E22*$D$7)</f>
        <v/>
      </c>
      <c r="O22" s="148"/>
      <c r="P22" s="158" t="str">
        <f aca="false">IF(A22="","",E22+N(L22)-M22-N22-N(O22))</f>
        <v/>
      </c>
      <c r="Q22" s="87" t="str">
        <f aca="false">IF(A22="","",'งวดงาน Installments'!K14)</f>
        <v/>
      </c>
    </row>
    <row r="23" customFormat="false" ht="15" hidden="false" customHeight="false" outlineLevel="0" collapsed="false">
      <c r="A23" s="87" t="str">
        <f aca="false">IF('งวดงาน Installments'!B15="","",'งวดงาน Installments'!A15)</f>
        <v/>
      </c>
      <c r="B23" s="88" t="str">
        <f aca="false">IF(A23="","",IF('งวดงาน Installments'!H15&lt;&gt;"",'งวดงาน Installments'!H15,IF('งวดงาน Installments'!G15&lt;&gt;"",'งวดงาน Installments'!G15,"")))</f>
        <v/>
      </c>
      <c r="C23" s="158" t="str">
        <f aca="false">IF(A23="","",N('งวดงาน Installments'!E15))</f>
        <v/>
      </c>
      <c r="D23" s="148"/>
      <c r="E23" s="158" t="str">
        <f aca="false">IF(A23="","",C23+N(D23))</f>
        <v/>
      </c>
      <c r="F23" s="151"/>
      <c r="G23" s="151"/>
      <c r="H23" s="151"/>
      <c r="I23" s="151"/>
      <c r="J23" s="151"/>
      <c r="K23" s="159" t="str">
        <f aca="false">IF(OR(A23="",$D$9&lt;&gt;"ใช้",OR(COUNT(F23:J23)=0,AND($H$5&gt;0,F23=""),AND($H$6&gt;0,G23=""),AND($H$7&gt;0,H23=""),AND($H$8&gt;0,I23=""),AND($H$9&gt;0,J23=""))),"",$H$4+IF($I$5&gt;0,$H$5*F23/$I$5,0)+IF($I$6&gt;0,$H$6*G23/$I$6,0)+IF($I$7&gt;0,$H$7*H23/$I$7,0)+IF($I$8&gt;0,$H$8*I23/$I$8,0)+IF($I$9&gt;0,$H$9*J23/$I$9,0))</f>
        <v/>
      </c>
      <c r="L23" s="158" t="str">
        <f aca="false">IF(K23="","",IF(K23&gt;1+$D$8,E23*(K23-1-$D$8),IF(K23&lt;1-$D$8,E23*(K23-1+$D$8),0)))</f>
        <v/>
      </c>
      <c r="M23" s="158" t="str">
        <f aca="false">IF(A23="","",E23*$D$5)</f>
        <v/>
      </c>
      <c r="N23" s="158" t="str">
        <f aca="false">IF(A23="","",E23*$D$7)</f>
        <v/>
      </c>
      <c r="O23" s="148"/>
      <c r="P23" s="158" t="str">
        <f aca="false">IF(A23="","",E23+N(L23)-M23-N23-N(O23))</f>
        <v/>
      </c>
      <c r="Q23" s="87" t="str">
        <f aca="false">IF(A23="","",'งวดงาน Installments'!K15)</f>
        <v/>
      </c>
    </row>
    <row r="24" customFormat="false" ht="15" hidden="false" customHeight="false" outlineLevel="0" collapsed="false">
      <c r="A24" s="87" t="str">
        <f aca="false">IF('งวดงาน Installments'!B16="","",'งวดงาน Installments'!A16)</f>
        <v/>
      </c>
      <c r="B24" s="88" t="str">
        <f aca="false">IF(A24="","",IF('งวดงาน Installments'!H16&lt;&gt;"",'งวดงาน Installments'!H16,IF('งวดงาน Installments'!G16&lt;&gt;"",'งวดงาน Installments'!G16,"")))</f>
        <v/>
      </c>
      <c r="C24" s="158" t="str">
        <f aca="false">IF(A24="","",N('งวดงาน Installments'!E16))</f>
        <v/>
      </c>
      <c r="D24" s="148"/>
      <c r="E24" s="158" t="str">
        <f aca="false">IF(A24="","",C24+N(D24))</f>
        <v/>
      </c>
      <c r="F24" s="151"/>
      <c r="G24" s="151"/>
      <c r="H24" s="151"/>
      <c r="I24" s="151"/>
      <c r="J24" s="151"/>
      <c r="K24" s="159" t="str">
        <f aca="false">IF(OR(A24="",$D$9&lt;&gt;"ใช้",OR(COUNT(F24:J24)=0,AND($H$5&gt;0,F24=""),AND($H$6&gt;0,G24=""),AND($H$7&gt;0,H24=""),AND($H$8&gt;0,I24=""),AND($H$9&gt;0,J24=""))),"",$H$4+IF($I$5&gt;0,$H$5*F24/$I$5,0)+IF($I$6&gt;0,$H$6*G24/$I$6,0)+IF($I$7&gt;0,$H$7*H24/$I$7,0)+IF($I$8&gt;0,$H$8*I24/$I$8,0)+IF($I$9&gt;0,$H$9*J24/$I$9,0))</f>
        <v/>
      </c>
      <c r="L24" s="158" t="str">
        <f aca="false">IF(K24="","",IF(K24&gt;1+$D$8,E24*(K24-1-$D$8),IF(K24&lt;1-$D$8,E24*(K24-1+$D$8),0)))</f>
        <v/>
      </c>
      <c r="M24" s="158" t="str">
        <f aca="false">IF(A24="","",E24*$D$5)</f>
        <v/>
      </c>
      <c r="N24" s="158" t="str">
        <f aca="false">IF(A24="","",E24*$D$7)</f>
        <v/>
      </c>
      <c r="O24" s="148"/>
      <c r="P24" s="158" t="str">
        <f aca="false">IF(A24="","",E24+N(L24)-M24-N24-N(O24))</f>
        <v/>
      </c>
      <c r="Q24" s="87" t="str">
        <f aca="false">IF(A24="","",'งวดงาน Installments'!K16)</f>
        <v/>
      </c>
    </row>
    <row r="25" customFormat="false" ht="15" hidden="false" customHeight="false" outlineLevel="0" collapsed="false">
      <c r="A25" s="87" t="str">
        <f aca="false">IF('งวดงาน Installments'!B17="","",'งวดงาน Installments'!A17)</f>
        <v/>
      </c>
      <c r="B25" s="88" t="str">
        <f aca="false">IF(A25="","",IF('งวดงาน Installments'!H17&lt;&gt;"",'งวดงาน Installments'!H17,IF('งวดงาน Installments'!G17&lt;&gt;"",'งวดงาน Installments'!G17,"")))</f>
        <v/>
      </c>
      <c r="C25" s="158" t="str">
        <f aca="false">IF(A25="","",N('งวดงาน Installments'!E17))</f>
        <v/>
      </c>
      <c r="D25" s="148"/>
      <c r="E25" s="158" t="str">
        <f aca="false">IF(A25="","",C25+N(D25))</f>
        <v/>
      </c>
      <c r="F25" s="151"/>
      <c r="G25" s="151"/>
      <c r="H25" s="151"/>
      <c r="I25" s="151"/>
      <c r="J25" s="151"/>
      <c r="K25" s="159" t="str">
        <f aca="false">IF(OR(A25="",$D$9&lt;&gt;"ใช้",OR(COUNT(F25:J25)=0,AND($H$5&gt;0,F25=""),AND($H$6&gt;0,G25=""),AND($H$7&gt;0,H25=""),AND($H$8&gt;0,I25=""),AND($H$9&gt;0,J25=""))),"",$H$4+IF($I$5&gt;0,$H$5*F25/$I$5,0)+IF($I$6&gt;0,$H$6*G25/$I$6,0)+IF($I$7&gt;0,$H$7*H25/$I$7,0)+IF($I$8&gt;0,$H$8*I25/$I$8,0)+IF($I$9&gt;0,$H$9*J25/$I$9,0))</f>
        <v/>
      </c>
      <c r="L25" s="158" t="str">
        <f aca="false">IF(K25="","",IF(K25&gt;1+$D$8,E25*(K25-1-$D$8),IF(K25&lt;1-$D$8,E25*(K25-1+$D$8),0)))</f>
        <v/>
      </c>
      <c r="M25" s="158" t="str">
        <f aca="false">IF(A25="","",E25*$D$5)</f>
        <v/>
      </c>
      <c r="N25" s="158" t="str">
        <f aca="false">IF(A25="","",E25*$D$7)</f>
        <v/>
      </c>
      <c r="O25" s="148"/>
      <c r="P25" s="158" t="str">
        <f aca="false">IF(A25="","",E25+N(L25)-M25-N25-N(O25))</f>
        <v/>
      </c>
      <c r="Q25" s="87" t="str">
        <f aca="false">IF(A25="","",'งวดงาน Installments'!K17)</f>
        <v/>
      </c>
    </row>
    <row r="26" customFormat="false" ht="15" hidden="false" customHeight="false" outlineLevel="0" collapsed="false">
      <c r="A26" s="87" t="str">
        <f aca="false">IF('งวดงาน Installments'!B18="","",'งวดงาน Installments'!A18)</f>
        <v/>
      </c>
      <c r="B26" s="88" t="str">
        <f aca="false">IF(A26="","",IF('งวดงาน Installments'!H18&lt;&gt;"",'งวดงาน Installments'!H18,IF('งวดงาน Installments'!G18&lt;&gt;"",'งวดงาน Installments'!G18,"")))</f>
        <v/>
      </c>
      <c r="C26" s="158" t="str">
        <f aca="false">IF(A26="","",N('งวดงาน Installments'!E18))</f>
        <v/>
      </c>
      <c r="D26" s="148"/>
      <c r="E26" s="158" t="str">
        <f aca="false">IF(A26="","",C26+N(D26))</f>
        <v/>
      </c>
      <c r="F26" s="151"/>
      <c r="G26" s="151"/>
      <c r="H26" s="151"/>
      <c r="I26" s="151"/>
      <c r="J26" s="151"/>
      <c r="K26" s="159" t="str">
        <f aca="false">IF(OR(A26="",$D$9&lt;&gt;"ใช้",OR(COUNT(F26:J26)=0,AND($H$5&gt;0,F26=""),AND($H$6&gt;0,G26=""),AND($H$7&gt;0,H26=""),AND($H$8&gt;0,I26=""),AND($H$9&gt;0,J26=""))),"",$H$4+IF($I$5&gt;0,$H$5*F26/$I$5,0)+IF($I$6&gt;0,$H$6*G26/$I$6,0)+IF($I$7&gt;0,$H$7*H26/$I$7,0)+IF($I$8&gt;0,$H$8*I26/$I$8,0)+IF($I$9&gt;0,$H$9*J26/$I$9,0))</f>
        <v/>
      </c>
      <c r="L26" s="158" t="str">
        <f aca="false">IF(K26="","",IF(K26&gt;1+$D$8,E26*(K26-1-$D$8),IF(K26&lt;1-$D$8,E26*(K26-1+$D$8),0)))</f>
        <v/>
      </c>
      <c r="M26" s="158" t="str">
        <f aca="false">IF(A26="","",E26*$D$5)</f>
        <v/>
      </c>
      <c r="N26" s="158" t="str">
        <f aca="false">IF(A26="","",E26*$D$7)</f>
        <v/>
      </c>
      <c r="O26" s="148"/>
      <c r="P26" s="158" t="str">
        <f aca="false">IF(A26="","",E26+N(L26)-M26-N26-N(O26))</f>
        <v/>
      </c>
      <c r="Q26" s="87" t="str">
        <f aca="false">IF(A26="","",'งวดงาน Installments'!K18)</f>
        <v/>
      </c>
    </row>
    <row r="27" customFormat="false" ht="15" hidden="false" customHeight="false" outlineLevel="0" collapsed="false">
      <c r="A27" s="87" t="str">
        <f aca="false">IF('งวดงาน Installments'!B19="","",'งวดงาน Installments'!A19)</f>
        <v/>
      </c>
      <c r="B27" s="88" t="str">
        <f aca="false">IF(A27="","",IF('งวดงาน Installments'!H19&lt;&gt;"",'งวดงาน Installments'!H19,IF('งวดงาน Installments'!G19&lt;&gt;"",'งวดงาน Installments'!G19,"")))</f>
        <v/>
      </c>
      <c r="C27" s="158" t="str">
        <f aca="false">IF(A27="","",N('งวดงาน Installments'!E19))</f>
        <v/>
      </c>
      <c r="D27" s="148"/>
      <c r="E27" s="158" t="str">
        <f aca="false">IF(A27="","",C27+N(D27))</f>
        <v/>
      </c>
      <c r="F27" s="151"/>
      <c r="G27" s="151"/>
      <c r="H27" s="151"/>
      <c r="I27" s="151"/>
      <c r="J27" s="151"/>
      <c r="K27" s="159" t="str">
        <f aca="false">IF(OR(A27="",$D$9&lt;&gt;"ใช้",OR(COUNT(F27:J27)=0,AND($H$5&gt;0,F27=""),AND($H$6&gt;0,G27=""),AND($H$7&gt;0,H27=""),AND($H$8&gt;0,I27=""),AND($H$9&gt;0,J27=""))),"",$H$4+IF($I$5&gt;0,$H$5*F27/$I$5,0)+IF($I$6&gt;0,$H$6*G27/$I$6,0)+IF($I$7&gt;0,$H$7*H27/$I$7,0)+IF($I$8&gt;0,$H$8*I27/$I$8,0)+IF($I$9&gt;0,$H$9*J27/$I$9,0))</f>
        <v/>
      </c>
      <c r="L27" s="158" t="str">
        <f aca="false">IF(K27="","",IF(K27&gt;1+$D$8,E27*(K27-1-$D$8),IF(K27&lt;1-$D$8,E27*(K27-1+$D$8),0)))</f>
        <v/>
      </c>
      <c r="M27" s="158" t="str">
        <f aca="false">IF(A27="","",E27*$D$5)</f>
        <v/>
      </c>
      <c r="N27" s="158" t="str">
        <f aca="false">IF(A27="","",E27*$D$7)</f>
        <v/>
      </c>
      <c r="O27" s="148"/>
      <c r="P27" s="158" t="str">
        <f aca="false">IF(A27="","",E27+N(L27)-M27-N27-N(O27))</f>
        <v/>
      </c>
      <c r="Q27" s="87" t="str">
        <f aca="false">IF(A27="","",'งวดงาน Installments'!K19)</f>
        <v/>
      </c>
    </row>
    <row r="28" customFormat="false" ht="15" hidden="false" customHeight="false" outlineLevel="0" collapsed="false">
      <c r="A28" s="87" t="str">
        <f aca="false">IF('งวดงาน Installments'!B20="","",'งวดงาน Installments'!A20)</f>
        <v/>
      </c>
      <c r="B28" s="88" t="str">
        <f aca="false">IF(A28="","",IF('งวดงาน Installments'!H20&lt;&gt;"",'งวดงาน Installments'!H20,IF('งวดงาน Installments'!G20&lt;&gt;"",'งวดงาน Installments'!G20,"")))</f>
        <v/>
      </c>
      <c r="C28" s="158" t="str">
        <f aca="false">IF(A28="","",N('งวดงาน Installments'!E20))</f>
        <v/>
      </c>
      <c r="D28" s="148"/>
      <c r="E28" s="158" t="str">
        <f aca="false">IF(A28="","",C28+N(D28))</f>
        <v/>
      </c>
      <c r="F28" s="151"/>
      <c r="G28" s="151"/>
      <c r="H28" s="151"/>
      <c r="I28" s="151"/>
      <c r="J28" s="151"/>
      <c r="K28" s="159" t="str">
        <f aca="false">IF(OR(A28="",$D$9&lt;&gt;"ใช้",OR(COUNT(F28:J28)=0,AND($H$5&gt;0,F28=""),AND($H$6&gt;0,G28=""),AND($H$7&gt;0,H28=""),AND($H$8&gt;0,I28=""),AND($H$9&gt;0,J28=""))),"",$H$4+IF($I$5&gt;0,$H$5*F28/$I$5,0)+IF($I$6&gt;0,$H$6*G28/$I$6,0)+IF($I$7&gt;0,$H$7*H28/$I$7,0)+IF($I$8&gt;0,$H$8*I28/$I$8,0)+IF($I$9&gt;0,$H$9*J28/$I$9,0))</f>
        <v/>
      </c>
      <c r="L28" s="158" t="str">
        <f aca="false">IF(K28="","",IF(K28&gt;1+$D$8,E28*(K28-1-$D$8),IF(K28&lt;1-$D$8,E28*(K28-1+$D$8),0)))</f>
        <v/>
      </c>
      <c r="M28" s="158" t="str">
        <f aca="false">IF(A28="","",E28*$D$5)</f>
        <v/>
      </c>
      <c r="N28" s="158" t="str">
        <f aca="false">IF(A28="","",E28*$D$7)</f>
        <v/>
      </c>
      <c r="O28" s="148"/>
      <c r="P28" s="158" t="str">
        <f aca="false">IF(A28="","",E28+N(L28)-M28-N28-N(O28))</f>
        <v/>
      </c>
      <c r="Q28" s="87" t="str">
        <f aca="false">IF(A28="","",'งวดงาน Installments'!K20)</f>
        <v/>
      </c>
    </row>
    <row r="29" customFormat="false" ht="15" hidden="false" customHeight="false" outlineLevel="0" collapsed="false">
      <c r="A29" s="87" t="str">
        <f aca="false">IF('งวดงาน Installments'!B21="","",'งวดงาน Installments'!A21)</f>
        <v/>
      </c>
      <c r="B29" s="88" t="str">
        <f aca="false">IF(A29="","",IF('งวดงาน Installments'!H21&lt;&gt;"",'งวดงาน Installments'!H21,IF('งวดงาน Installments'!G21&lt;&gt;"",'งวดงาน Installments'!G21,"")))</f>
        <v/>
      </c>
      <c r="C29" s="158" t="str">
        <f aca="false">IF(A29="","",N('งวดงาน Installments'!E21))</f>
        <v/>
      </c>
      <c r="D29" s="148"/>
      <c r="E29" s="158" t="str">
        <f aca="false">IF(A29="","",C29+N(D29))</f>
        <v/>
      </c>
      <c r="F29" s="151"/>
      <c r="G29" s="151"/>
      <c r="H29" s="151"/>
      <c r="I29" s="151"/>
      <c r="J29" s="151"/>
      <c r="K29" s="159" t="str">
        <f aca="false">IF(OR(A29="",$D$9&lt;&gt;"ใช้",OR(COUNT(F29:J29)=0,AND($H$5&gt;0,F29=""),AND($H$6&gt;0,G29=""),AND($H$7&gt;0,H29=""),AND($H$8&gt;0,I29=""),AND($H$9&gt;0,J29=""))),"",$H$4+IF($I$5&gt;0,$H$5*F29/$I$5,0)+IF($I$6&gt;0,$H$6*G29/$I$6,0)+IF($I$7&gt;0,$H$7*H29/$I$7,0)+IF($I$8&gt;0,$H$8*I29/$I$8,0)+IF($I$9&gt;0,$H$9*J29/$I$9,0))</f>
        <v/>
      </c>
      <c r="L29" s="158" t="str">
        <f aca="false">IF(K29="","",IF(K29&gt;1+$D$8,E29*(K29-1-$D$8),IF(K29&lt;1-$D$8,E29*(K29-1+$D$8),0)))</f>
        <v/>
      </c>
      <c r="M29" s="158" t="str">
        <f aca="false">IF(A29="","",E29*$D$5)</f>
        <v/>
      </c>
      <c r="N29" s="158" t="str">
        <f aca="false">IF(A29="","",E29*$D$7)</f>
        <v/>
      </c>
      <c r="O29" s="148"/>
      <c r="P29" s="158" t="str">
        <f aca="false">IF(A29="","",E29+N(L29)-M29-N29-N(O29))</f>
        <v/>
      </c>
      <c r="Q29" s="87" t="str">
        <f aca="false">IF(A29="","",'งวดงาน Installments'!K21)</f>
        <v/>
      </c>
    </row>
    <row r="30" customFormat="false" ht="15" hidden="false" customHeight="false" outlineLevel="0" collapsed="false">
      <c r="A30" s="87" t="str">
        <f aca="false">IF('งวดงาน Installments'!B22="","",'งวดงาน Installments'!A22)</f>
        <v/>
      </c>
      <c r="B30" s="88" t="str">
        <f aca="false">IF(A30="","",IF('งวดงาน Installments'!H22&lt;&gt;"",'งวดงาน Installments'!H22,IF('งวดงาน Installments'!G22&lt;&gt;"",'งวดงาน Installments'!G22,"")))</f>
        <v/>
      </c>
      <c r="C30" s="158" t="str">
        <f aca="false">IF(A30="","",N('งวดงาน Installments'!E22))</f>
        <v/>
      </c>
      <c r="D30" s="148"/>
      <c r="E30" s="158" t="str">
        <f aca="false">IF(A30="","",C30+N(D30))</f>
        <v/>
      </c>
      <c r="F30" s="151"/>
      <c r="G30" s="151"/>
      <c r="H30" s="151"/>
      <c r="I30" s="151"/>
      <c r="J30" s="151"/>
      <c r="K30" s="159" t="str">
        <f aca="false">IF(OR(A30="",$D$9&lt;&gt;"ใช้",OR(COUNT(F30:J30)=0,AND($H$5&gt;0,F30=""),AND($H$6&gt;0,G30=""),AND($H$7&gt;0,H30=""),AND($H$8&gt;0,I30=""),AND($H$9&gt;0,J30=""))),"",$H$4+IF($I$5&gt;0,$H$5*F30/$I$5,0)+IF($I$6&gt;0,$H$6*G30/$I$6,0)+IF($I$7&gt;0,$H$7*H30/$I$7,0)+IF($I$8&gt;0,$H$8*I30/$I$8,0)+IF($I$9&gt;0,$H$9*J30/$I$9,0))</f>
        <v/>
      </c>
      <c r="L30" s="158" t="str">
        <f aca="false">IF(K30="","",IF(K30&gt;1+$D$8,E30*(K30-1-$D$8),IF(K30&lt;1-$D$8,E30*(K30-1+$D$8),0)))</f>
        <v/>
      </c>
      <c r="M30" s="158" t="str">
        <f aca="false">IF(A30="","",E30*$D$5)</f>
        <v/>
      </c>
      <c r="N30" s="158" t="str">
        <f aca="false">IF(A30="","",E30*$D$7)</f>
        <v/>
      </c>
      <c r="O30" s="148"/>
      <c r="P30" s="158" t="str">
        <f aca="false">IF(A30="","",E30+N(L30)-M30-N30-N(O30))</f>
        <v/>
      </c>
      <c r="Q30" s="87" t="str">
        <f aca="false">IF(A30="","",'งวดงาน Installments'!K22)</f>
        <v/>
      </c>
    </row>
    <row r="31" customFormat="false" ht="15" hidden="false" customHeight="false" outlineLevel="0" collapsed="false">
      <c r="A31" s="87" t="str">
        <f aca="false">IF('งวดงาน Installments'!B23="","",'งวดงาน Installments'!A23)</f>
        <v/>
      </c>
      <c r="B31" s="88" t="str">
        <f aca="false">IF(A31="","",IF('งวดงาน Installments'!H23&lt;&gt;"",'งวดงาน Installments'!H23,IF('งวดงาน Installments'!G23&lt;&gt;"",'งวดงาน Installments'!G23,"")))</f>
        <v/>
      </c>
      <c r="C31" s="158" t="str">
        <f aca="false">IF(A31="","",N('งวดงาน Installments'!E23))</f>
        <v/>
      </c>
      <c r="D31" s="148"/>
      <c r="E31" s="158" t="str">
        <f aca="false">IF(A31="","",C31+N(D31))</f>
        <v/>
      </c>
      <c r="F31" s="151"/>
      <c r="G31" s="151"/>
      <c r="H31" s="151"/>
      <c r="I31" s="151"/>
      <c r="J31" s="151"/>
      <c r="K31" s="159" t="str">
        <f aca="false">IF(OR(A31="",$D$9&lt;&gt;"ใช้",OR(COUNT(F31:J31)=0,AND($H$5&gt;0,F31=""),AND($H$6&gt;0,G31=""),AND($H$7&gt;0,H31=""),AND($H$8&gt;0,I31=""),AND($H$9&gt;0,J31=""))),"",$H$4+IF($I$5&gt;0,$H$5*F31/$I$5,0)+IF($I$6&gt;0,$H$6*G31/$I$6,0)+IF($I$7&gt;0,$H$7*H31/$I$7,0)+IF($I$8&gt;0,$H$8*I31/$I$8,0)+IF($I$9&gt;0,$H$9*J31/$I$9,0))</f>
        <v/>
      </c>
      <c r="L31" s="158" t="str">
        <f aca="false">IF(K31="","",IF(K31&gt;1+$D$8,E31*(K31-1-$D$8),IF(K31&lt;1-$D$8,E31*(K31-1+$D$8),0)))</f>
        <v/>
      </c>
      <c r="M31" s="158" t="str">
        <f aca="false">IF(A31="","",E31*$D$5)</f>
        <v/>
      </c>
      <c r="N31" s="158" t="str">
        <f aca="false">IF(A31="","",E31*$D$7)</f>
        <v/>
      </c>
      <c r="O31" s="148"/>
      <c r="P31" s="158" t="str">
        <f aca="false">IF(A31="","",E31+N(L31)-M31-N31-N(O31))</f>
        <v/>
      </c>
      <c r="Q31" s="87" t="str">
        <f aca="false">IF(A31="","",'งวดงาน Installments'!K23)</f>
        <v/>
      </c>
    </row>
    <row r="32" customFormat="false" ht="15" hidden="false" customHeight="false" outlineLevel="0" collapsed="false">
      <c r="A32" s="87" t="str">
        <f aca="false">IF('งวดงาน Installments'!B24="","",'งวดงาน Installments'!A24)</f>
        <v/>
      </c>
      <c r="B32" s="88" t="str">
        <f aca="false">IF(A32="","",IF('งวดงาน Installments'!H24&lt;&gt;"",'งวดงาน Installments'!H24,IF('งวดงาน Installments'!G24&lt;&gt;"",'งวดงาน Installments'!G24,"")))</f>
        <v/>
      </c>
      <c r="C32" s="158" t="str">
        <f aca="false">IF(A32="","",N('งวดงาน Installments'!E24))</f>
        <v/>
      </c>
      <c r="D32" s="148"/>
      <c r="E32" s="158" t="str">
        <f aca="false">IF(A32="","",C32+N(D32))</f>
        <v/>
      </c>
      <c r="F32" s="151"/>
      <c r="G32" s="151"/>
      <c r="H32" s="151"/>
      <c r="I32" s="151"/>
      <c r="J32" s="151"/>
      <c r="K32" s="159" t="str">
        <f aca="false">IF(OR(A32="",$D$9&lt;&gt;"ใช้",OR(COUNT(F32:J32)=0,AND($H$5&gt;0,F32=""),AND($H$6&gt;0,G32=""),AND($H$7&gt;0,H32=""),AND($H$8&gt;0,I32=""),AND($H$9&gt;0,J32=""))),"",$H$4+IF($I$5&gt;0,$H$5*F32/$I$5,0)+IF($I$6&gt;0,$H$6*G32/$I$6,0)+IF($I$7&gt;0,$H$7*H32/$I$7,0)+IF($I$8&gt;0,$H$8*I32/$I$8,0)+IF($I$9&gt;0,$H$9*J32/$I$9,0))</f>
        <v/>
      </c>
      <c r="L32" s="158" t="str">
        <f aca="false">IF(K32="","",IF(K32&gt;1+$D$8,E32*(K32-1-$D$8),IF(K32&lt;1-$D$8,E32*(K32-1+$D$8),0)))</f>
        <v/>
      </c>
      <c r="M32" s="158" t="str">
        <f aca="false">IF(A32="","",E32*$D$5)</f>
        <v/>
      </c>
      <c r="N32" s="158" t="str">
        <f aca="false">IF(A32="","",E32*$D$7)</f>
        <v/>
      </c>
      <c r="O32" s="148"/>
      <c r="P32" s="158" t="str">
        <f aca="false">IF(A32="","",E32+N(L32)-M32-N32-N(O32))</f>
        <v/>
      </c>
      <c r="Q32" s="87" t="str">
        <f aca="false">IF(A32="","",'งวดงาน Installments'!K24)</f>
        <v/>
      </c>
    </row>
    <row r="33" customFormat="false" ht="15" hidden="false" customHeight="false" outlineLevel="0" collapsed="false">
      <c r="A33" s="87" t="str">
        <f aca="false">IF('งวดงาน Installments'!B25="","",'งวดงาน Installments'!A25)</f>
        <v/>
      </c>
      <c r="B33" s="88" t="str">
        <f aca="false">IF(A33="","",IF('งวดงาน Installments'!H25&lt;&gt;"",'งวดงาน Installments'!H25,IF('งวดงาน Installments'!G25&lt;&gt;"",'งวดงาน Installments'!G25,"")))</f>
        <v/>
      </c>
      <c r="C33" s="158" t="str">
        <f aca="false">IF(A33="","",N('งวดงาน Installments'!E25))</f>
        <v/>
      </c>
      <c r="D33" s="148"/>
      <c r="E33" s="158" t="str">
        <f aca="false">IF(A33="","",C33+N(D33))</f>
        <v/>
      </c>
      <c r="F33" s="151"/>
      <c r="G33" s="151"/>
      <c r="H33" s="151"/>
      <c r="I33" s="151"/>
      <c r="J33" s="151"/>
      <c r="K33" s="159" t="str">
        <f aca="false">IF(OR(A33="",$D$9&lt;&gt;"ใช้",OR(COUNT(F33:J33)=0,AND($H$5&gt;0,F33=""),AND($H$6&gt;0,G33=""),AND($H$7&gt;0,H33=""),AND($H$8&gt;0,I33=""),AND($H$9&gt;0,J33=""))),"",$H$4+IF($I$5&gt;0,$H$5*F33/$I$5,0)+IF($I$6&gt;0,$H$6*G33/$I$6,0)+IF($I$7&gt;0,$H$7*H33/$I$7,0)+IF($I$8&gt;0,$H$8*I33/$I$8,0)+IF($I$9&gt;0,$H$9*J33/$I$9,0))</f>
        <v/>
      </c>
      <c r="L33" s="158" t="str">
        <f aca="false">IF(K33="","",IF(K33&gt;1+$D$8,E33*(K33-1-$D$8),IF(K33&lt;1-$D$8,E33*(K33-1+$D$8),0)))</f>
        <v/>
      </c>
      <c r="M33" s="158" t="str">
        <f aca="false">IF(A33="","",E33*$D$5)</f>
        <v/>
      </c>
      <c r="N33" s="158" t="str">
        <f aca="false">IF(A33="","",E33*$D$7)</f>
        <v/>
      </c>
      <c r="O33" s="148"/>
      <c r="P33" s="158" t="str">
        <f aca="false">IF(A33="","",E33+N(L33)-M33-N33-N(O33))</f>
        <v/>
      </c>
      <c r="Q33" s="87" t="str">
        <f aca="false">IF(A33="","",'งวดงาน Installments'!K25)</f>
        <v/>
      </c>
    </row>
    <row r="34" customFormat="false" ht="15" hidden="false" customHeight="false" outlineLevel="0" collapsed="false">
      <c r="A34" s="87" t="str">
        <f aca="false">IF('งวดงาน Installments'!B26="","",'งวดงาน Installments'!A26)</f>
        <v/>
      </c>
      <c r="B34" s="88" t="str">
        <f aca="false">IF(A34="","",IF('งวดงาน Installments'!H26&lt;&gt;"",'งวดงาน Installments'!H26,IF('งวดงาน Installments'!G26&lt;&gt;"",'งวดงาน Installments'!G26,"")))</f>
        <v/>
      </c>
      <c r="C34" s="158" t="str">
        <f aca="false">IF(A34="","",N('งวดงาน Installments'!E26))</f>
        <v/>
      </c>
      <c r="D34" s="148"/>
      <c r="E34" s="158" t="str">
        <f aca="false">IF(A34="","",C34+N(D34))</f>
        <v/>
      </c>
      <c r="F34" s="151"/>
      <c r="G34" s="151"/>
      <c r="H34" s="151"/>
      <c r="I34" s="151"/>
      <c r="J34" s="151"/>
      <c r="K34" s="159" t="str">
        <f aca="false">IF(OR(A34="",$D$9&lt;&gt;"ใช้",OR(COUNT(F34:J34)=0,AND($H$5&gt;0,F34=""),AND($H$6&gt;0,G34=""),AND($H$7&gt;0,H34=""),AND($H$8&gt;0,I34=""),AND($H$9&gt;0,J34=""))),"",$H$4+IF($I$5&gt;0,$H$5*F34/$I$5,0)+IF($I$6&gt;0,$H$6*G34/$I$6,0)+IF($I$7&gt;0,$H$7*H34/$I$7,0)+IF($I$8&gt;0,$H$8*I34/$I$8,0)+IF($I$9&gt;0,$H$9*J34/$I$9,0))</f>
        <v/>
      </c>
      <c r="L34" s="158" t="str">
        <f aca="false">IF(K34="","",IF(K34&gt;1+$D$8,E34*(K34-1-$D$8),IF(K34&lt;1-$D$8,E34*(K34-1+$D$8),0)))</f>
        <v/>
      </c>
      <c r="M34" s="158" t="str">
        <f aca="false">IF(A34="","",E34*$D$5)</f>
        <v/>
      </c>
      <c r="N34" s="158" t="str">
        <f aca="false">IF(A34="","",E34*$D$7)</f>
        <v/>
      </c>
      <c r="O34" s="148"/>
      <c r="P34" s="158" t="str">
        <f aca="false">IF(A34="","",E34+N(L34)-M34-N34-N(O34))</f>
        <v/>
      </c>
      <c r="Q34" s="87" t="str">
        <f aca="false">IF(A34="","",'งวดงาน Installments'!K26)</f>
        <v/>
      </c>
    </row>
    <row r="35" customFormat="false" ht="15" hidden="false" customHeight="false" outlineLevel="0" collapsed="false">
      <c r="A35" s="160" t="s">
        <v>621</v>
      </c>
      <c r="B35" s="160"/>
      <c r="C35" s="161" t="n">
        <f aca="false">SUM(C15:C34)</f>
        <v>0</v>
      </c>
      <c r="D35" s="161" t="n">
        <f aca="false">SUM(D15:D34)</f>
        <v>0</v>
      </c>
      <c r="E35" s="161" t="n">
        <f aca="false">SUM(E15:E34)</f>
        <v>0</v>
      </c>
      <c r="F35" s="160"/>
      <c r="G35" s="160"/>
      <c r="H35" s="160"/>
      <c r="I35" s="160"/>
      <c r="J35" s="160"/>
      <c r="K35" s="160"/>
      <c r="L35" s="161" t="n">
        <f aca="false">SUM(L15:L34)</f>
        <v>0</v>
      </c>
      <c r="M35" s="161" t="n">
        <f aca="false">SUM(M15:M34)</f>
        <v>0</v>
      </c>
      <c r="N35" s="161" t="n">
        <f aca="false">SUM(N15:N34)</f>
        <v>0</v>
      </c>
      <c r="O35" s="161" t="n">
        <f aca="false">SUM(O15:O34)</f>
        <v>0</v>
      </c>
      <c r="P35" s="161" t="n">
        <f aca="false">SUM(P15:P34)</f>
        <v>0</v>
      </c>
      <c r="Q35" s="160"/>
    </row>
    <row r="36" customFormat="false" ht="15" hidden="false" customHeight="false" outlineLevel="0" collapsed="false">
      <c r="A36" s="86" t="s">
        <v>622</v>
      </c>
    </row>
  </sheetData>
  <sheetProtection sheet="true" formatCells="false" formatColumns="false" formatRows="false"/>
  <mergeCells count="27">
    <mergeCell ref="A3:C3"/>
    <mergeCell ref="F3:G3"/>
    <mergeCell ref="J3:K3"/>
    <mergeCell ref="L3:M3"/>
    <mergeCell ref="A4:C4"/>
    <mergeCell ref="F4:G4"/>
    <mergeCell ref="J4:K4"/>
    <mergeCell ref="L4:M4"/>
    <mergeCell ref="A5:C5"/>
    <mergeCell ref="F5:G5"/>
    <mergeCell ref="J5:K5"/>
    <mergeCell ref="L5:M5"/>
    <mergeCell ref="A6:C6"/>
    <mergeCell ref="F6:G6"/>
    <mergeCell ref="J6:K6"/>
    <mergeCell ref="L6:M6"/>
    <mergeCell ref="A7:C7"/>
    <mergeCell ref="F7:G7"/>
    <mergeCell ref="J7:K7"/>
    <mergeCell ref="A8:C8"/>
    <mergeCell ref="F8:G8"/>
    <mergeCell ref="J8:K8"/>
    <mergeCell ref="A9:C9"/>
    <mergeCell ref="F9:G9"/>
    <mergeCell ref="J9:K9"/>
    <mergeCell ref="A10:C10"/>
    <mergeCell ref="F10:Q10"/>
  </mergeCells>
  <conditionalFormatting sqref="D10">
    <cfRule type="expression" priority="2" aboveAverage="0" equalAverage="0" bottom="0" percent="0" rank="0" text="" dxfId="3">
      <formula>ABS(D10-1)&gt;0.0001</formula>
    </cfRule>
  </conditionalFormatting>
  <conditionalFormatting sqref="L15:L34">
    <cfRule type="expression" priority="3" aboveAverage="0" equalAverage="0" bottom="0" percent="0" rank="0" text="" dxfId="4">
      <formula>AND(ISNUMBER(L15),L15&lt;0)</formula>
    </cfRule>
    <cfRule type="expression" priority="4" aboveAverage="0" equalAverage="0" bottom="0" percent="0" rank="0" text="" dxfId="7">
      <formula>AND(ISNUMBER(L15),L15&gt;0)</formula>
    </cfRule>
  </conditionalFormatting>
  <conditionalFormatting sqref="N4">
    <cfRule type="expression" priority="5" aboveAverage="0" equalAverage="0" bottom="0" percent="0" rank="0" text="" dxfId="4">
      <formula>N4&lt;0</formula>
    </cfRule>
  </conditionalFormatting>
  <dataValidations count="1">
    <dataValidation allowBlank="false" errorStyle="stop" operator="between" showDropDown="false" showErrorMessage="false" showInputMessage="false" sqref="D9" type="list">
      <formula1>"ใช้,ไม่ใช้"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7" min="6" style="1" width="11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8"/>
    <col collapsed="false" customWidth="true" hidden="false" outlineLevel="0" max="12" min="12" style="1" width="11"/>
    <col collapsed="false" customWidth="true" hidden="false" outlineLevel="0" max="13" min="13" style="1" width="22"/>
    <col collapsed="false" customWidth="true" hidden="false" outlineLevel="0" max="14" min="14" style="1" width="34"/>
    <col collapsed="false" customWidth="true" hidden="false" outlineLevel="0" max="15" min="15" style="1" width="24"/>
  </cols>
  <sheetData>
    <row r="1" customFormat="false" ht="20.1" hidden="false" customHeight="false" outlineLevel="0" collapsed="false">
      <c r="A1" s="2" t="s">
        <v>623</v>
      </c>
    </row>
    <row r="2" customFormat="false" ht="15" hidden="false" customHeight="false" outlineLevel="0" collapsed="false">
      <c r="A2" s="19" t="s">
        <v>624</v>
      </c>
    </row>
    <row r="3" customFormat="false" ht="15" hidden="false" customHeight="false" outlineLevel="0" collapsed="false">
      <c r="B3" s="162" t="s">
        <v>625</v>
      </c>
      <c r="E3" s="162" t="s">
        <v>626</v>
      </c>
      <c r="H3" s="162" t="s">
        <v>627</v>
      </c>
      <c r="K3" s="162" t="s">
        <v>628</v>
      </c>
      <c r="N3" s="162" t="s">
        <v>629</v>
      </c>
    </row>
    <row r="4" customFormat="false" ht="19.7" hidden="false" customHeight="false" outlineLevel="0" collapsed="false">
      <c r="B4" s="2" t="n">
        <f aca="false">COUNTA(D9:D108)</f>
        <v>0</v>
      </c>
      <c r="E4" s="2" t="n">
        <f aca="false">COUNTIF(K9:K108,"อนุมัติ")</f>
        <v>0</v>
      </c>
      <c r="H4" s="2" t="n">
        <f aca="false">COUNTIF(K9:K108,"รอพิจารณา")+COUNTIF(K9:K108,"ขอเอกสารเพิ่มเติม")</f>
        <v>0</v>
      </c>
      <c r="K4" s="2" t="n">
        <f aca="false">COUNTIF(K9:K108,"ไม่อนุมัติ")</f>
        <v>0</v>
      </c>
      <c r="N4" s="163" t="n">
        <f aca="false">COUNTIF(N9:N108,"⚠*")</f>
        <v>0</v>
      </c>
    </row>
    <row r="6" customFormat="false" ht="15" hidden="false" customHeight="false" outlineLevel="0" collapsed="false">
      <c r="A6" s="19" t="s">
        <v>630</v>
      </c>
    </row>
    <row r="8" customFormat="false" ht="43.5" hidden="false" customHeight="true" outlineLevel="0" collapsed="false">
      <c r="A8" s="20" t="s">
        <v>430</v>
      </c>
      <c r="B8" s="20" t="s">
        <v>631</v>
      </c>
      <c r="C8" s="20" t="s">
        <v>632</v>
      </c>
      <c r="D8" s="20" t="s">
        <v>633</v>
      </c>
      <c r="E8" s="20" t="s">
        <v>634</v>
      </c>
      <c r="F8" s="75" t="s">
        <v>635</v>
      </c>
      <c r="G8" s="20" t="s">
        <v>636</v>
      </c>
      <c r="H8" s="20" t="s">
        <v>637</v>
      </c>
      <c r="I8" s="20" t="s">
        <v>638</v>
      </c>
      <c r="J8" s="20" t="s">
        <v>639</v>
      </c>
      <c r="K8" s="20" t="s">
        <v>568</v>
      </c>
      <c r="L8" s="20" t="s">
        <v>570</v>
      </c>
      <c r="M8" s="20" t="s">
        <v>640</v>
      </c>
      <c r="N8" s="20" t="s">
        <v>641</v>
      </c>
      <c r="O8" s="20" t="s">
        <v>237</v>
      </c>
    </row>
    <row r="9" customFormat="false" ht="15" hidden="false" customHeight="false" outlineLevel="0" collapsed="false">
      <c r="A9" s="87" t="str">
        <f aca="false">IF(D9="","",COUNTA(D$9:D9))</f>
        <v/>
      </c>
      <c r="B9" s="22"/>
      <c r="C9" s="35"/>
      <c r="D9" s="35"/>
      <c r="E9" s="35"/>
      <c r="F9" s="24"/>
      <c r="G9" s="88" t="str">
        <f aca="false">IF(F9="","",IFERROR(INDEX('แผนงาน Schedule'!$Z$7:$Z$66,MATCH(F9&amp;"",'แผนงาน Schedule'!$A$7:$A$66,0)),"ไม่พบ WBS"))</f>
        <v/>
      </c>
      <c r="H9" s="22"/>
      <c r="I9" s="88" t="str">
        <f aca="false">IF(OR(D9="",NOT(ISNUMBER(G9))),"",G9-N(H9))</f>
        <v/>
      </c>
      <c r="J9" s="27"/>
      <c r="K9" s="24"/>
      <c r="L9" s="27"/>
      <c r="M9" s="96"/>
      <c r="N9" s="164" t="str">
        <f aca="false">IF(D9="","",IF(K9="อนุมัติ","✓ อนุมัติแล้ว พร้อมใช้",IF(K9="ไม่อนุมัติ","⚠ ไม่อนุมัติ – ต้องเสนอใหม่"&amp;IF(ISNUMBER(I9),IF(I9&gt;='ตั้งค่า Setup'!$C$15," (เหลือ "&amp;(I9-'ตั้งค่า Setup'!$C$15)&amp;" วัน)"," (เลยกำหนด "&amp;('ตั้งค่า Setup'!$C$15-I9)&amp;" วัน)"),""),IF(NOT(ISNUMBER(I9)),"ติดตาม",IF(I9&lt;'ตั้งค่า Setup'!$C$15,"⚠ เลยกำหนดอนุมัติ "&amp;('ตั้งค่า Setup'!$C$15-I9)&amp;" วัน – กระทบแผนงาน",IF(I9-'ตั้งค่า Setup'!$C$15&lt;=14,"⚠ ต้องอนุมัติภายใน "&amp;(I9-'ตั้งค่า Setup'!$C$15)&amp;" วัน","ติดตาม (เหลือ "&amp;(I9-'ตั้งค่า Setup'!$C$15)&amp;" วัน)"))))))</f>
        <v/>
      </c>
      <c r="O9" s="35"/>
    </row>
    <row r="10" customFormat="false" ht="15" hidden="false" customHeight="false" outlineLevel="0" collapsed="false">
      <c r="A10" s="87" t="str">
        <f aca="false">IF(D10="","",COUNTA(D$9:D10))</f>
        <v/>
      </c>
      <c r="B10" s="22"/>
      <c r="C10" s="35"/>
      <c r="D10" s="35"/>
      <c r="E10" s="35"/>
      <c r="F10" s="24"/>
      <c r="G10" s="88" t="str">
        <f aca="false">IF(F10="","",IFERROR(INDEX('แผนงาน Schedule'!$Z$7:$Z$66,MATCH(F10&amp;"",'แผนงาน Schedule'!$A$7:$A$66,0)),"ไม่พบ WBS"))</f>
        <v/>
      </c>
      <c r="H10" s="22"/>
      <c r="I10" s="88" t="str">
        <f aca="false">IF(OR(D10="",NOT(ISNUMBER(G10))),"",G10-N(H10))</f>
        <v/>
      </c>
      <c r="J10" s="27"/>
      <c r="K10" s="24"/>
      <c r="L10" s="27"/>
      <c r="M10" s="96"/>
      <c r="N10" s="164" t="str">
        <f aca="false">IF(D10="","",IF(K10="อนุมัติ","✓ อนุมัติแล้ว พร้อมใช้",IF(K10="ไม่อนุมัติ","⚠ ไม่อนุมัติ – ต้องเสนอใหม่"&amp;IF(ISNUMBER(I10),IF(I10&gt;='ตั้งค่า Setup'!$C$15," (เหลือ "&amp;(I10-'ตั้งค่า Setup'!$C$15)&amp;" วัน)"," (เลยกำหนด "&amp;('ตั้งค่า Setup'!$C$15-I10)&amp;" วัน)"),""),IF(NOT(ISNUMBER(I10)),"ติดตาม",IF(I10&lt;'ตั้งค่า Setup'!$C$15,"⚠ เลยกำหนดอนุมัติ "&amp;('ตั้งค่า Setup'!$C$15-I10)&amp;" วัน – กระทบแผนงาน",IF(I10-'ตั้งค่า Setup'!$C$15&lt;=14,"⚠ ต้องอนุมัติภายใน "&amp;(I10-'ตั้งค่า Setup'!$C$15)&amp;" วัน","ติดตาม (เหลือ "&amp;(I10-'ตั้งค่า Setup'!$C$15)&amp;" วัน)"))))))</f>
        <v/>
      </c>
      <c r="O10" s="35"/>
    </row>
    <row r="11" customFormat="false" ht="15" hidden="false" customHeight="false" outlineLevel="0" collapsed="false">
      <c r="A11" s="87" t="str">
        <f aca="false">IF(D11="","",COUNTA(D$9:D11))</f>
        <v/>
      </c>
      <c r="B11" s="22"/>
      <c r="C11" s="35"/>
      <c r="D11" s="35"/>
      <c r="E11" s="35"/>
      <c r="F11" s="24"/>
      <c r="G11" s="88" t="str">
        <f aca="false">IF(F11="","",IFERROR(INDEX('แผนงาน Schedule'!$Z$7:$Z$66,MATCH(F11&amp;"",'แผนงาน Schedule'!$A$7:$A$66,0)),"ไม่พบ WBS"))</f>
        <v/>
      </c>
      <c r="H11" s="22"/>
      <c r="I11" s="88" t="str">
        <f aca="false">IF(OR(D11="",NOT(ISNUMBER(G11))),"",G11-N(H11))</f>
        <v/>
      </c>
      <c r="J11" s="27"/>
      <c r="K11" s="24"/>
      <c r="L11" s="27"/>
      <c r="M11" s="96"/>
      <c r="N11" s="164" t="str">
        <f aca="false">IF(D11="","",IF(K11="อนุมัติ","✓ อนุมัติแล้ว พร้อมใช้",IF(K11="ไม่อนุมัติ","⚠ ไม่อนุมัติ – ต้องเสนอใหม่"&amp;IF(ISNUMBER(I11),IF(I11&gt;='ตั้งค่า Setup'!$C$15," (เหลือ "&amp;(I11-'ตั้งค่า Setup'!$C$15)&amp;" วัน)"," (เลยกำหนด "&amp;('ตั้งค่า Setup'!$C$15-I11)&amp;" วัน)"),""),IF(NOT(ISNUMBER(I11)),"ติดตาม",IF(I11&lt;'ตั้งค่า Setup'!$C$15,"⚠ เลยกำหนดอนุมัติ "&amp;('ตั้งค่า Setup'!$C$15-I11)&amp;" วัน – กระทบแผนงาน",IF(I11-'ตั้งค่า Setup'!$C$15&lt;=14,"⚠ ต้องอนุมัติภายใน "&amp;(I11-'ตั้งค่า Setup'!$C$15)&amp;" วัน","ติดตาม (เหลือ "&amp;(I11-'ตั้งค่า Setup'!$C$15)&amp;" วัน)"))))))</f>
        <v/>
      </c>
      <c r="O11" s="35"/>
    </row>
    <row r="12" customFormat="false" ht="15" hidden="false" customHeight="false" outlineLevel="0" collapsed="false">
      <c r="A12" s="87" t="str">
        <f aca="false">IF(D12="","",COUNTA(D$9:D12))</f>
        <v/>
      </c>
      <c r="B12" s="22"/>
      <c r="C12" s="35"/>
      <c r="D12" s="35"/>
      <c r="E12" s="35"/>
      <c r="F12" s="24"/>
      <c r="G12" s="88" t="str">
        <f aca="false">IF(F12="","",IFERROR(INDEX('แผนงาน Schedule'!$Z$7:$Z$66,MATCH(F12&amp;"",'แผนงาน Schedule'!$A$7:$A$66,0)),"ไม่พบ WBS"))</f>
        <v/>
      </c>
      <c r="H12" s="22"/>
      <c r="I12" s="88" t="str">
        <f aca="false">IF(OR(D12="",NOT(ISNUMBER(G12))),"",G12-N(H12))</f>
        <v/>
      </c>
      <c r="J12" s="27"/>
      <c r="K12" s="24"/>
      <c r="L12" s="27"/>
      <c r="M12" s="96"/>
      <c r="N12" s="164" t="str">
        <f aca="false">IF(D12="","",IF(K12="อนุมัติ","✓ อนุมัติแล้ว พร้อมใช้",IF(K12="ไม่อนุมัติ","⚠ ไม่อนุมัติ – ต้องเสนอใหม่"&amp;IF(ISNUMBER(I12),IF(I12&gt;='ตั้งค่า Setup'!$C$15," (เหลือ "&amp;(I12-'ตั้งค่า Setup'!$C$15)&amp;" วัน)"," (เลยกำหนด "&amp;('ตั้งค่า Setup'!$C$15-I12)&amp;" วัน)"),""),IF(NOT(ISNUMBER(I12)),"ติดตาม",IF(I12&lt;'ตั้งค่า Setup'!$C$15,"⚠ เลยกำหนดอนุมัติ "&amp;('ตั้งค่า Setup'!$C$15-I12)&amp;" วัน – กระทบแผนงาน",IF(I12-'ตั้งค่า Setup'!$C$15&lt;=14,"⚠ ต้องอนุมัติภายใน "&amp;(I12-'ตั้งค่า Setup'!$C$15)&amp;" วัน","ติดตาม (เหลือ "&amp;(I12-'ตั้งค่า Setup'!$C$15)&amp;" วัน)"))))))</f>
        <v/>
      </c>
      <c r="O12" s="35"/>
    </row>
    <row r="13" customFormat="false" ht="15" hidden="false" customHeight="false" outlineLevel="0" collapsed="false">
      <c r="A13" s="87" t="str">
        <f aca="false">IF(D13="","",COUNTA(D$9:D13))</f>
        <v/>
      </c>
      <c r="B13" s="22"/>
      <c r="C13" s="35"/>
      <c r="D13" s="35"/>
      <c r="E13" s="35"/>
      <c r="F13" s="24"/>
      <c r="G13" s="88" t="str">
        <f aca="false">IF(F13="","",IFERROR(INDEX('แผนงาน Schedule'!$Z$7:$Z$66,MATCH(F13&amp;"",'แผนงาน Schedule'!$A$7:$A$66,0)),"ไม่พบ WBS"))</f>
        <v/>
      </c>
      <c r="H13" s="22"/>
      <c r="I13" s="88" t="str">
        <f aca="false">IF(OR(D13="",NOT(ISNUMBER(G13))),"",G13-N(H13))</f>
        <v/>
      </c>
      <c r="J13" s="27"/>
      <c r="K13" s="24"/>
      <c r="L13" s="27"/>
      <c r="M13" s="96"/>
      <c r="N13" s="164" t="str">
        <f aca="false">IF(D13="","",IF(K13="อนุมัติ","✓ อนุมัติแล้ว พร้อมใช้",IF(K13="ไม่อนุมัติ","⚠ ไม่อนุมัติ – ต้องเสนอใหม่"&amp;IF(ISNUMBER(I13),IF(I13&gt;='ตั้งค่า Setup'!$C$15," (เหลือ "&amp;(I13-'ตั้งค่า Setup'!$C$15)&amp;" วัน)"," (เลยกำหนด "&amp;('ตั้งค่า Setup'!$C$15-I13)&amp;" วัน)"),""),IF(NOT(ISNUMBER(I13)),"ติดตาม",IF(I13&lt;'ตั้งค่า Setup'!$C$15,"⚠ เลยกำหนดอนุมัติ "&amp;('ตั้งค่า Setup'!$C$15-I13)&amp;" วัน – กระทบแผนงาน",IF(I13-'ตั้งค่า Setup'!$C$15&lt;=14,"⚠ ต้องอนุมัติภายใน "&amp;(I13-'ตั้งค่า Setup'!$C$15)&amp;" วัน","ติดตาม (เหลือ "&amp;(I13-'ตั้งค่า Setup'!$C$15)&amp;" วัน)"))))))</f>
        <v/>
      </c>
      <c r="O13" s="35"/>
    </row>
    <row r="14" customFormat="false" ht="15" hidden="false" customHeight="false" outlineLevel="0" collapsed="false">
      <c r="A14" s="87" t="str">
        <f aca="false">IF(D14="","",COUNTA(D$9:D14))</f>
        <v/>
      </c>
      <c r="B14" s="22"/>
      <c r="C14" s="35"/>
      <c r="D14" s="35"/>
      <c r="E14" s="35"/>
      <c r="F14" s="24"/>
      <c r="G14" s="88" t="str">
        <f aca="false">IF(F14="","",IFERROR(INDEX('แผนงาน Schedule'!$Z$7:$Z$66,MATCH(F14&amp;"",'แผนงาน Schedule'!$A$7:$A$66,0)),"ไม่พบ WBS"))</f>
        <v/>
      </c>
      <c r="H14" s="22"/>
      <c r="I14" s="88" t="str">
        <f aca="false">IF(OR(D14="",NOT(ISNUMBER(G14))),"",G14-N(H14))</f>
        <v/>
      </c>
      <c r="J14" s="27"/>
      <c r="K14" s="24"/>
      <c r="L14" s="27"/>
      <c r="M14" s="96"/>
      <c r="N14" s="164" t="str">
        <f aca="false">IF(D14="","",IF(K14="อนุมัติ","✓ อนุมัติแล้ว พร้อมใช้",IF(K14="ไม่อนุมัติ","⚠ ไม่อนุมัติ – ต้องเสนอใหม่"&amp;IF(ISNUMBER(I14),IF(I14&gt;='ตั้งค่า Setup'!$C$15," (เหลือ "&amp;(I14-'ตั้งค่า Setup'!$C$15)&amp;" วัน)"," (เลยกำหนด "&amp;('ตั้งค่า Setup'!$C$15-I14)&amp;" วัน)"),""),IF(NOT(ISNUMBER(I14)),"ติดตาม",IF(I14&lt;'ตั้งค่า Setup'!$C$15,"⚠ เลยกำหนดอนุมัติ "&amp;('ตั้งค่า Setup'!$C$15-I14)&amp;" วัน – กระทบแผนงาน",IF(I14-'ตั้งค่า Setup'!$C$15&lt;=14,"⚠ ต้องอนุมัติภายใน "&amp;(I14-'ตั้งค่า Setup'!$C$15)&amp;" วัน","ติดตาม (เหลือ "&amp;(I14-'ตั้งค่า Setup'!$C$15)&amp;" วัน)"))))))</f>
        <v/>
      </c>
      <c r="O14" s="35"/>
    </row>
    <row r="15" customFormat="false" ht="15" hidden="false" customHeight="false" outlineLevel="0" collapsed="false">
      <c r="A15" s="87" t="str">
        <f aca="false">IF(D15="","",COUNTA(D$9:D15))</f>
        <v/>
      </c>
      <c r="B15" s="22"/>
      <c r="C15" s="35"/>
      <c r="D15" s="35"/>
      <c r="E15" s="35"/>
      <c r="F15" s="24"/>
      <c r="G15" s="88" t="str">
        <f aca="false">IF(F15="","",IFERROR(INDEX('แผนงาน Schedule'!$Z$7:$Z$66,MATCH(F15&amp;"",'แผนงาน Schedule'!$A$7:$A$66,0)),"ไม่พบ WBS"))</f>
        <v/>
      </c>
      <c r="H15" s="22"/>
      <c r="I15" s="88" t="str">
        <f aca="false">IF(OR(D15="",NOT(ISNUMBER(G15))),"",G15-N(H15))</f>
        <v/>
      </c>
      <c r="J15" s="27"/>
      <c r="K15" s="24"/>
      <c r="L15" s="27"/>
      <c r="M15" s="96"/>
      <c r="N15" s="164" t="str">
        <f aca="false">IF(D15="","",IF(K15="อนุมัติ","✓ อนุมัติแล้ว พร้อมใช้",IF(K15="ไม่อนุมัติ","⚠ ไม่อนุมัติ – ต้องเสนอใหม่"&amp;IF(ISNUMBER(I15),IF(I15&gt;='ตั้งค่า Setup'!$C$15," (เหลือ "&amp;(I15-'ตั้งค่า Setup'!$C$15)&amp;" วัน)"," (เลยกำหนด "&amp;('ตั้งค่า Setup'!$C$15-I15)&amp;" วัน)"),""),IF(NOT(ISNUMBER(I15)),"ติดตาม",IF(I15&lt;'ตั้งค่า Setup'!$C$15,"⚠ เลยกำหนดอนุมัติ "&amp;('ตั้งค่า Setup'!$C$15-I15)&amp;" วัน – กระทบแผนงาน",IF(I15-'ตั้งค่า Setup'!$C$15&lt;=14,"⚠ ต้องอนุมัติภายใน "&amp;(I15-'ตั้งค่า Setup'!$C$15)&amp;" วัน","ติดตาม (เหลือ "&amp;(I15-'ตั้งค่า Setup'!$C$15)&amp;" วัน)"))))))</f>
        <v/>
      </c>
      <c r="O15" s="35"/>
    </row>
    <row r="16" customFormat="false" ht="15" hidden="false" customHeight="false" outlineLevel="0" collapsed="false">
      <c r="A16" s="87" t="str">
        <f aca="false">IF(D16="","",COUNTA(D$9:D16))</f>
        <v/>
      </c>
      <c r="B16" s="22"/>
      <c r="C16" s="35"/>
      <c r="D16" s="35"/>
      <c r="E16" s="35"/>
      <c r="F16" s="24"/>
      <c r="G16" s="88" t="str">
        <f aca="false">IF(F16="","",IFERROR(INDEX('แผนงาน Schedule'!$Z$7:$Z$66,MATCH(F16&amp;"",'แผนงาน Schedule'!$A$7:$A$66,0)),"ไม่พบ WBS"))</f>
        <v/>
      </c>
      <c r="H16" s="22"/>
      <c r="I16" s="88" t="str">
        <f aca="false">IF(OR(D16="",NOT(ISNUMBER(G16))),"",G16-N(H16))</f>
        <v/>
      </c>
      <c r="J16" s="27"/>
      <c r="K16" s="24"/>
      <c r="L16" s="27"/>
      <c r="M16" s="96"/>
      <c r="N16" s="164" t="str">
        <f aca="false">IF(D16="","",IF(K16="อนุมัติ","✓ อนุมัติแล้ว พร้อมใช้",IF(K16="ไม่อนุมัติ","⚠ ไม่อนุมัติ – ต้องเสนอใหม่"&amp;IF(ISNUMBER(I16),IF(I16&gt;='ตั้งค่า Setup'!$C$15," (เหลือ "&amp;(I16-'ตั้งค่า Setup'!$C$15)&amp;" วัน)"," (เลยกำหนด "&amp;('ตั้งค่า Setup'!$C$15-I16)&amp;" วัน)"),""),IF(NOT(ISNUMBER(I16)),"ติดตาม",IF(I16&lt;'ตั้งค่า Setup'!$C$15,"⚠ เลยกำหนดอนุมัติ "&amp;('ตั้งค่า Setup'!$C$15-I16)&amp;" วัน – กระทบแผนงาน",IF(I16-'ตั้งค่า Setup'!$C$15&lt;=14,"⚠ ต้องอนุมัติภายใน "&amp;(I16-'ตั้งค่า Setup'!$C$15)&amp;" วัน","ติดตาม (เหลือ "&amp;(I16-'ตั้งค่า Setup'!$C$15)&amp;" วัน)"))))))</f>
        <v/>
      </c>
      <c r="O16" s="35"/>
    </row>
    <row r="17" customFormat="false" ht="15" hidden="false" customHeight="false" outlineLevel="0" collapsed="false">
      <c r="A17" s="87" t="str">
        <f aca="false">IF(D17="","",COUNTA(D$9:D17))</f>
        <v/>
      </c>
      <c r="B17" s="22"/>
      <c r="C17" s="35"/>
      <c r="D17" s="35"/>
      <c r="E17" s="35"/>
      <c r="F17" s="24"/>
      <c r="G17" s="88" t="str">
        <f aca="false">IF(F17="","",IFERROR(INDEX('แผนงาน Schedule'!$Z$7:$Z$66,MATCH(F17&amp;"",'แผนงาน Schedule'!$A$7:$A$66,0)),"ไม่พบ WBS"))</f>
        <v/>
      </c>
      <c r="H17" s="22"/>
      <c r="I17" s="88" t="str">
        <f aca="false">IF(OR(D17="",NOT(ISNUMBER(G17))),"",G17-N(H17))</f>
        <v/>
      </c>
      <c r="J17" s="27"/>
      <c r="K17" s="24"/>
      <c r="L17" s="27"/>
      <c r="M17" s="96"/>
      <c r="N17" s="164" t="str">
        <f aca="false">IF(D17="","",IF(K17="อนุมัติ","✓ อนุมัติแล้ว พร้อมใช้",IF(K17="ไม่อนุมัติ","⚠ ไม่อนุมัติ – ต้องเสนอใหม่"&amp;IF(ISNUMBER(I17),IF(I17&gt;='ตั้งค่า Setup'!$C$15," (เหลือ "&amp;(I17-'ตั้งค่า Setup'!$C$15)&amp;" วัน)"," (เลยกำหนด "&amp;('ตั้งค่า Setup'!$C$15-I17)&amp;" วัน)"),""),IF(NOT(ISNUMBER(I17)),"ติดตาม",IF(I17&lt;'ตั้งค่า Setup'!$C$15,"⚠ เลยกำหนดอนุมัติ "&amp;('ตั้งค่า Setup'!$C$15-I17)&amp;" วัน – กระทบแผนงาน",IF(I17-'ตั้งค่า Setup'!$C$15&lt;=14,"⚠ ต้องอนุมัติภายใน "&amp;(I17-'ตั้งค่า Setup'!$C$15)&amp;" วัน","ติดตาม (เหลือ "&amp;(I17-'ตั้งค่า Setup'!$C$15)&amp;" วัน)"))))))</f>
        <v/>
      </c>
      <c r="O17" s="35"/>
    </row>
    <row r="18" customFormat="false" ht="15" hidden="false" customHeight="false" outlineLevel="0" collapsed="false">
      <c r="A18" s="87" t="str">
        <f aca="false">IF(D18="","",COUNTA(D$9:D18))</f>
        <v/>
      </c>
      <c r="B18" s="22"/>
      <c r="C18" s="35"/>
      <c r="D18" s="35"/>
      <c r="E18" s="35"/>
      <c r="F18" s="24"/>
      <c r="G18" s="88" t="str">
        <f aca="false">IF(F18="","",IFERROR(INDEX('แผนงาน Schedule'!$Z$7:$Z$66,MATCH(F18&amp;"",'แผนงาน Schedule'!$A$7:$A$66,0)),"ไม่พบ WBS"))</f>
        <v/>
      </c>
      <c r="H18" s="22"/>
      <c r="I18" s="88" t="str">
        <f aca="false">IF(OR(D18="",NOT(ISNUMBER(G18))),"",G18-N(H18))</f>
        <v/>
      </c>
      <c r="J18" s="27"/>
      <c r="K18" s="24"/>
      <c r="L18" s="27"/>
      <c r="M18" s="96"/>
      <c r="N18" s="164" t="str">
        <f aca="false">IF(D18="","",IF(K18="อนุมัติ","✓ อนุมัติแล้ว พร้อมใช้",IF(K18="ไม่อนุมัติ","⚠ ไม่อนุมัติ – ต้องเสนอใหม่"&amp;IF(ISNUMBER(I18),IF(I18&gt;='ตั้งค่า Setup'!$C$15," (เหลือ "&amp;(I18-'ตั้งค่า Setup'!$C$15)&amp;" วัน)"," (เลยกำหนด "&amp;('ตั้งค่า Setup'!$C$15-I18)&amp;" วัน)"),""),IF(NOT(ISNUMBER(I18)),"ติดตาม",IF(I18&lt;'ตั้งค่า Setup'!$C$15,"⚠ เลยกำหนดอนุมัติ "&amp;('ตั้งค่า Setup'!$C$15-I18)&amp;" วัน – กระทบแผนงาน",IF(I18-'ตั้งค่า Setup'!$C$15&lt;=14,"⚠ ต้องอนุมัติภายใน "&amp;(I18-'ตั้งค่า Setup'!$C$15)&amp;" วัน","ติดตาม (เหลือ "&amp;(I18-'ตั้งค่า Setup'!$C$15)&amp;" วัน)"))))))</f>
        <v/>
      </c>
      <c r="O18" s="35"/>
    </row>
    <row r="19" customFormat="false" ht="15" hidden="false" customHeight="false" outlineLevel="0" collapsed="false">
      <c r="A19" s="87" t="str">
        <f aca="false">IF(D19="","",COUNTA(D$9:D19))</f>
        <v/>
      </c>
      <c r="B19" s="22"/>
      <c r="C19" s="35"/>
      <c r="D19" s="35"/>
      <c r="E19" s="35"/>
      <c r="F19" s="24"/>
      <c r="G19" s="88" t="str">
        <f aca="false">IF(F19="","",IFERROR(INDEX('แผนงาน Schedule'!$Z$7:$Z$66,MATCH(F19&amp;"",'แผนงาน Schedule'!$A$7:$A$66,0)),"ไม่พบ WBS"))</f>
        <v/>
      </c>
      <c r="H19" s="22"/>
      <c r="I19" s="88" t="str">
        <f aca="false">IF(OR(D19="",NOT(ISNUMBER(G19))),"",G19-N(H19))</f>
        <v/>
      </c>
      <c r="J19" s="27"/>
      <c r="K19" s="24"/>
      <c r="L19" s="27"/>
      <c r="M19" s="96"/>
      <c r="N19" s="164" t="str">
        <f aca="false">IF(D19="","",IF(K19="อนุมัติ","✓ อนุมัติแล้ว พร้อมใช้",IF(K19="ไม่อนุมัติ","⚠ ไม่อนุมัติ – ต้องเสนอใหม่"&amp;IF(ISNUMBER(I19),IF(I19&gt;='ตั้งค่า Setup'!$C$15," (เหลือ "&amp;(I19-'ตั้งค่า Setup'!$C$15)&amp;" วัน)"," (เลยกำหนด "&amp;('ตั้งค่า Setup'!$C$15-I19)&amp;" วัน)"),""),IF(NOT(ISNUMBER(I19)),"ติดตาม",IF(I19&lt;'ตั้งค่า Setup'!$C$15,"⚠ เลยกำหนดอนุมัติ "&amp;('ตั้งค่า Setup'!$C$15-I19)&amp;" วัน – กระทบแผนงาน",IF(I19-'ตั้งค่า Setup'!$C$15&lt;=14,"⚠ ต้องอนุมัติภายใน "&amp;(I19-'ตั้งค่า Setup'!$C$15)&amp;" วัน","ติดตาม (เหลือ "&amp;(I19-'ตั้งค่า Setup'!$C$15)&amp;" วัน)"))))))</f>
        <v/>
      </c>
      <c r="O19" s="35"/>
    </row>
    <row r="20" customFormat="false" ht="15" hidden="false" customHeight="false" outlineLevel="0" collapsed="false">
      <c r="A20" s="87" t="str">
        <f aca="false">IF(D20="","",COUNTA(D$9:D20))</f>
        <v/>
      </c>
      <c r="B20" s="22"/>
      <c r="C20" s="35"/>
      <c r="D20" s="35"/>
      <c r="E20" s="35"/>
      <c r="F20" s="24"/>
      <c r="G20" s="88" t="str">
        <f aca="false">IF(F20="","",IFERROR(INDEX('แผนงาน Schedule'!$Z$7:$Z$66,MATCH(F20&amp;"",'แผนงาน Schedule'!$A$7:$A$66,0)),"ไม่พบ WBS"))</f>
        <v/>
      </c>
      <c r="H20" s="22"/>
      <c r="I20" s="88" t="str">
        <f aca="false">IF(OR(D20="",NOT(ISNUMBER(G20))),"",G20-N(H20))</f>
        <v/>
      </c>
      <c r="J20" s="27"/>
      <c r="K20" s="24"/>
      <c r="L20" s="27"/>
      <c r="M20" s="96"/>
      <c r="N20" s="164" t="str">
        <f aca="false">IF(D20="","",IF(K20="อนุมัติ","✓ อนุมัติแล้ว พร้อมใช้",IF(K20="ไม่อนุมัติ","⚠ ไม่อนุมัติ – ต้องเสนอใหม่"&amp;IF(ISNUMBER(I20),IF(I20&gt;='ตั้งค่า Setup'!$C$15," (เหลือ "&amp;(I20-'ตั้งค่า Setup'!$C$15)&amp;" วัน)"," (เลยกำหนด "&amp;('ตั้งค่า Setup'!$C$15-I20)&amp;" วัน)"),""),IF(NOT(ISNUMBER(I20)),"ติดตาม",IF(I20&lt;'ตั้งค่า Setup'!$C$15,"⚠ เลยกำหนดอนุมัติ "&amp;('ตั้งค่า Setup'!$C$15-I20)&amp;" วัน – กระทบแผนงาน",IF(I20-'ตั้งค่า Setup'!$C$15&lt;=14,"⚠ ต้องอนุมัติภายใน "&amp;(I20-'ตั้งค่า Setup'!$C$15)&amp;" วัน","ติดตาม (เหลือ "&amp;(I20-'ตั้งค่า Setup'!$C$15)&amp;" วัน)"))))))</f>
        <v/>
      </c>
      <c r="O20" s="35"/>
    </row>
    <row r="21" customFormat="false" ht="15" hidden="false" customHeight="false" outlineLevel="0" collapsed="false">
      <c r="A21" s="87" t="str">
        <f aca="false">IF(D21="","",COUNTA(D$9:D21))</f>
        <v/>
      </c>
      <c r="B21" s="22"/>
      <c r="C21" s="35"/>
      <c r="D21" s="35"/>
      <c r="E21" s="35"/>
      <c r="F21" s="24"/>
      <c r="G21" s="88" t="str">
        <f aca="false">IF(F21="","",IFERROR(INDEX('แผนงาน Schedule'!$Z$7:$Z$66,MATCH(F21&amp;"",'แผนงาน Schedule'!$A$7:$A$66,0)),"ไม่พบ WBS"))</f>
        <v/>
      </c>
      <c r="H21" s="22"/>
      <c r="I21" s="88" t="str">
        <f aca="false">IF(OR(D21="",NOT(ISNUMBER(G21))),"",G21-N(H21))</f>
        <v/>
      </c>
      <c r="J21" s="27"/>
      <c r="K21" s="24"/>
      <c r="L21" s="27"/>
      <c r="M21" s="96"/>
      <c r="N21" s="164" t="str">
        <f aca="false">IF(D21="","",IF(K21="อนุมัติ","✓ อนุมัติแล้ว พร้อมใช้",IF(K21="ไม่อนุมัติ","⚠ ไม่อนุมัติ – ต้องเสนอใหม่"&amp;IF(ISNUMBER(I21),IF(I21&gt;='ตั้งค่า Setup'!$C$15," (เหลือ "&amp;(I21-'ตั้งค่า Setup'!$C$15)&amp;" วัน)"," (เลยกำหนด "&amp;('ตั้งค่า Setup'!$C$15-I21)&amp;" วัน)"),""),IF(NOT(ISNUMBER(I21)),"ติดตาม",IF(I21&lt;'ตั้งค่า Setup'!$C$15,"⚠ เลยกำหนดอนุมัติ "&amp;('ตั้งค่า Setup'!$C$15-I21)&amp;" วัน – กระทบแผนงาน",IF(I21-'ตั้งค่า Setup'!$C$15&lt;=14,"⚠ ต้องอนุมัติภายใน "&amp;(I21-'ตั้งค่า Setup'!$C$15)&amp;" วัน","ติดตาม (เหลือ "&amp;(I21-'ตั้งค่า Setup'!$C$15)&amp;" วัน)"))))))</f>
        <v/>
      </c>
      <c r="O21" s="35"/>
    </row>
    <row r="22" customFormat="false" ht="15" hidden="false" customHeight="false" outlineLevel="0" collapsed="false">
      <c r="A22" s="87" t="str">
        <f aca="false">IF(D22="","",COUNTA(D$9:D22))</f>
        <v/>
      </c>
      <c r="B22" s="22"/>
      <c r="C22" s="35"/>
      <c r="D22" s="35"/>
      <c r="E22" s="35"/>
      <c r="F22" s="24"/>
      <c r="G22" s="88" t="str">
        <f aca="false">IF(F22="","",IFERROR(INDEX('แผนงาน Schedule'!$Z$7:$Z$66,MATCH(F22&amp;"",'แผนงาน Schedule'!$A$7:$A$66,0)),"ไม่พบ WBS"))</f>
        <v/>
      </c>
      <c r="H22" s="22"/>
      <c r="I22" s="88" t="str">
        <f aca="false">IF(OR(D22="",NOT(ISNUMBER(G22))),"",G22-N(H22))</f>
        <v/>
      </c>
      <c r="J22" s="27"/>
      <c r="K22" s="24"/>
      <c r="L22" s="27"/>
      <c r="M22" s="96"/>
      <c r="N22" s="164" t="str">
        <f aca="false">IF(D22="","",IF(K22="อนุมัติ","✓ อนุมัติแล้ว พร้อมใช้",IF(K22="ไม่อนุมัติ","⚠ ไม่อนุมัติ – ต้องเสนอใหม่"&amp;IF(ISNUMBER(I22),IF(I22&gt;='ตั้งค่า Setup'!$C$15," (เหลือ "&amp;(I22-'ตั้งค่า Setup'!$C$15)&amp;" วัน)"," (เลยกำหนด "&amp;('ตั้งค่า Setup'!$C$15-I22)&amp;" วัน)"),""),IF(NOT(ISNUMBER(I22)),"ติดตาม",IF(I22&lt;'ตั้งค่า Setup'!$C$15,"⚠ เลยกำหนดอนุมัติ "&amp;('ตั้งค่า Setup'!$C$15-I22)&amp;" วัน – กระทบแผนงาน",IF(I22-'ตั้งค่า Setup'!$C$15&lt;=14,"⚠ ต้องอนุมัติภายใน "&amp;(I22-'ตั้งค่า Setup'!$C$15)&amp;" วัน","ติดตาม (เหลือ "&amp;(I22-'ตั้งค่า Setup'!$C$15)&amp;" วัน)"))))))</f>
        <v/>
      </c>
      <c r="O22" s="35"/>
    </row>
    <row r="23" customFormat="false" ht="15" hidden="false" customHeight="false" outlineLevel="0" collapsed="false">
      <c r="A23" s="87" t="str">
        <f aca="false">IF(D23="","",COUNTA(D$9:D23))</f>
        <v/>
      </c>
      <c r="B23" s="22"/>
      <c r="C23" s="35"/>
      <c r="D23" s="35"/>
      <c r="E23" s="35"/>
      <c r="F23" s="24"/>
      <c r="G23" s="88" t="str">
        <f aca="false">IF(F23="","",IFERROR(INDEX('แผนงาน Schedule'!$Z$7:$Z$66,MATCH(F23&amp;"",'แผนงาน Schedule'!$A$7:$A$66,0)),"ไม่พบ WBS"))</f>
        <v/>
      </c>
      <c r="H23" s="22"/>
      <c r="I23" s="88" t="str">
        <f aca="false">IF(OR(D23="",NOT(ISNUMBER(G23))),"",G23-N(H23))</f>
        <v/>
      </c>
      <c r="J23" s="27"/>
      <c r="K23" s="24"/>
      <c r="L23" s="27"/>
      <c r="M23" s="96"/>
      <c r="N23" s="164" t="str">
        <f aca="false">IF(D23="","",IF(K23="อนุมัติ","✓ อนุมัติแล้ว พร้อมใช้",IF(K23="ไม่อนุมัติ","⚠ ไม่อนุมัติ – ต้องเสนอใหม่"&amp;IF(ISNUMBER(I23),IF(I23&gt;='ตั้งค่า Setup'!$C$15," (เหลือ "&amp;(I23-'ตั้งค่า Setup'!$C$15)&amp;" วัน)"," (เลยกำหนด "&amp;('ตั้งค่า Setup'!$C$15-I23)&amp;" วัน)"),""),IF(NOT(ISNUMBER(I23)),"ติดตาม",IF(I23&lt;'ตั้งค่า Setup'!$C$15,"⚠ เลยกำหนดอนุมัติ "&amp;('ตั้งค่า Setup'!$C$15-I23)&amp;" วัน – กระทบแผนงาน",IF(I23-'ตั้งค่า Setup'!$C$15&lt;=14,"⚠ ต้องอนุมัติภายใน "&amp;(I23-'ตั้งค่า Setup'!$C$15)&amp;" วัน","ติดตาม (เหลือ "&amp;(I23-'ตั้งค่า Setup'!$C$15)&amp;" วัน)"))))))</f>
        <v/>
      </c>
      <c r="O23" s="35"/>
    </row>
    <row r="24" customFormat="false" ht="15" hidden="false" customHeight="false" outlineLevel="0" collapsed="false">
      <c r="A24" s="87" t="str">
        <f aca="false">IF(D24="","",COUNTA(D$9:D24))</f>
        <v/>
      </c>
      <c r="B24" s="22"/>
      <c r="C24" s="35"/>
      <c r="D24" s="35"/>
      <c r="E24" s="35"/>
      <c r="F24" s="24"/>
      <c r="G24" s="88" t="str">
        <f aca="false">IF(F24="","",IFERROR(INDEX('แผนงาน Schedule'!$Z$7:$Z$66,MATCH(F24&amp;"",'แผนงาน Schedule'!$A$7:$A$66,0)),"ไม่พบ WBS"))</f>
        <v/>
      </c>
      <c r="H24" s="22"/>
      <c r="I24" s="88" t="str">
        <f aca="false">IF(OR(D24="",NOT(ISNUMBER(G24))),"",G24-N(H24))</f>
        <v/>
      </c>
      <c r="J24" s="27"/>
      <c r="K24" s="24"/>
      <c r="L24" s="27"/>
      <c r="M24" s="96"/>
      <c r="N24" s="164" t="str">
        <f aca="false">IF(D24="","",IF(K24="อนุมัติ","✓ อนุมัติแล้ว พร้อมใช้",IF(K24="ไม่อนุมัติ","⚠ ไม่อนุมัติ – ต้องเสนอใหม่"&amp;IF(ISNUMBER(I24),IF(I24&gt;='ตั้งค่า Setup'!$C$15," (เหลือ "&amp;(I24-'ตั้งค่า Setup'!$C$15)&amp;" วัน)"," (เลยกำหนด "&amp;('ตั้งค่า Setup'!$C$15-I24)&amp;" วัน)"),""),IF(NOT(ISNUMBER(I24)),"ติดตาม",IF(I24&lt;'ตั้งค่า Setup'!$C$15,"⚠ เลยกำหนดอนุมัติ "&amp;('ตั้งค่า Setup'!$C$15-I24)&amp;" วัน – กระทบแผนงาน",IF(I24-'ตั้งค่า Setup'!$C$15&lt;=14,"⚠ ต้องอนุมัติภายใน "&amp;(I24-'ตั้งค่า Setup'!$C$15)&amp;" วัน","ติดตาม (เหลือ "&amp;(I24-'ตั้งค่า Setup'!$C$15)&amp;" วัน)"))))))</f>
        <v/>
      </c>
      <c r="O24" s="35"/>
    </row>
    <row r="25" customFormat="false" ht="15" hidden="false" customHeight="false" outlineLevel="0" collapsed="false">
      <c r="A25" s="87" t="str">
        <f aca="false">IF(D25="","",COUNTA(D$9:D25))</f>
        <v/>
      </c>
      <c r="B25" s="22"/>
      <c r="C25" s="35"/>
      <c r="D25" s="35"/>
      <c r="E25" s="35"/>
      <c r="F25" s="24"/>
      <c r="G25" s="88" t="str">
        <f aca="false">IF(F25="","",IFERROR(INDEX('แผนงาน Schedule'!$Z$7:$Z$66,MATCH(F25&amp;"",'แผนงาน Schedule'!$A$7:$A$66,0)),"ไม่พบ WBS"))</f>
        <v/>
      </c>
      <c r="H25" s="22"/>
      <c r="I25" s="88" t="str">
        <f aca="false">IF(OR(D25="",NOT(ISNUMBER(G25))),"",G25-N(H25))</f>
        <v/>
      </c>
      <c r="J25" s="27"/>
      <c r="K25" s="24"/>
      <c r="L25" s="27"/>
      <c r="M25" s="96"/>
      <c r="N25" s="164" t="str">
        <f aca="false">IF(D25="","",IF(K25="อนุมัติ","✓ อนุมัติแล้ว พร้อมใช้",IF(K25="ไม่อนุมัติ","⚠ ไม่อนุมัติ – ต้องเสนอใหม่"&amp;IF(ISNUMBER(I25),IF(I25&gt;='ตั้งค่า Setup'!$C$15," (เหลือ "&amp;(I25-'ตั้งค่า Setup'!$C$15)&amp;" วัน)"," (เลยกำหนด "&amp;('ตั้งค่า Setup'!$C$15-I25)&amp;" วัน)"),""),IF(NOT(ISNUMBER(I25)),"ติดตาม",IF(I25&lt;'ตั้งค่า Setup'!$C$15,"⚠ เลยกำหนดอนุมัติ "&amp;('ตั้งค่า Setup'!$C$15-I25)&amp;" วัน – กระทบแผนงาน",IF(I25-'ตั้งค่า Setup'!$C$15&lt;=14,"⚠ ต้องอนุมัติภายใน "&amp;(I25-'ตั้งค่า Setup'!$C$15)&amp;" วัน","ติดตาม (เหลือ "&amp;(I25-'ตั้งค่า Setup'!$C$15)&amp;" วัน)"))))))</f>
        <v/>
      </c>
      <c r="O25" s="35"/>
    </row>
    <row r="26" customFormat="false" ht="15" hidden="false" customHeight="false" outlineLevel="0" collapsed="false">
      <c r="A26" s="87" t="str">
        <f aca="false">IF(D26="","",COUNTA(D$9:D26))</f>
        <v/>
      </c>
      <c r="B26" s="22"/>
      <c r="C26" s="35"/>
      <c r="D26" s="35"/>
      <c r="E26" s="35"/>
      <c r="F26" s="24"/>
      <c r="G26" s="88" t="str">
        <f aca="false">IF(F26="","",IFERROR(INDEX('แผนงาน Schedule'!$Z$7:$Z$66,MATCH(F26&amp;"",'แผนงาน Schedule'!$A$7:$A$66,0)),"ไม่พบ WBS"))</f>
        <v/>
      </c>
      <c r="H26" s="22"/>
      <c r="I26" s="88" t="str">
        <f aca="false">IF(OR(D26="",NOT(ISNUMBER(G26))),"",G26-N(H26))</f>
        <v/>
      </c>
      <c r="J26" s="27"/>
      <c r="K26" s="24"/>
      <c r="L26" s="27"/>
      <c r="M26" s="96"/>
      <c r="N26" s="164" t="str">
        <f aca="false">IF(D26="","",IF(K26="อนุมัติ","✓ อนุมัติแล้ว พร้อมใช้",IF(K26="ไม่อนุมัติ","⚠ ไม่อนุมัติ – ต้องเสนอใหม่"&amp;IF(ISNUMBER(I26),IF(I26&gt;='ตั้งค่า Setup'!$C$15," (เหลือ "&amp;(I26-'ตั้งค่า Setup'!$C$15)&amp;" วัน)"," (เลยกำหนด "&amp;('ตั้งค่า Setup'!$C$15-I26)&amp;" วัน)"),""),IF(NOT(ISNUMBER(I26)),"ติดตาม",IF(I26&lt;'ตั้งค่า Setup'!$C$15,"⚠ เลยกำหนดอนุมัติ "&amp;('ตั้งค่า Setup'!$C$15-I26)&amp;" วัน – กระทบแผนงาน",IF(I26-'ตั้งค่า Setup'!$C$15&lt;=14,"⚠ ต้องอนุมัติภายใน "&amp;(I26-'ตั้งค่า Setup'!$C$15)&amp;" วัน","ติดตาม (เหลือ "&amp;(I26-'ตั้งค่า Setup'!$C$15)&amp;" วัน)"))))))</f>
        <v/>
      </c>
      <c r="O26" s="35"/>
    </row>
    <row r="27" customFormat="false" ht="15" hidden="false" customHeight="false" outlineLevel="0" collapsed="false">
      <c r="A27" s="87" t="str">
        <f aca="false">IF(D27="","",COUNTA(D$9:D27))</f>
        <v/>
      </c>
      <c r="B27" s="22"/>
      <c r="C27" s="35"/>
      <c r="D27" s="35"/>
      <c r="E27" s="35"/>
      <c r="F27" s="24"/>
      <c r="G27" s="88" t="str">
        <f aca="false">IF(F27="","",IFERROR(INDEX('แผนงาน Schedule'!$Z$7:$Z$66,MATCH(F27&amp;"",'แผนงาน Schedule'!$A$7:$A$66,0)),"ไม่พบ WBS"))</f>
        <v/>
      </c>
      <c r="H27" s="22"/>
      <c r="I27" s="88" t="str">
        <f aca="false">IF(OR(D27="",NOT(ISNUMBER(G27))),"",G27-N(H27))</f>
        <v/>
      </c>
      <c r="J27" s="27"/>
      <c r="K27" s="24"/>
      <c r="L27" s="27"/>
      <c r="M27" s="96"/>
      <c r="N27" s="164" t="str">
        <f aca="false">IF(D27="","",IF(K27="อนุมัติ","✓ อนุมัติแล้ว พร้อมใช้",IF(K27="ไม่อนุมัติ","⚠ ไม่อนุมัติ – ต้องเสนอใหม่"&amp;IF(ISNUMBER(I27),IF(I27&gt;='ตั้งค่า Setup'!$C$15," (เหลือ "&amp;(I27-'ตั้งค่า Setup'!$C$15)&amp;" วัน)"," (เลยกำหนด "&amp;('ตั้งค่า Setup'!$C$15-I27)&amp;" วัน)"),""),IF(NOT(ISNUMBER(I27)),"ติดตาม",IF(I27&lt;'ตั้งค่า Setup'!$C$15,"⚠ เลยกำหนดอนุมัติ "&amp;('ตั้งค่า Setup'!$C$15-I27)&amp;" วัน – กระทบแผนงาน",IF(I27-'ตั้งค่า Setup'!$C$15&lt;=14,"⚠ ต้องอนุมัติภายใน "&amp;(I27-'ตั้งค่า Setup'!$C$15)&amp;" วัน","ติดตาม (เหลือ "&amp;(I27-'ตั้งค่า Setup'!$C$15)&amp;" วัน)"))))))</f>
        <v/>
      </c>
      <c r="O27" s="35"/>
    </row>
    <row r="28" customFormat="false" ht="15" hidden="false" customHeight="false" outlineLevel="0" collapsed="false">
      <c r="A28" s="87" t="str">
        <f aca="false">IF(D28="","",COUNTA(D$9:D28))</f>
        <v/>
      </c>
      <c r="B28" s="22"/>
      <c r="C28" s="35"/>
      <c r="D28" s="35"/>
      <c r="E28" s="35"/>
      <c r="F28" s="24"/>
      <c r="G28" s="88" t="str">
        <f aca="false">IF(F28="","",IFERROR(INDEX('แผนงาน Schedule'!$Z$7:$Z$66,MATCH(F28&amp;"",'แผนงาน Schedule'!$A$7:$A$66,0)),"ไม่พบ WBS"))</f>
        <v/>
      </c>
      <c r="H28" s="22"/>
      <c r="I28" s="88" t="str">
        <f aca="false">IF(OR(D28="",NOT(ISNUMBER(G28))),"",G28-N(H28))</f>
        <v/>
      </c>
      <c r="J28" s="27"/>
      <c r="K28" s="24"/>
      <c r="L28" s="27"/>
      <c r="M28" s="96"/>
      <c r="N28" s="164" t="str">
        <f aca="false">IF(D28="","",IF(K28="อนุมัติ","✓ อนุมัติแล้ว พร้อมใช้",IF(K28="ไม่อนุมัติ","⚠ ไม่อนุมัติ – ต้องเสนอใหม่"&amp;IF(ISNUMBER(I28),IF(I28&gt;='ตั้งค่า Setup'!$C$15," (เหลือ "&amp;(I28-'ตั้งค่า Setup'!$C$15)&amp;" วัน)"," (เลยกำหนด "&amp;('ตั้งค่า Setup'!$C$15-I28)&amp;" วัน)"),""),IF(NOT(ISNUMBER(I28)),"ติดตาม",IF(I28&lt;'ตั้งค่า Setup'!$C$15,"⚠ เลยกำหนดอนุมัติ "&amp;('ตั้งค่า Setup'!$C$15-I28)&amp;" วัน – กระทบแผนงาน",IF(I28-'ตั้งค่า Setup'!$C$15&lt;=14,"⚠ ต้องอนุมัติภายใน "&amp;(I28-'ตั้งค่า Setup'!$C$15)&amp;" วัน","ติดตาม (เหลือ "&amp;(I28-'ตั้งค่า Setup'!$C$15)&amp;" วัน)"))))))</f>
        <v/>
      </c>
      <c r="O28" s="35"/>
    </row>
    <row r="29" customFormat="false" ht="15" hidden="false" customHeight="false" outlineLevel="0" collapsed="false">
      <c r="A29" s="87" t="str">
        <f aca="false">IF(D29="","",COUNTA(D$9:D29))</f>
        <v/>
      </c>
      <c r="B29" s="22"/>
      <c r="C29" s="35"/>
      <c r="D29" s="35"/>
      <c r="E29" s="35"/>
      <c r="F29" s="24"/>
      <c r="G29" s="88" t="str">
        <f aca="false">IF(F29="","",IFERROR(INDEX('แผนงาน Schedule'!$Z$7:$Z$66,MATCH(F29&amp;"",'แผนงาน Schedule'!$A$7:$A$66,0)),"ไม่พบ WBS"))</f>
        <v/>
      </c>
      <c r="H29" s="22"/>
      <c r="I29" s="88" t="str">
        <f aca="false">IF(OR(D29="",NOT(ISNUMBER(G29))),"",G29-N(H29))</f>
        <v/>
      </c>
      <c r="J29" s="27"/>
      <c r="K29" s="24"/>
      <c r="L29" s="27"/>
      <c r="M29" s="96"/>
      <c r="N29" s="164" t="str">
        <f aca="false">IF(D29="","",IF(K29="อนุมัติ","✓ อนุมัติแล้ว พร้อมใช้",IF(K29="ไม่อนุมัติ","⚠ ไม่อนุมัติ – ต้องเสนอใหม่"&amp;IF(ISNUMBER(I29),IF(I29&gt;='ตั้งค่า Setup'!$C$15," (เหลือ "&amp;(I29-'ตั้งค่า Setup'!$C$15)&amp;" วัน)"," (เลยกำหนด "&amp;('ตั้งค่า Setup'!$C$15-I29)&amp;" วัน)"),""),IF(NOT(ISNUMBER(I29)),"ติดตาม",IF(I29&lt;'ตั้งค่า Setup'!$C$15,"⚠ เลยกำหนดอนุมัติ "&amp;('ตั้งค่า Setup'!$C$15-I29)&amp;" วัน – กระทบแผนงาน",IF(I29-'ตั้งค่า Setup'!$C$15&lt;=14,"⚠ ต้องอนุมัติภายใน "&amp;(I29-'ตั้งค่า Setup'!$C$15)&amp;" วัน","ติดตาม (เหลือ "&amp;(I29-'ตั้งค่า Setup'!$C$15)&amp;" วัน)"))))))</f>
        <v/>
      </c>
      <c r="O29" s="35"/>
    </row>
    <row r="30" customFormat="false" ht="15" hidden="false" customHeight="false" outlineLevel="0" collapsed="false">
      <c r="A30" s="87" t="str">
        <f aca="false">IF(D30="","",COUNTA(D$9:D30))</f>
        <v/>
      </c>
      <c r="B30" s="22"/>
      <c r="C30" s="35"/>
      <c r="D30" s="35"/>
      <c r="E30" s="35"/>
      <c r="F30" s="24"/>
      <c r="G30" s="88" t="str">
        <f aca="false">IF(F30="","",IFERROR(INDEX('แผนงาน Schedule'!$Z$7:$Z$66,MATCH(F30&amp;"",'แผนงาน Schedule'!$A$7:$A$66,0)),"ไม่พบ WBS"))</f>
        <v/>
      </c>
      <c r="H30" s="22"/>
      <c r="I30" s="88" t="str">
        <f aca="false">IF(OR(D30="",NOT(ISNUMBER(G30))),"",G30-N(H30))</f>
        <v/>
      </c>
      <c r="J30" s="27"/>
      <c r="K30" s="24"/>
      <c r="L30" s="27"/>
      <c r="M30" s="96"/>
      <c r="N30" s="164" t="str">
        <f aca="false">IF(D30="","",IF(K30="อนุมัติ","✓ อนุมัติแล้ว พร้อมใช้",IF(K30="ไม่อนุมัติ","⚠ ไม่อนุมัติ – ต้องเสนอใหม่"&amp;IF(ISNUMBER(I30),IF(I30&gt;='ตั้งค่า Setup'!$C$15," (เหลือ "&amp;(I30-'ตั้งค่า Setup'!$C$15)&amp;" วัน)"," (เลยกำหนด "&amp;('ตั้งค่า Setup'!$C$15-I30)&amp;" วัน)"),""),IF(NOT(ISNUMBER(I30)),"ติดตาม",IF(I30&lt;'ตั้งค่า Setup'!$C$15,"⚠ เลยกำหนดอนุมัติ "&amp;('ตั้งค่า Setup'!$C$15-I30)&amp;" วัน – กระทบแผนงาน",IF(I30-'ตั้งค่า Setup'!$C$15&lt;=14,"⚠ ต้องอนุมัติภายใน "&amp;(I30-'ตั้งค่า Setup'!$C$15)&amp;" วัน","ติดตาม (เหลือ "&amp;(I30-'ตั้งค่า Setup'!$C$15)&amp;" วัน)"))))))</f>
        <v/>
      </c>
      <c r="O30" s="35"/>
    </row>
    <row r="31" customFormat="false" ht="15" hidden="false" customHeight="false" outlineLevel="0" collapsed="false">
      <c r="A31" s="87" t="str">
        <f aca="false">IF(D31="","",COUNTA(D$9:D31))</f>
        <v/>
      </c>
      <c r="B31" s="22"/>
      <c r="C31" s="35"/>
      <c r="D31" s="35"/>
      <c r="E31" s="35"/>
      <c r="F31" s="24"/>
      <c r="G31" s="88" t="str">
        <f aca="false">IF(F31="","",IFERROR(INDEX('แผนงาน Schedule'!$Z$7:$Z$66,MATCH(F31&amp;"",'แผนงาน Schedule'!$A$7:$A$66,0)),"ไม่พบ WBS"))</f>
        <v/>
      </c>
      <c r="H31" s="22"/>
      <c r="I31" s="88" t="str">
        <f aca="false">IF(OR(D31="",NOT(ISNUMBER(G31))),"",G31-N(H31))</f>
        <v/>
      </c>
      <c r="J31" s="27"/>
      <c r="K31" s="24"/>
      <c r="L31" s="27"/>
      <c r="M31" s="96"/>
      <c r="N31" s="164" t="str">
        <f aca="false">IF(D31="","",IF(K31="อนุมัติ","✓ อนุมัติแล้ว พร้อมใช้",IF(K31="ไม่อนุมัติ","⚠ ไม่อนุมัติ – ต้องเสนอใหม่"&amp;IF(ISNUMBER(I31),IF(I31&gt;='ตั้งค่า Setup'!$C$15," (เหลือ "&amp;(I31-'ตั้งค่า Setup'!$C$15)&amp;" วัน)"," (เลยกำหนด "&amp;('ตั้งค่า Setup'!$C$15-I31)&amp;" วัน)"),""),IF(NOT(ISNUMBER(I31)),"ติดตาม",IF(I31&lt;'ตั้งค่า Setup'!$C$15,"⚠ เลยกำหนดอนุมัติ "&amp;('ตั้งค่า Setup'!$C$15-I31)&amp;" วัน – กระทบแผนงาน",IF(I31-'ตั้งค่า Setup'!$C$15&lt;=14,"⚠ ต้องอนุมัติภายใน "&amp;(I31-'ตั้งค่า Setup'!$C$15)&amp;" วัน","ติดตาม (เหลือ "&amp;(I31-'ตั้งค่า Setup'!$C$15)&amp;" วัน)"))))))</f>
        <v/>
      </c>
      <c r="O31" s="35"/>
    </row>
    <row r="32" customFormat="false" ht="15" hidden="false" customHeight="false" outlineLevel="0" collapsed="false">
      <c r="A32" s="87" t="str">
        <f aca="false">IF(D32="","",COUNTA(D$9:D32))</f>
        <v/>
      </c>
      <c r="B32" s="22"/>
      <c r="C32" s="35"/>
      <c r="D32" s="35"/>
      <c r="E32" s="35"/>
      <c r="F32" s="24"/>
      <c r="G32" s="88" t="str">
        <f aca="false">IF(F32="","",IFERROR(INDEX('แผนงาน Schedule'!$Z$7:$Z$66,MATCH(F32&amp;"",'แผนงาน Schedule'!$A$7:$A$66,0)),"ไม่พบ WBS"))</f>
        <v/>
      </c>
      <c r="H32" s="22"/>
      <c r="I32" s="88" t="str">
        <f aca="false">IF(OR(D32="",NOT(ISNUMBER(G32))),"",G32-N(H32))</f>
        <v/>
      </c>
      <c r="J32" s="27"/>
      <c r="K32" s="24"/>
      <c r="L32" s="27"/>
      <c r="M32" s="96"/>
      <c r="N32" s="164" t="str">
        <f aca="false">IF(D32="","",IF(K32="อนุมัติ","✓ อนุมัติแล้ว พร้อมใช้",IF(K32="ไม่อนุมัติ","⚠ ไม่อนุมัติ – ต้องเสนอใหม่"&amp;IF(ISNUMBER(I32),IF(I32&gt;='ตั้งค่า Setup'!$C$15," (เหลือ "&amp;(I32-'ตั้งค่า Setup'!$C$15)&amp;" วัน)"," (เลยกำหนด "&amp;('ตั้งค่า Setup'!$C$15-I32)&amp;" วัน)"),""),IF(NOT(ISNUMBER(I32)),"ติดตาม",IF(I32&lt;'ตั้งค่า Setup'!$C$15,"⚠ เลยกำหนดอนุมัติ "&amp;('ตั้งค่า Setup'!$C$15-I32)&amp;" วัน – กระทบแผนงาน",IF(I32-'ตั้งค่า Setup'!$C$15&lt;=14,"⚠ ต้องอนุมัติภายใน "&amp;(I32-'ตั้งค่า Setup'!$C$15)&amp;" วัน","ติดตาม (เหลือ "&amp;(I32-'ตั้งค่า Setup'!$C$15)&amp;" วัน)"))))))</f>
        <v/>
      </c>
      <c r="O32" s="35"/>
    </row>
    <row r="33" customFormat="false" ht="15" hidden="false" customHeight="false" outlineLevel="0" collapsed="false">
      <c r="A33" s="87" t="str">
        <f aca="false">IF(D33="","",COUNTA(D$9:D33))</f>
        <v/>
      </c>
      <c r="B33" s="22"/>
      <c r="C33" s="35"/>
      <c r="D33" s="35"/>
      <c r="E33" s="35"/>
      <c r="F33" s="24"/>
      <c r="G33" s="88" t="str">
        <f aca="false">IF(F33="","",IFERROR(INDEX('แผนงาน Schedule'!$Z$7:$Z$66,MATCH(F33&amp;"",'แผนงาน Schedule'!$A$7:$A$66,0)),"ไม่พบ WBS"))</f>
        <v/>
      </c>
      <c r="H33" s="22"/>
      <c r="I33" s="88" t="str">
        <f aca="false">IF(OR(D33="",NOT(ISNUMBER(G33))),"",G33-N(H33))</f>
        <v/>
      </c>
      <c r="J33" s="27"/>
      <c r="K33" s="24"/>
      <c r="L33" s="27"/>
      <c r="M33" s="96"/>
      <c r="N33" s="164" t="str">
        <f aca="false">IF(D33="","",IF(K33="อนุมัติ","✓ อนุมัติแล้ว พร้อมใช้",IF(K33="ไม่อนุมัติ","⚠ ไม่อนุมัติ – ต้องเสนอใหม่"&amp;IF(ISNUMBER(I33),IF(I33&gt;='ตั้งค่า Setup'!$C$15," (เหลือ "&amp;(I33-'ตั้งค่า Setup'!$C$15)&amp;" วัน)"," (เลยกำหนด "&amp;('ตั้งค่า Setup'!$C$15-I33)&amp;" วัน)"),""),IF(NOT(ISNUMBER(I33)),"ติดตาม",IF(I33&lt;'ตั้งค่า Setup'!$C$15,"⚠ เลยกำหนดอนุมัติ "&amp;('ตั้งค่า Setup'!$C$15-I33)&amp;" วัน – กระทบแผนงาน",IF(I33-'ตั้งค่า Setup'!$C$15&lt;=14,"⚠ ต้องอนุมัติภายใน "&amp;(I33-'ตั้งค่า Setup'!$C$15)&amp;" วัน","ติดตาม (เหลือ "&amp;(I33-'ตั้งค่า Setup'!$C$15)&amp;" วัน)"))))))</f>
        <v/>
      </c>
      <c r="O33" s="35"/>
    </row>
    <row r="34" customFormat="false" ht="15" hidden="false" customHeight="false" outlineLevel="0" collapsed="false">
      <c r="A34" s="87" t="str">
        <f aca="false">IF(D34="","",COUNTA(D$9:D34))</f>
        <v/>
      </c>
      <c r="B34" s="22"/>
      <c r="C34" s="35"/>
      <c r="D34" s="35"/>
      <c r="E34" s="35"/>
      <c r="F34" s="24"/>
      <c r="G34" s="88" t="str">
        <f aca="false">IF(F34="","",IFERROR(INDEX('แผนงาน Schedule'!$Z$7:$Z$66,MATCH(F34&amp;"",'แผนงาน Schedule'!$A$7:$A$66,0)),"ไม่พบ WBS"))</f>
        <v/>
      </c>
      <c r="H34" s="22"/>
      <c r="I34" s="88" t="str">
        <f aca="false">IF(OR(D34="",NOT(ISNUMBER(G34))),"",G34-N(H34))</f>
        <v/>
      </c>
      <c r="J34" s="27"/>
      <c r="K34" s="24"/>
      <c r="L34" s="27"/>
      <c r="M34" s="96"/>
      <c r="N34" s="164" t="str">
        <f aca="false">IF(D34="","",IF(K34="อนุมัติ","✓ อนุมัติแล้ว พร้อมใช้",IF(K34="ไม่อนุมัติ","⚠ ไม่อนุมัติ – ต้องเสนอใหม่"&amp;IF(ISNUMBER(I34),IF(I34&gt;='ตั้งค่า Setup'!$C$15," (เหลือ "&amp;(I34-'ตั้งค่า Setup'!$C$15)&amp;" วัน)"," (เลยกำหนด "&amp;('ตั้งค่า Setup'!$C$15-I34)&amp;" วัน)"),""),IF(NOT(ISNUMBER(I34)),"ติดตาม",IF(I34&lt;'ตั้งค่า Setup'!$C$15,"⚠ เลยกำหนดอนุมัติ "&amp;('ตั้งค่า Setup'!$C$15-I34)&amp;" วัน – กระทบแผนงาน",IF(I34-'ตั้งค่า Setup'!$C$15&lt;=14,"⚠ ต้องอนุมัติภายใน "&amp;(I34-'ตั้งค่า Setup'!$C$15)&amp;" วัน","ติดตาม (เหลือ "&amp;(I34-'ตั้งค่า Setup'!$C$15)&amp;" วัน)"))))))</f>
        <v/>
      </c>
      <c r="O34" s="35"/>
    </row>
    <row r="35" customFormat="false" ht="15" hidden="false" customHeight="false" outlineLevel="0" collapsed="false">
      <c r="A35" s="87" t="str">
        <f aca="false">IF(D35="","",COUNTA(D$9:D35))</f>
        <v/>
      </c>
      <c r="B35" s="22"/>
      <c r="C35" s="35"/>
      <c r="D35" s="35"/>
      <c r="E35" s="35"/>
      <c r="F35" s="24"/>
      <c r="G35" s="88" t="str">
        <f aca="false">IF(F35="","",IFERROR(INDEX('แผนงาน Schedule'!$Z$7:$Z$66,MATCH(F35&amp;"",'แผนงาน Schedule'!$A$7:$A$66,0)),"ไม่พบ WBS"))</f>
        <v/>
      </c>
      <c r="H35" s="22"/>
      <c r="I35" s="88" t="str">
        <f aca="false">IF(OR(D35="",NOT(ISNUMBER(G35))),"",G35-N(H35))</f>
        <v/>
      </c>
      <c r="J35" s="27"/>
      <c r="K35" s="24"/>
      <c r="L35" s="27"/>
      <c r="M35" s="96"/>
      <c r="N35" s="164" t="str">
        <f aca="false">IF(D35="","",IF(K35="อนุมัติ","✓ อนุมัติแล้ว พร้อมใช้",IF(K35="ไม่อนุมัติ","⚠ ไม่อนุมัติ – ต้องเสนอใหม่"&amp;IF(ISNUMBER(I35),IF(I35&gt;='ตั้งค่า Setup'!$C$15," (เหลือ "&amp;(I35-'ตั้งค่า Setup'!$C$15)&amp;" วัน)"," (เลยกำหนด "&amp;('ตั้งค่า Setup'!$C$15-I35)&amp;" วัน)"),""),IF(NOT(ISNUMBER(I35)),"ติดตาม",IF(I35&lt;'ตั้งค่า Setup'!$C$15,"⚠ เลยกำหนดอนุมัติ "&amp;('ตั้งค่า Setup'!$C$15-I35)&amp;" วัน – กระทบแผนงาน",IF(I35-'ตั้งค่า Setup'!$C$15&lt;=14,"⚠ ต้องอนุมัติภายใน "&amp;(I35-'ตั้งค่า Setup'!$C$15)&amp;" วัน","ติดตาม (เหลือ "&amp;(I35-'ตั้งค่า Setup'!$C$15)&amp;" วัน)"))))))</f>
        <v/>
      </c>
      <c r="O35" s="35"/>
    </row>
    <row r="36" customFormat="false" ht="15" hidden="false" customHeight="false" outlineLevel="0" collapsed="false">
      <c r="A36" s="87" t="str">
        <f aca="false">IF(D36="","",COUNTA(D$9:D36))</f>
        <v/>
      </c>
      <c r="B36" s="22"/>
      <c r="C36" s="35"/>
      <c r="D36" s="35"/>
      <c r="E36" s="35"/>
      <c r="F36" s="24"/>
      <c r="G36" s="88" t="str">
        <f aca="false">IF(F36="","",IFERROR(INDEX('แผนงาน Schedule'!$Z$7:$Z$66,MATCH(F36&amp;"",'แผนงาน Schedule'!$A$7:$A$66,0)),"ไม่พบ WBS"))</f>
        <v/>
      </c>
      <c r="H36" s="22"/>
      <c r="I36" s="88" t="str">
        <f aca="false">IF(OR(D36="",NOT(ISNUMBER(G36))),"",G36-N(H36))</f>
        <v/>
      </c>
      <c r="J36" s="27"/>
      <c r="K36" s="24"/>
      <c r="L36" s="27"/>
      <c r="M36" s="96"/>
      <c r="N36" s="164" t="str">
        <f aca="false">IF(D36="","",IF(K36="อนุมัติ","✓ อนุมัติแล้ว พร้อมใช้",IF(K36="ไม่อนุมัติ","⚠ ไม่อนุมัติ – ต้องเสนอใหม่"&amp;IF(ISNUMBER(I36),IF(I36&gt;='ตั้งค่า Setup'!$C$15," (เหลือ "&amp;(I36-'ตั้งค่า Setup'!$C$15)&amp;" วัน)"," (เลยกำหนด "&amp;('ตั้งค่า Setup'!$C$15-I36)&amp;" วัน)"),""),IF(NOT(ISNUMBER(I36)),"ติดตาม",IF(I36&lt;'ตั้งค่า Setup'!$C$15,"⚠ เลยกำหนดอนุมัติ "&amp;('ตั้งค่า Setup'!$C$15-I36)&amp;" วัน – กระทบแผนงาน",IF(I36-'ตั้งค่า Setup'!$C$15&lt;=14,"⚠ ต้องอนุมัติภายใน "&amp;(I36-'ตั้งค่า Setup'!$C$15)&amp;" วัน","ติดตาม (เหลือ "&amp;(I36-'ตั้งค่า Setup'!$C$15)&amp;" วัน)"))))))</f>
        <v/>
      </c>
      <c r="O36" s="35"/>
    </row>
    <row r="37" customFormat="false" ht="15" hidden="false" customHeight="false" outlineLevel="0" collapsed="false">
      <c r="A37" s="87" t="str">
        <f aca="false">IF(D37="","",COUNTA(D$9:D37))</f>
        <v/>
      </c>
      <c r="B37" s="22"/>
      <c r="C37" s="35"/>
      <c r="D37" s="35"/>
      <c r="E37" s="35"/>
      <c r="F37" s="24"/>
      <c r="G37" s="88" t="str">
        <f aca="false">IF(F37="","",IFERROR(INDEX('แผนงาน Schedule'!$Z$7:$Z$66,MATCH(F37&amp;"",'แผนงาน Schedule'!$A$7:$A$66,0)),"ไม่พบ WBS"))</f>
        <v/>
      </c>
      <c r="H37" s="22"/>
      <c r="I37" s="88" t="str">
        <f aca="false">IF(OR(D37="",NOT(ISNUMBER(G37))),"",G37-N(H37))</f>
        <v/>
      </c>
      <c r="J37" s="27"/>
      <c r="K37" s="24"/>
      <c r="L37" s="27"/>
      <c r="M37" s="96"/>
      <c r="N37" s="164" t="str">
        <f aca="false">IF(D37="","",IF(K37="อนุมัติ","✓ อนุมัติแล้ว พร้อมใช้",IF(K37="ไม่อนุมัติ","⚠ ไม่อนุมัติ – ต้องเสนอใหม่"&amp;IF(ISNUMBER(I37),IF(I37&gt;='ตั้งค่า Setup'!$C$15," (เหลือ "&amp;(I37-'ตั้งค่า Setup'!$C$15)&amp;" วัน)"," (เลยกำหนด "&amp;('ตั้งค่า Setup'!$C$15-I37)&amp;" วัน)"),""),IF(NOT(ISNUMBER(I37)),"ติดตาม",IF(I37&lt;'ตั้งค่า Setup'!$C$15,"⚠ เลยกำหนดอนุมัติ "&amp;('ตั้งค่า Setup'!$C$15-I37)&amp;" วัน – กระทบแผนงาน",IF(I37-'ตั้งค่า Setup'!$C$15&lt;=14,"⚠ ต้องอนุมัติภายใน "&amp;(I37-'ตั้งค่า Setup'!$C$15)&amp;" วัน","ติดตาม (เหลือ "&amp;(I37-'ตั้งค่า Setup'!$C$15)&amp;" วัน)"))))))</f>
        <v/>
      </c>
      <c r="O37" s="35"/>
    </row>
    <row r="38" customFormat="false" ht="15" hidden="false" customHeight="false" outlineLevel="0" collapsed="false">
      <c r="A38" s="87" t="str">
        <f aca="false">IF(D38="","",COUNTA(D$9:D38))</f>
        <v/>
      </c>
      <c r="B38" s="22"/>
      <c r="C38" s="35"/>
      <c r="D38" s="35"/>
      <c r="E38" s="35"/>
      <c r="F38" s="24"/>
      <c r="G38" s="88" t="str">
        <f aca="false">IF(F38="","",IFERROR(INDEX('แผนงาน Schedule'!$Z$7:$Z$66,MATCH(F38&amp;"",'แผนงาน Schedule'!$A$7:$A$66,0)),"ไม่พบ WBS"))</f>
        <v/>
      </c>
      <c r="H38" s="22"/>
      <c r="I38" s="88" t="str">
        <f aca="false">IF(OR(D38="",NOT(ISNUMBER(G38))),"",G38-N(H38))</f>
        <v/>
      </c>
      <c r="J38" s="27"/>
      <c r="K38" s="24"/>
      <c r="L38" s="27"/>
      <c r="M38" s="96"/>
      <c r="N38" s="164" t="str">
        <f aca="false">IF(D38="","",IF(K38="อนุมัติ","✓ อนุมัติแล้ว พร้อมใช้",IF(K38="ไม่อนุมัติ","⚠ ไม่อนุมัติ – ต้องเสนอใหม่"&amp;IF(ISNUMBER(I38),IF(I38&gt;='ตั้งค่า Setup'!$C$15," (เหลือ "&amp;(I38-'ตั้งค่า Setup'!$C$15)&amp;" วัน)"," (เลยกำหนด "&amp;('ตั้งค่า Setup'!$C$15-I38)&amp;" วัน)"),""),IF(NOT(ISNUMBER(I38)),"ติดตาม",IF(I38&lt;'ตั้งค่า Setup'!$C$15,"⚠ เลยกำหนดอนุมัติ "&amp;('ตั้งค่า Setup'!$C$15-I38)&amp;" วัน – กระทบแผนงาน",IF(I38-'ตั้งค่า Setup'!$C$15&lt;=14,"⚠ ต้องอนุมัติภายใน "&amp;(I38-'ตั้งค่า Setup'!$C$15)&amp;" วัน","ติดตาม (เหลือ "&amp;(I38-'ตั้งค่า Setup'!$C$15)&amp;" วัน)"))))))</f>
        <v/>
      </c>
      <c r="O38" s="35"/>
    </row>
    <row r="39" customFormat="false" ht="15" hidden="false" customHeight="false" outlineLevel="0" collapsed="false">
      <c r="A39" s="87" t="str">
        <f aca="false">IF(D39="","",COUNTA(D$9:D39))</f>
        <v/>
      </c>
      <c r="B39" s="22"/>
      <c r="C39" s="35"/>
      <c r="D39" s="35"/>
      <c r="E39" s="35"/>
      <c r="F39" s="24"/>
      <c r="G39" s="88" t="str">
        <f aca="false">IF(F39="","",IFERROR(INDEX('แผนงาน Schedule'!$Z$7:$Z$66,MATCH(F39&amp;"",'แผนงาน Schedule'!$A$7:$A$66,0)),"ไม่พบ WBS"))</f>
        <v/>
      </c>
      <c r="H39" s="22"/>
      <c r="I39" s="88" t="str">
        <f aca="false">IF(OR(D39="",NOT(ISNUMBER(G39))),"",G39-N(H39))</f>
        <v/>
      </c>
      <c r="J39" s="27"/>
      <c r="K39" s="24"/>
      <c r="L39" s="27"/>
      <c r="M39" s="96"/>
      <c r="N39" s="164" t="str">
        <f aca="false">IF(D39="","",IF(K39="อนุมัติ","✓ อนุมัติแล้ว พร้อมใช้",IF(K39="ไม่อนุมัติ","⚠ ไม่อนุมัติ – ต้องเสนอใหม่"&amp;IF(ISNUMBER(I39),IF(I39&gt;='ตั้งค่า Setup'!$C$15," (เหลือ "&amp;(I39-'ตั้งค่า Setup'!$C$15)&amp;" วัน)"," (เลยกำหนด "&amp;('ตั้งค่า Setup'!$C$15-I39)&amp;" วัน)"),""),IF(NOT(ISNUMBER(I39)),"ติดตาม",IF(I39&lt;'ตั้งค่า Setup'!$C$15,"⚠ เลยกำหนดอนุมัติ "&amp;('ตั้งค่า Setup'!$C$15-I39)&amp;" วัน – กระทบแผนงาน",IF(I39-'ตั้งค่า Setup'!$C$15&lt;=14,"⚠ ต้องอนุมัติภายใน "&amp;(I39-'ตั้งค่า Setup'!$C$15)&amp;" วัน","ติดตาม (เหลือ "&amp;(I39-'ตั้งค่า Setup'!$C$15)&amp;" วัน)"))))))</f>
        <v/>
      </c>
      <c r="O39" s="35"/>
    </row>
    <row r="40" customFormat="false" ht="15" hidden="false" customHeight="false" outlineLevel="0" collapsed="false">
      <c r="A40" s="87" t="str">
        <f aca="false">IF(D40="","",COUNTA(D$9:D40))</f>
        <v/>
      </c>
      <c r="B40" s="22"/>
      <c r="C40" s="35"/>
      <c r="D40" s="35"/>
      <c r="E40" s="35"/>
      <c r="F40" s="24"/>
      <c r="G40" s="88" t="str">
        <f aca="false">IF(F40="","",IFERROR(INDEX('แผนงาน Schedule'!$Z$7:$Z$66,MATCH(F40&amp;"",'แผนงาน Schedule'!$A$7:$A$66,0)),"ไม่พบ WBS"))</f>
        <v/>
      </c>
      <c r="H40" s="22"/>
      <c r="I40" s="88" t="str">
        <f aca="false">IF(OR(D40="",NOT(ISNUMBER(G40))),"",G40-N(H40))</f>
        <v/>
      </c>
      <c r="J40" s="27"/>
      <c r="K40" s="24"/>
      <c r="L40" s="27"/>
      <c r="M40" s="96"/>
      <c r="N40" s="164" t="str">
        <f aca="false">IF(D40="","",IF(K40="อนุมัติ","✓ อนุมัติแล้ว พร้อมใช้",IF(K40="ไม่อนุมัติ","⚠ ไม่อนุมัติ – ต้องเสนอใหม่"&amp;IF(ISNUMBER(I40),IF(I40&gt;='ตั้งค่า Setup'!$C$15," (เหลือ "&amp;(I40-'ตั้งค่า Setup'!$C$15)&amp;" วัน)"," (เลยกำหนด "&amp;('ตั้งค่า Setup'!$C$15-I40)&amp;" วัน)"),""),IF(NOT(ISNUMBER(I40)),"ติดตาม",IF(I40&lt;'ตั้งค่า Setup'!$C$15,"⚠ เลยกำหนดอนุมัติ "&amp;('ตั้งค่า Setup'!$C$15-I40)&amp;" วัน – กระทบแผนงาน",IF(I40-'ตั้งค่า Setup'!$C$15&lt;=14,"⚠ ต้องอนุมัติภายใน "&amp;(I40-'ตั้งค่า Setup'!$C$15)&amp;" วัน","ติดตาม (เหลือ "&amp;(I40-'ตั้งค่า Setup'!$C$15)&amp;" วัน)"))))))</f>
        <v/>
      </c>
      <c r="O40" s="35"/>
    </row>
    <row r="41" customFormat="false" ht="15" hidden="false" customHeight="false" outlineLevel="0" collapsed="false">
      <c r="A41" s="87" t="str">
        <f aca="false">IF(D41="","",COUNTA(D$9:D41))</f>
        <v/>
      </c>
      <c r="B41" s="22"/>
      <c r="C41" s="35"/>
      <c r="D41" s="35"/>
      <c r="E41" s="35"/>
      <c r="F41" s="24"/>
      <c r="G41" s="88" t="str">
        <f aca="false">IF(F41="","",IFERROR(INDEX('แผนงาน Schedule'!$Z$7:$Z$66,MATCH(F41&amp;"",'แผนงาน Schedule'!$A$7:$A$66,0)),"ไม่พบ WBS"))</f>
        <v/>
      </c>
      <c r="H41" s="22"/>
      <c r="I41" s="88" t="str">
        <f aca="false">IF(OR(D41="",NOT(ISNUMBER(G41))),"",G41-N(H41))</f>
        <v/>
      </c>
      <c r="J41" s="27"/>
      <c r="K41" s="24"/>
      <c r="L41" s="27"/>
      <c r="M41" s="96"/>
      <c r="N41" s="164" t="str">
        <f aca="false">IF(D41="","",IF(K41="อนุมัติ","✓ อนุมัติแล้ว พร้อมใช้",IF(K41="ไม่อนุมัติ","⚠ ไม่อนุมัติ – ต้องเสนอใหม่"&amp;IF(ISNUMBER(I41),IF(I41&gt;='ตั้งค่า Setup'!$C$15," (เหลือ "&amp;(I41-'ตั้งค่า Setup'!$C$15)&amp;" วัน)"," (เลยกำหนด "&amp;('ตั้งค่า Setup'!$C$15-I41)&amp;" วัน)"),""),IF(NOT(ISNUMBER(I41)),"ติดตาม",IF(I41&lt;'ตั้งค่า Setup'!$C$15,"⚠ เลยกำหนดอนุมัติ "&amp;('ตั้งค่า Setup'!$C$15-I41)&amp;" วัน – กระทบแผนงาน",IF(I41-'ตั้งค่า Setup'!$C$15&lt;=14,"⚠ ต้องอนุมัติภายใน "&amp;(I41-'ตั้งค่า Setup'!$C$15)&amp;" วัน","ติดตาม (เหลือ "&amp;(I41-'ตั้งค่า Setup'!$C$15)&amp;" วัน)"))))))</f>
        <v/>
      </c>
      <c r="O41" s="35"/>
    </row>
    <row r="42" customFormat="false" ht="15" hidden="false" customHeight="false" outlineLevel="0" collapsed="false">
      <c r="A42" s="87" t="str">
        <f aca="false">IF(D42="","",COUNTA(D$9:D42))</f>
        <v/>
      </c>
      <c r="B42" s="22"/>
      <c r="C42" s="35"/>
      <c r="D42" s="35"/>
      <c r="E42" s="35"/>
      <c r="F42" s="24"/>
      <c r="G42" s="88" t="str">
        <f aca="false">IF(F42="","",IFERROR(INDEX('แผนงาน Schedule'!$Z$7:$Z$66,MATCH(F42&amp;"",'แผนงาน Schedule'!$A$7:$A$66,0)),"ไม่พบ WBS"))</f>
        <v/>
      </c>
      <c r="H42" s="22"/>
      <c r="I42" s="88" t="str">
        <f aca="false">IF(OR(D42="",NOT(ISNUMBER(G42))),"",G42-N(H42))</f>
        <v/>
      </c>
      <c r="J42" s="27"/>
      <c r="K42" s="24"/>
      <c r="L42" s="27"/>
      <c r="M42" s="96"/>
      <c r="N42" s="164" t="str">
        <f aca="false">IF(D42="","",IF(K42="อนุมัติ","✓ อนุมัติแล้ว พร้อมใช้",IF(K42="ไม่อนุมัติ","⚠ ไม่อนุมัติ – ต้องเสนอใหม่"&amp;IF(ISNUMBER(I42),IF(I42&gt;='ตั้งค่า Setup'!$C$15," (เหลือ "&amp;(I42-'ตั้งค่า Setup'!$C$15)&amp;" วัน)"," (เลยกำหนด "&amp;('ตั้งค่า Setup'!$C$15-I42)&amp;" วัน)"),""),IF(NOT(ISNUMBER(I42)),"ติดตาม",IF(I42&lt;'ตั้งค่า Setup'!$C$15,"⚠ เลยกำหนดอนุมัติ "&amp;('ตั้งค่า Setup'!$C$15-I42)&amp;" วัน – กระทบแผนงาน",IF(I42-'ตั้งค่า Setup'!$C$15&lt;=14,"⚠ ต้องอนุมัติภายใน "&amp;(I42-'ตั้งค่า Setup'!$C$15)&amp;" วัน","ติดตาม (เหลือ "&amp;(I42-'ตั้งค่า Setup'!$C$15)&amp;" วัน)"))))))</f>
        <v/>
      </c>
      <c r="O42" s="35"/>
    </row>
    <row r="43" customFormat="false" ht="15" hidden="false" customHeight="false" outlineLevel="0" collapsed="false">
      <c r="A43" s="87" t="str">
        <f aca="false">IF(D43="","",COUNTA(D$9:D43))</f>
        <v/>
      </c>
      <c r="B43" s="22"/>
      <c r="C43" s="35"/>
      <c r="D43" s="35"/>
      <c r="E43" s="35"/>
      <c r="F43" s="24"/>
      <c r="G43" s="88" t="str">
        <f aca="false">IF(F43="","",IFERROR(INDEX('แผนงาน Schedule'!$Z$7:$Z$66,MATCH(F43&amp;"",'แผนงาน Schedule'!$A$7:$A$66,0)),"ไม่พบ WBS"))</f>
        <v/>
      </c>
      <c r="H43" s="22"/>
      <c r="I43" s="88" t="str">
        <f aca="false">IF(OR(D43="",NOT(ISNUMBER(G43))),"",G43-N(H43))</f>
        <v/>
      </c>
      <c r="J43" s="27"/>
      <c r="K43" s="24"/>
      <c r="L43" s="27"/>
      <c r="M43" s="96"/>
      <c r="N43" s="164" t="str">
        <f aca="false">IF(D43="","",IF(K43="อนุมัติ","✓ อนุมัติแล้ว พร้อมใช้",IF(K43="ไม่อนุมัติ","⚠ ไม่อนุมัติ – ต้องเสนอใหม่"&amp;IF(ISNUMBER(I43),IF(I43&gt;='ตั้งค่า Setup'!$C$15," (เหลือ "&amp;(I43-'ตั้งค่า Setup'!$C$15)&amp;" วัน)"," (เลยกำหนด "&amp;('ตั้งค่า Setup'!$C$15-I43)&amp;" วัน)"),""),IF(NOT(ISNUMBER(I43)),"ติดตาม",IF(I43&lt;'ตั้งค่า Setup'!$C$15,"⚠ เลยกำหนดอนุมัติ "&amp;('ตั้งค่า Setup'!$C$15-I43)&amp;" วัน – กระทบแผนงาน",IF(I43-'ตั้งค่า Setup'!$C$15&lt;=14,"⚠ ต้องอนุมัติภายใน "&amp;(I43-'ตั้งค่า Setup'!$C$15)&amp;" วัน","ติดตาม (เหลือ "&amp;(I43-'ตั้งค่า Setup'!$C$15)&amp;" วัน)"))))))</f>
        <v/>
      </c>
      <c r="O43" s="35"/>
    </row>
    <row r="44" customFormat="false" ht="15" hidden="false" customHeight="false" outlineLevel="0" collapsed="false">
      <c r="A44" s="87" t="str">
        <f aca="false">IF(D44="","",COUNTA(D$9:D44))</f>
        <v/>
      </c>
      <c r="B44" s="22"/>
      <c r="C44" s="35"/>
      <c r="D44" s="35"/>
      <c r="E44" s="35"/>
      <c r="F44" s="24"/>
      <c r="G44" s="88" t="str">
        <f aca="false">IF(F44="","",IFERROR(INDEX('แผนงาน Schedule'!$Z$7:$Z$66,MATCH(F44&amp;"",'แผนงาน Schedule'!$A$7:$A$66,0)),"ไม่พบ WBS"))</f>
        <v/>
      </c>
      <c r="H44" s="22"/>
      <c r="I44" s="88" t="str">
        <f aca="false">IF(OR(D44="",NOT(ISNUMBER(G44))),"",G44-N(H44))</f>
        <v/>
      </c>
      <c r="J44" s="27"/>
      <c r="K44" s="24"/>
      <c r="L44" s="27"/>
      <c r="M44" s="96"/>
      <c r="N44" s="164" t="str">
        <f aca="false">IF(D44="","",IF(K44="อนุมัติ","✓ อนุมัติแล้ว พร้อมใช้",IF(K44="ไม่อนุมัติ","⚠ ไม่อนุมัติ – ต้องเสนอใหม่"&amp;IF(ISNUMBER(I44),IF(I44&gt;='ตั้งค่า Setup'!$C$15," (เหลือ "&amp;(I44-'ตั้งค่า Setup'!$C$15)&amp;" วัน)"," (เลยกำหนด "&amp;('ตั้งค่า Setup'!$C$15-I44)&amp;" วัน)"),""),IF(NOT(ISNUMBER(I44)),"ติดตาม",IF(I44&lt;'ตั้งค่า Setup'!$C$15,"⚠ เลยกำหนดอนุมัติ "&amp;('ตั้งค่า Setup'!$C$15-I44)&amp;" วัน – กระทบแผนงาน",IF(I44-'ตั้งค่า Setup'!$C$15&lt;=14,"⚠ ต้องอนุมัติภายใน "&amp;(I44-'ตั้งค่า Setup'!$C$15)&amp;" วัน","ติดตาม (เหลือ "&amp;(I44-'ตั้งค่า Setup'!$C$15)&amp;" วัน)"))))))</f>
        <v/>
      </c>
      <c r="O44" s="35"/>
    </row>
    <row r="45" customFormat="false" ht="15" hidden="false" customHeight="false" outlineLevel="0" collapsed="false">
      <c r="A45" s="87" t="str">
        <f aca="false">IF(D45="","",COUNTA(D$9:D45))</f>
        <v/>
      </c>
      <c r="B45" s="22"/>
      <c r="C45" s="35"/>
      <c r="D45" s="35"/>
      <c r="E45" s="35"/>
      <c r="F45" s="24"/>
      <c r="G45" s="88" t="str">
        <f aca="false">IF(F45="","",IFERROR(INDEX('แผนงาน Schedule'!$Z$7:$Z$66,MATCH(F45&amp;"",'แผนงาน Schedule'!$A$7:$A$66,0)),"ไม่พบ WBS"))</f>
        <v/>
      </c>
      <c r="H45" s="22"/>
      <c r="I45" s="88" t="str">
        <f aca="false">IF(OR(D45="",NOT(ISNUMBER(G45))),"",G45-N(H45))</f>
        <v/>
      </c>
      <c r="J45" s="27"/>
      <c r="K45" s="24"/>
      <c r="L45" s="27"/>
      <c r="M45" s="96"/>
      <c r="N45" s="164" t="str">
        <f aca="false">IF(D45="","",IF(K45="อนุมัติ","✓ อนุมัติแล้ว พร้อมใช้",IF(K45="ไม่อนุมัติ","⚠ ไม่อนุมัติ – ต้องเสนอใหม่"&amp;IF(ISNUMBER(I45),IF(I45&gt;='ตั้งค่า Setup'!$C$15," (เหลือ "&amp;(I45-'ตั้งค่า Setup'!$C$15)&amp;" วัน)"," (เลยกำหนด "&amp;('ตั้งค่า Setup'!$C$15-I45)&amp;" วัน)"),""),IF(NOT(ISNUMBER(I45)),"ติดตาม",IF(I45&lt;'ตั้งค่า Setup'!$C$15,"⚠ เลยกำหนดอนุมัติ "&amp;('ตั้งค่า Setup'!$C$15-I45)&amp;" วัน – กระทบแผนงาน",IF(I45-'ตั้งค่า Setup'!$C$15&lt;=14,"⚠ ต้องอนุมัติภายใน "&amp;(I45-'ตั้งค่า Setup'!$C$15)&amp;" วัน","ติดตาม (เหลือ "&amp;(I45-'ตั้งค่า Setup'!$C$15)&amp;" วัน)"))))))</f>
        <v/>
      </c>
      <c r="O45" s="35"/>
    </row>
    <row r="46" customFormat="false" ht="15" hidden="false" customHeight="false" outlineLevel="0" collapsed="false">
      <c r="A46" s="87" t="str">
        <f aca="false">IF(D46="","",COUNTA(D$9:D46))</f>
        <v/>
      </c>
      <c r="B46" s="22"/>
      <c r="C46" s="35"/>
      <c r="D46" s="35"/>
      <c r="E46" s="35"/>
      <c r="F46" s="24"/>
      <c r="G46" s="88" t="str">
        <f aca="false">IF(F46="","",IFERROR(INDEX('แผนงาน Schedule'!$Z$7:$Z$66,MATCH(F46&amp;"",'แผนงาน Schedule'!$A$7:$A$66,0)),"ไม่พบ WBS"))</f>
        <v/>
      </c>
      <c r="H46" s="22"/>
      <c r="I46" s="88" t="str">
        <f aca="false">IF(OR(D46="",NOT(ISNUMBER(G46))),"",G46-N(H46))</f>
        <v/>
      </c>
      <c r="J46" s="27"/>
      <c r="K46" s="24"/>
      <c r="L46" s="27"/>
      <c r="M46" s="96"/>
      <c r="N46" s="164" t="str">
        <f aca="false">IF(D46="","",IF(K46="อนุมัติ","✓ อนุมัติแล้ว พร้อมใช้",IF(K46="ไม่อนุมัติ","⚠ ไม่อนุมัติ – ต้องเสนอใหม่"&amp;IF(ISNUMBER(I46),IF(I46&gt;='ตั้งค่า Setup'!$C$15," (เหลือ "&amp;(I46-'ตั้งค่า Setup'!$C$15)&amp;" วัน)"," (เลยกำหนด "&amp;('ตั้งค่า Setup'!$C$15-I46)&amp;" วัน)"),""),IF(NOT(ISNUMBER(I46)),"ติดตาม",IF(I46&lt;'ตั้งค่า Setup'!$C$15,"⚠ เลยกำหนดอนุมัติ "&amp;('ตั้งค่า Setup'!$C$15-I46)&amp;" วัน – กระทบแผนงาน",IF(I46-'ตั้งค่า Setup'!$C$15&lt;=14,"⚠ ต้องอนุมัติภายใน "&amp;(I46-'ตั้งค่า Setup'!$C$15)&amp;" วัน","ติดตาม (เหลือ "&amp;(I46-'ตั้งค่า Setup'!$C$15)&amp;" วัน)"))))))</f>
        <v/>
      </c>
      <c r="O46" s="35"/>
    </row>
    <row r="47" customFormat="false" ht="15" hidden="false" customHeight="false" outlineLevel="0" collapsed="false">
      <c r="A47" s="87" t="str">
        <f aca="false">IF(D47="","",COUNTA(D$9:D47))</f>
        <v/>
      </c>
      <c r="B47" s="22"/>
      <c r="C47" s="35"/>
      <c r="D47" s="35"/>
      <c r="E47" s="35"/>
      <c r="F47" s="24"/>
      <c r="G47" s="88" t="str">
        <f aca="false">IF(F47="","",IFERROR(INDEX('แผนงาน Schedule'!$Z$7:$Z$66,MATCH(F47&amp;"",'แผนงาน Schedule'!$A$7:$A$66,0)),"ไม่พบ WBS"))</f>
        <v/>
      </c>
      <c r="H47" s="22"/>
      <c r="I47" s="88" t="str">
        <f aca="false">IF(OR(D47="",NOT(ISNUMBER(G47))),"",G47-N(H47))</f>
        <v/>
      </c>
      <c r="J47" s="27"/>
      <c r="K47" s="24"/>
      <c r="L47" s="27"/>
      <c r="M47" s="96"/>
      <c r="N47" s="164" t="str">
        <f aca="false">IF(D47="","",IF(K47="อนุมัติ","✓ อนุมัติแล้ว พร้อมใช้",IF(K47="ไม่อนุมัติ","⚠ ไม่อนุมัติ – ต้องเสนอใหม่"&amp;IF(ISNUMBER(I47),IF(I47&gt;='ตั้งค่า Setup'!$C$15," (เหลือ "&amp;(I47-'ตั้งค่า Setup'!$C$15)&amp;" วัน)"," (เลยกำหนด "&amp;('ตั้งค่า Setup'!$C$15-I47)&amp;" วัน)"),""),IF(NOT(ISNUMBER(I47)),"ติดตาม",IF(I47&lt;'ตั้งค่า Setup'!$C$15,"⚠ เลยกำหนดอนุมัติ "&amp;('ตั้งค่า Setup'!$C$15-I47)&amp;" วัน – กระทบแผนงาน",IF(I47-'ตั้งค่า Setup'!$C$15&lt;=14,"⚠ ต้องอนุมัติภายใน "&amp;(I47-'ตั้งค่า Setup'!$C$15)&amp;" วัน","ติดตาม (เหลือ "&amp;(I47-'ตั้งค่า Setup'!$C$15)&amp;" วัน)"))))))</f>
        <v/>
      </c>
      <c r="O47" s="35"/>
    </row>
    <row r="48" customFormat="false" ht="15" hidden="false" customHeight="false" outlineLevel="0" collapsed="false">
      <c r="A48" s="87" t="str">
        <f aca="false">IF(D48="","",COUNTA(D$9:D48))</f>
        <v/>
      </c>
      <c r="B48" s="22"/>
      <c r="C48" s="35"/>
      <c r="D48" s="35"/>
      <c r="E48" s="35"/>
      <c r="F48" s="24"/>
      <c r="G48" s="88" t="str">
        <f aca="false">IF(F48="","",IFERROR(INDEX('แผนงาน Schedule'!$Z$7:$Z$66,MATCH(F48&amp;"",'แผนงาน Schedule'!$A$7:$A$66,0)),"ไม่พบ WBS"))</f>
        <v/>
      </c>
      <c r="H48" s="22"/>
      <c r="I48" s="88" t="str">
        <f aca="false">IF(OR(D48="",NOT(ISNUMBER(G48))),"",G48-N(H48))</f>
        <v/>
      </c>
      <c r="J48" s="27"/>
      <c r="K48" s="24"/>
      <c r="L48" s="27"/>
      <c r="M48" s="96"/>
      <c r="N48" s="164" t="str">
        <f aca="false">IF(D48="","",IF(K48="อนุมัติ","✓ อนุมัติแล้ว พร้อมใช้",IF(K48="ไม่อนุมัติ","⚠ ไม่อนุมัติ – ต้องเสนอใหม่"&amp;IF(ISNUMBER(I48),IF(I48&gt;='ตั้งค่า Setup'!$C$15," (เหลือ "&amp;(I48-'ตั้งค่า Setup'!$C$15)&amp;" วัน)"," (เลยกำหนด "&amp;('ตั้งค่า Setup'!$C$15-I48)&amp;" วัน)"),""),IF(NOT(ISNUMBER(I48)),"ติดตาม",IF(I48&lt;'ตั้งค่า Setup'!$C$15,"⚠ เลยกำหนดอนุมัติ "&amp;('ตั้งค่า Setup'!$C$15-I48)&amp;" วัน – กระทบแผนงาน",IF(I48-'ตั้งค่า Setup'!$C$15&lt;=14,"⚠ ต้องอนุมัติภายใน "&amp;(I48-'ตั้งค่า Setup'!$C$15)&amp;" วัน","ติดตาม (เหลือ "&amp;(I48-'ตั้งค่า Setup'!$C$15)&amp;" วัน)"))))))</f>
        <v/>
      </c>
      <c r="O48" s="35"/>
    </row>
    <row r="49" customFormat="false" ht="15" hidden="false" customHeight="false" outlineLevel="0" collapsed="false">
      <c r="A49" s="87" t="str">
        <f aca="false">IF(D49="","",COUNTA(D$9:D49))</f>
        <v/>
      </c>
      <c r="B49" s="22"/>
      <c r="C49" s="35"/>
      <c r="D49" s="35"/>
      <c r="E49" s="35"/>
      <c r="F49" s="24"/>
      <c r="G49" s="88" t="str">
        <f aca="false">IF(F49="","",IFERROR(INDEX('แผนงาน Schedule'!$Z$7:$Z$66,MATCH(F49&amp;"",'แผนงาน Schedule'!$A$7:$A$66,0)),"ไม่พบ WBS"))</f>
        <v/>
      </c>
      <c r="H49" s="22"/>
      <c r="I49" s="88" t="str">
        <f aca="false">IF(OR(D49="",NOT(ISNUMBER(G49))),"",G49-N(H49))</f>
        <v/>
      </c>
      <c r="J49" s="27"/>
      <c r="K49" s="24"/>
      <c r="L49" s="27"/>
      <c r="M49" s="96"/>
      <c r="N49" s="164" t="str">
        <f aca="false">IF(D49="","",IF(K49="อนุมัติ","✓ อนุมัติแล้ว พร้อมใช้",IF(K49="ไม่อนุมัติ","⚠ ไม่อนุมัติ – ต้องเสนอใหม่"&amp;IF(ISNUMBER(I49),IF(I49&gt;='ตั้งค่า Setup'!$C$15," (เหลือ "&amp;(I49-'ตั้งค่า Setup'!$C$15)&amp;" วัน)"," (เลยกำหนด "&amp;('ตั้งค่า Setup'!$C$15-I49)&amp;" วัน)"),""),IF(NOT(ISNUMBER(I49)),"ติดตาม",IF(I49&lt;'ตั้งค่า Setup'!$C$15,"⚠ เลยกำหนดอนุมัติ "&amp;('ตั้งค่า Setup'!$C$15-I49)&amp;" วัน – กระทบแผนงาน",IF(I49-'ตั้งค่า Setup'!$C$15&lt;=14,"⚠ ต้องอนุมัติภายใน "&amp;(I49-'ตั้งค่า Setup'!$C$15)&amp;" วัน","ติดตาม (เหลือ "&amp;(I49-'ตั้งค่า Setup'!$C$15)&amp;" วัน)"))))))</f>
        <v/>
      </c>
      <c r="O49" s="35"/>
    </row>
    <row r="50" customFormat="false" ht="15" hidden="false" customHeight="false" outlineLevel="0" collapsed="false">
      <c r="A50" s="87" t="str">
        <f aca="false">IF(D50="","",COUNTA(D$9:D50))</f>
        <v/>
      </c>
      <c r="B50" s="22"/>
      <c r="C50" s="35"/>
      <c r="D50" s="35"/>
      <c r="E50" s="35"/>
      <c r="F50" s="24"/>
      <c r="G50" s="88" t="str">
        <f aca="false">IF(F50="","",IFERROR(INDEX('แผนงาน Schedule'!$Z$7:$Z$66,MATCH(F50&amp;"",'แผนงาน Schedule'!$A$7:$A$66,0)),"ไม่พบ WBS"))</f>
        <v/>
      </c>
      <c r="H50" s="22"/>
      <c r="I50" s="88" t="str">
        <f aca="false">IF(OR(D50="",NOT(ISNUMBER(G50))),"",G50-N(H50))</f>
        <v/>
      </c>
      <c r="J50" s="27"/>
      <c r="K50" s="24"/>
      <c r="L50" s="27"/>
      <c r="M50" s="96"/>
      <c r="N50" s="164" t="str">
        <f aca="false">IF(D50="","",IF(K50="อนุมัติ","✓ อนุมัติแล้ว พร้อมใช้",IF(K50="ไม่อนุมัติ","⚠ ไม่อนุมัติ – ต้องเสนอใหม่"&amp;IF(ISNUMBER(I50),IF(I50&gt;='ตั้งค่า Setup'!$C$15," (เหลือ "&amp;(I50-'ตั้งค่า Setup'!$C$15)&amp;" วัน)"," (เลยกำหนด "&amp;('ตั้งค่า Setup'!$C$15-I50)&amp;" วัน)"),""),IF(NOT(ISNUMBER(I50)),"ติดตาม",IF(I50&lt;'ตั้งค่า Setup'!$C$15,"⚠ เลยกำหนดอนุมัติ "&amp;('ตั้งค่า Setup'!$C$15-I50)&amp;" วัน – กระทบแผนงาน",IF(I50-'ตั้งค่า Setup'!$C$15&lt;=14,"⚠ ต้องอนุมัติภายใน "&amp;(I50-'ตั้งค่า Setup'!$C$15)&amp;" วัน","ติดตาม (เหลือ "&amp;(I50-'ตั้งค่า Setup'!$C$15)&amp;" วัน)"))))))</f>
        <v/>
      </c>
      <c r="O50" s="35"/>
    </row>
    <row r="51" customFormat="false" ht="15" hidden="false" customHeight="false" outlineLevel="0" collapsed="false">
      <c r="A51" s="87" t="str">
        <f aca="false">IF(D51="","",COUNTA(D$9:D51))</f>
        <v/>
      </c>
      <c r="B51" s="22"/>
      <c r="C51" s="35"/>
      <c r="D51" s="35"/>
      <c r="E51" s="35"/>
      <c r="F51" s="24"/>
      <c r="G51" s="88" t="str">
        <f aca="false">IF(F51="","",IFERROR(INDEX('แผนงาน Schedule'!$Z$7:$Z$66,MATCH(F51&amp;"",'แผนงาน Schedule'!$A$7:$A$66,0)),"ไม่พบ WBS"))</f>
        <v/>
      </c>
      <c r="H51" s="22"/>
      <c r="I51" s="88" t="str">
        <f aca="false">IF(OR(D51="",NOT(ISNUMBER(G51))),"",G51-N(H51))</f>
        <v/>
      </c>
      <c r="J51" s="27"/>
      <c r="K51" s="24"/>
      <c r="L51" s="27"/>
      <c r="M51" s="96"/>
      <c r="N51" s="164" t="str">
        <f aca="false">IF(D51="","",IF(K51="อนุมัติ","✓ อนุมัติแล้ว พร้อมใช้",IF(K51="ไม่อนุมัติ","⚠ ไม่อนุมัติ – ต้องเสนอใหม่"&amp;IF(ISNUMBER(I51),IF(I51&gt;='ตั้งค่า Setup'!$C$15," (เหลือ "&amp;(I51-'ตั้งค่า Setup'!$C$15)&amp;" วัน)"," (เลยกำหนด "&amp;('ตั้งค่า Setup'!$C$15-I51)&amp;" วัน)"),""),IF(NOT(ISNUMBER(I51)),"ติดตาม",IF(I51&lt;'ตั้งค่า Setup'!$C$15,"⚠ เลยกำหนดอนุมัติ "&amp;('ตั้งค่า Setup'!$C$15-I51)&amp;" วัน – กระทบแผนงาน",IF(I51-'ตั้งค่า Setup'!$C$15&lt;=14,"⚠ ต้องอนุมัติภายใน "&amp;(I51-'ตั้งค่า Setup'!$C$15)&amp;" วัน","ติดตาม (เหลือ "&amp;(I51-'ตั้งค่า Setup'!$C$15)&amp;" วัน)"))))))</f>
        <v/>
      </c>
      <c r="O51" s="35"/>
    </row>
    <row r="52" customFormat="false" ht="15" hidden="false" customHeight="false" outlineLevel="0" collapsed="false">
      <c r="A52" s="87" t="str">
        <f aca="false">IF(D52="","",COUNTA(D$9:D52))</f>
        <v/>
      </c>
      <c r="B52" s="22"/>
      <c r="C52" s="35"/>
      <c r="D52" s="35"/>
      <c r="E52" s="35"/>
      <c r="F52" s="24"/>
      <c r="G52" s="88" t="str">
        <f aca="false">IF(F52="","",IFERROR(INDEX('แผนงาน Schedule'!$Z$7:$Z$66,MATCH(F52&amp;"",'แผนงาน Schedule'!$A$7:$A$66,0)),"ไม่พบ WBS"))</f>
        <v/>
      </c>
      <c r="H52" s="22"/>
      <c r="I52" s="88" t="str">
        <f aca="false">IF(OR(D52="",NOT(ISNUMBER(G52))),"",G52-N(H52))</f>
        <v/>
      </c>
      <c r="J52" s="27"/>
      <c r="K52" s="24"/>
      <c r="L52" s="27"/>
      <c r="M52" s="96"/>
      <c r="N52" s="164" t="str">
        <f aca="false">IF(D52="","",IF(K52="อนุมัติ","✓ อนุมัติแล้ว พร้อมใช้",IF(K52="ไม่อนุมัติ","⚠ ไม่อนุมัติ – ต้องเสนอใหม่"&amp;IF(ISNUMBER(I52),IF(I52&gt;='ตั้งค่า Setup'!$C$15," (เหลือ "&amp;(I52-'ตั้งค่า Setup'!$C$15)&amp;" วัน)"," (เลยกำหนด "&amp;('ตั้งค่า Setup'!$C$15-I52)&amp;" วัน)"),""),IF(NOT(ISNUMBER(I52)),"ติดตาม",IF(I52&lt;'ตั้งค่า Setup'!$C$15,"⚠ เลยกำหนดอนุมัติ "&amp;('ตั้งค่า Setup'!$C$15-I52)&amp;" วัน – กระทบแผนงาน",IF(I52-'ตั้งค่า Setup'!$C$15&lt;=14,"⚠ ต้องอนุมัติภายใน "&amp;(I52-'ตั้งค่า Setup'!$C$15)&amp;" วัน","ติดตาม (เหลือ "&amp;(I52-'ตั้งค่า Setup'!$C$15)&amp;" วัน)"))))))</f>
        <v/>
      </c>
      <c r="O52" s="35"/>
    </row>
    <row r="53" customFormat="false" ht="15" hidden="false" customHeight="false" outlineLevel="0" collapsed="false">
      <c r="A53" s="87" t="str">
        <f aca="false">IF(D53="","",COUNTA(D$9:D53))</f>
        <v/>
      </c>
      <c r="B53" s="22"/>
      <c r="C53" s="35"/>
      <c r="D53" s="35"/>
      <c r="E53" s="35"/>
      <c r="F53" s="24"/>
      <c r="G53" s="88" t="str">
        <f aca="false">IF(F53="","",IFERROR(INDEX('แผนงาน Schedule'!$Z$7:$Z$66,MATCH(F53&amp;"",'แผนงาน Schedule'!$A$7:$A$66,0)),"ไม่พบ WBS"))</f>
        <v/>
      </c>
      <c r="H53" s="22"/>
      <c r="I53" s="88" t="str">
        <f aca="false">IF(OR(D53="",NOT(ISNUMBER(G53))),"",G53-N(H53))</f>
        <v/>
      </c>
      <c r="J53" s="27"/>
      <c r="K53" s="24"/>
      <c r="L53" s="27"/>
      <c r="M53" s="96"/>
      <c r="N53" s="164" t="str">
        <f aca="false">IF(D53="","",IF(K53="อนุมัติ","✓ อนุมัติแล้ว พร้อมใช้",IF(K53="ไม่อนุมัติ","⚠ ไม่อนุมัติ – ต้องเสนอใหม่"&amp;IF(ISNUMBER(I53),IF(I53&gt;='ตั้งค่า Setup'!$C$15," (เหลือ "&amp;(I53-'ตั้งค่า Setup'!$C$15)&amp;" วัน)"," (เลยกำหนด "&amp;('ตั้งค่า Setup'!$C$15-I53)&amp;" วัน)"),""),IF(NOT(ISNUMBER(I53)),"ติดตาม",IF(I53&lt;'ตั้งค่า Setup'!$C$15,"⚠ เลยกำหนดอนุมัติ "&amp;('ตั้งค่า Setup'!$C$15-I53)&amp;" วัน – กระทบแผนงาน",IF(I53-'ตั้งค่า Setup'!$C$15&lt;=14,"⚠ ต้องอนุมัติภายใน "&amp;(I53-'ตั้งค่า Setup'!$C$15)&amp;" วัน","ติดตาม (เหลือ "&amp;(I53-'ตั้งค่า Setup'!$C$15)&amp;" วัน)"))))))</f>
        <v/>
      </c>
      <c r="O53" s="35"/>
    </row>
    <row r="54" customFormat="false" ht="15" hidden="false" customHeight="false" outlineLevel="0" collapsed="false">
      <c r="A54" s="87" t="str">
        <f aca="false">IF(D54="","",COUNTA(D$9:D54))</f>
        <v/>
      </c>
      <c r="B54" s="22"/>
      <c r="C54" s="35"/>
      <c r="D54" s="35"/>
      <c r="E54" s="35"/>
      <c r="F54" s="24"/>
      <c r="G54" s="88" t="str">
        <f aca="false">IF(F54="","",IFERROR(INDEX('แผนงาน Schedule'!$Z$7:$Z$66,MATCH(F54&amp;"",'แผนงาน Schedule'!$A$7:$A$66,0)),"ไม่พบ WBS"))</f>
        <v/>
      </c>
      <c r="H54" s="22"/>
      <c r="I54" s="88" t="str">
        <f aca="false">IF(OR(D54="",NOT(ISNUMBER(G54))),"",G54-N(H54))</f>
        <v/>
      </c>
      <c r="J54" s="27"/>
      <c r="K54" s="24"/>
      <c r="L54" s="27"/>
      <c r="M54" s="96"/>
      <c r="N54" s="164" t="str">
        <f aca="false">IF(D54="","",IF(K54="อนุมัติ","✓ อนุมัติแล้ว พร้อมใช้",IF(K54="ไม่อนุมัติ","⚠ ไม่อนุมัติ – ต้องเสนอใหม่"&amp;IF(ISNUMBER(I54),IF(I54&gt;='ตั้งค่า Setup'!$C$15," (เหลือ "&amp;(I54-'ตั้งค่า Setup'!$C$15)&amp;" วัน)"," (เลยกำหนด "&amp;('ตั้งค่า Setup'!$C$15-I54)&amp;" วัน)"),""),IF(NOT(ISNUMBER(I54)),"ติดตาม",IF(I54&lt;'ตั้งค่า Setup'!$C$15,"⚠ เลยกำหนดอนุมัติ "&amp;('ตั้งค่า Setup'!$C$15-I54)&amp;" วัน – กระทบแผนงาน",IF(I54-'ตั้งค่า Setup'!$C$15&lt;=14,"⚠ ต้องอนุมัติภายใน "&amp;(I54-'ตั้งค่า Setup'!$C$15)&amp;" วัน","ติดตาม (เหลือ "&amp;(I54-'ตั้งค่า Setup'!$C$15)&amp;" วัน)"))))))</f>
        <v/>
      </c>
      <c r="O54" s="35"/>
    </row>
    <row r="55" customFormat="false" ht="15" hidden="false" customHeight="false" outlineLevel="0" collapsed="false">
      <c r="A55" s="87" t="str">
        <f aca="false">IF(D55="","",COUNTA(D$9:D55))</f>
        <v/>
      </c>
      <c r="B55" s="22"/>
      <c r="C55" s="35"/>
      <c r="D55" s="35"/>
      <c r="E55" s="35"/>
      <c r="F55" s="24"/>
      <c r="G55" s="88" t="str">
        <f aca="false">IF(F55="","",IFERROR(INDEX('แผนงาน Schedule'!$Z$7:$Z$66,MATCH(F55&amp;"",'แผนงาน Schedule'!$A$7:$A$66,0)),"ไม่พบ WBS"))</f>
        <v/>
      </c>
      <c r="H55" s="22"/>
      <c r="I55" s="88" t="str">
        <f aca="false">IF(OR(D55="",NOT(ISNUMBER(G55))),"",G55-N(H55))</f>
        <v/>
      </c>
      <c r="J55" s="27"/>
      <c r="K55" s="24"/>
      <c r="L55" s="27"/>
      <c r="M55" s="96"/>
      <c r="N55" s="164" t="str">
        <f aca="false">IF(D55="","",IF(K55="อนุมัติ","✓ อนุมัติแล้ว พร้อมใช้",IF(K55="ไม่อนุมัติ","⚠ ไม่อนุมัติ – ต้องเสนอใหม่"&amp;IF(ISNUMBER(I55),IF(I55&gt;='ตั้งค่า Setup'!$C$15," (เหลือ "&amp;(I55-'ตั้งค่า Setup'!$C$15)&amp;" วัน)"," (เลยกำหนด "&amp;('ตั้งค่า Setup'!$C$15-I55)&amp;" วัน)"),""),IF(NOT(ISNUMBER(I55)),"ติดตาม",IF(I55&lt;'ตั้งค่า Setup'!$C$15,"⚠ เลยกำหนดอนุมัติ "&amp;('ตั้งค่า Setup'!$C$15-I55)&amp;" วัน – กระทบแผนงาน",IF(I55-'ตั้งค่า Setup'!$C$15&lt;=14,"⚠ ต้องอนุมัติภายใน "&amp;(I55-'ตั้งค่า Setup'!$C$15)&amp;" วัน","ติดตาม (เหลือ "&amp;(I55-'ตั้งค่า Setup'!$C$15)&amp;" วัน)"))))))</f>
        <v/>
      </c>
      <c r="O55" s="35"/>
    </row>
    <row r="56" customFormat="false" ht="15" hidden="false" customHeight="false" outlineLevel="0" collapsed="false">
      <c r="A56" s="87" t="str">
        <f aca="false">IF(D56="","",COUNTA(D$9:D56))</f>
        <v/>
      </c>
      <c r="B56" s="22"/>
      <c r="C56" s="35"/>
      <c r="D56" s="35"/>
      <c r="E56" s="35"/>
      <c r="F56" s="24"/>
      <c r="G56" s="88" t="str">
        <f aca="false">IF(F56="","",IFERROR(INDEX('แผนงาน Schedule'!$Z$7:$Z$66,MATCH(F56&amp;"",'แผนงาน Schedule'!$A$7:$A$66,0)),"ไม่พบ WBS"))</f>
        <v/>
      </c>
      <c r="H56" s="22"/>
      <c r="I56" s="88" t="str">
        <f aca="false">IF(OR(D56="",NOT(ISNUMBER(G56))),"",G56-N(H56))</f>
        <v/>
      </c>
      <c r="J56" s="27"/>
      <c r="K56" s="24"/>
      <c r="L56" s="27"/>
      <c r="M56" s="96"/>
      <c r="N56" s="164" t="str">
        <f aca="false">IF(D56="","",IF(K56="อนุมัติ","✓ อนุมัติแล้ว พร้อมใช้",IF(K56="ไม่อนุมัติ","⚠ ไม่อนุมัติ – ต้องเสนอใหม่"&amp;IF(ISNUMBER(I56),IF(I56&gt;='ตั้งค่า Setup'!$C$15," (เหลือ "&amp;(I56-'ตั้งค่า Setup'!$C$15)&amp;" วัน)"," (เลยกำหนด "&amp;('ตั้งค่า Setup'!$C$15-I56)&amp;" วัน)"),""),IF(NOT(ISNUMBER(I56)),"ติดตาม",IF(I56&lt;'ตั้งค่า Setup'!$C$15,"⚠ เลยกำหนดอนุมัติ "&amp;('ตั้งค่า Setup'!$C$15-I56)&amp;" วัน – กระทบแผนงาน",IF(I56-'ตั้งค่า Setup'!$C$15&lt;=14,"⚠ ต้องอนุมัติภายใน "&amp;(I56-'ตั้งค่า Setup'!$C$15)&amp;" วัน","ติดตาม (เหลือ "&amp;(I56-'ตั้งค่า Setup'!$C$15)&amp;" วัน)"))))))</f>
        <v/>
      </c>
      <c r="O56" s="35"/>
    </row>
    <row r="57" customFormat="false" ht="15" hidden="false" customHeight="false" outlineLevel="0" collapsed="false">
      <c r="A57" s="87" t="str">
        <f aca="false">IF(D57="","",COUNTA(D$9:D57))</f>
        <v/>
      </c>
      <c r="B57" s="22"/>
      <c r="C57" s="35"/>
      <c r="D57" s="35"/>
      <c r="E57" s="35"/>
      <c r="F57" s="24"/>
      <c r="G57" s="88" t="str">
        <f aca="false">IF(F57="","",IFERROR(INDEX('แผนงาน Schedule'!$Z$7:$Z$66,MATCH(F57&amp;"",'แผนงาน Schedule'!$A$7:$A$66,0)),"ไม่พบ WBS"))</f>
        <v/>
      </c>
      <c r="H57" s="22"/>
      <c r="I57" s="88" t="str">
        <f aca="false">IF(OR(D57="",NOT(ISNUMBER(G57))),"",G57-N(H57))</f>
        <v/>
      </c>
      <c r="J57" s="27"/>
      <c r="K57" s="24"/>
      <c r="L57" s="27"/>
      <c r="M57" s="96"/>
      <c r="N57" s="164" t="str">
        <f aca="false">IF(D57="","",IF(K57="อนุมัติ","✓ อนุมัติแล้ว พร้อมใช้",IF(K57="ไม่อนุมัติ","⚠ ไม่อนุมัติ – ต้องเสนอใหม่"&amp;IF(ISNUMBER(I57),IF(I57&gt;='ตั้งค่า Setup'!$C$15," (เหลือ "&amp;(I57-'ตั้งค่า Setup'!$C$15)&amp;" วัน)"," (เลยกำหนด "&amp;('ตั้งค่า Setup'!$C$15-I57)&amp;" วัน)"),""),IF(NOT(ISNUMBER(I57)),"ติดตาม",IF(I57&lt;'ตั้งค่า Setup'!$C$15,"⚠ เลยกำหนดอนุมัติ "&amp;('ตั้งค่า Setup'!$C$15-I57)&amp;" วัน – กระทบแผนงาน",IF(I57-'ตั้งค่า Setup'!$C$15&lt;=14,"⚠ ต้องอนุมัติภายใน "&amp;(I57-'ตั้งค่า Setup'!$C$15)&amp;" วัน","ติดตาม (เหลือ "&amp;(I57-'ตั้งค่า Setup'!$C$15)&amp;" วัน)"))))))</f>
        <v/>
      </c>
      <c r="O57" s="35"/>
    </row>
    <row r="58" customFormat="false" ht="15" hidden="false" customHeight="false" outlineLevel="0" collapsed="false">
      <c r="A58" s="87" t="str">
        <f aca="false">IF(D58="","",COUNTA(D$9:D58))</f>
        <v/>
      </c>
      <c r="B58" s="22"/>
      <c r="C58" s="35"/>
      <c r="D58" s="35"/>
      <c r="E58" s="35"/>
      <c r="F58" s="24"/>
      <c r="G58" s="88" t="str">
        <f aca="false">IF(F58="","",IFERROR(INDEX('แผนงาน Schedule'!$Z$7:$Z$66,MATCH(F58&amp;"",'แผนงาน Schedule'!$A$7:$A$66,0)),"ไม่พบ WBS"))</f>
        <v/>
      </c>
      <c r="H58" s="22"/>
      <c r="I58" s="88" t="str">
        <f aca="false">IF(OR(D58="",NOT(ISNUMBER(G58))),"",G58-N(H58))</f>
        <v/>
      </c>
      <c r="J58" s="27"/>
      <c r="K58" s="24"/>
      <c r="L58" s="27"/>
      <c r="M58" s="96"/>
      <c r="N58" s="164" t="str">
        <f aca="false">IF(D58="","",IF(K58="อนุมัติ","✓ อนุมัติแล้ว พร้อมใช้",IF(K58="ไม่อนุมัติ","⚠ ไม่อนุมัติ – ต้องเสนอใหม่"&amp;IF(ISNUMBER(I58),IF(I58&gt;='ตั้งค่า Setup'!$C$15," (เหลือ "&amp;(I58-'ตั้งค่า Setup'!$C$15)&amp;" วัน)"," (เลยกำหนด "&amp;('ตั้งค่า Setup'!$C$15-I58)&amp;" วัน)"),""),IF(NOT(ISNUMBER(I58)),"ติดตาม",IF(I58&lt;'ตั้งค่า Setup'!$C$15,"⚠ เลยกำหนดอนุมัติ "&amp;('ตั้งค่า Setup'!$C$15-I58)&amp;" วัน – กระทบแผนงาน",IF(I58-'ตั้งค่า Setup'!$C$15&lt;=14,"⚠ ต้องอนุมัติภายใน "&amp;(I58-'ตั้งค่า Setup'!$C$15)&amp;" วัน","ติดตาม (เหลือ "&amp;(I58-'ตั้งค่า Setup'!$C$15)&amp;" วัน)"))))))</f>
        <v/>
      </c>
      <c r="O58" s="35"/>
    </row>
    <row r="59" customFormat="false" ht="15" hidden="false" customHeight="false" outlineLevel="0" collapsed="false">
      <c r="A59" s="87" t="str">
        <f aca="false">IF(D59="","",COUNTA(D$9:D59))</f>
        <v/>
      </c>
      <c r="B59" s="22"/>
      <c r="C59" s="35"/>
      <c r="D59" s="35"/>
      <c r="E59" s="35"/>
      <c r="F59" s="24"/>
      <c r="G59" s="88" t="str">
        <f aca="false">IF(F59="","",IFERROR(INDEX('แผนงาน Schedule'!$Z$7:$Z$66,MATCH(F59&amp;"",'แผนงาน Schedule'!$A$7:$A$66,0)),"ไม่พบ WBS"))</f>
        <v/>
      </c>
      <c r="H59" s="22"/>
      <c r="I59" s="88" t="str">
        <f aca="false">IF(OR(D59="",NOT(ISNUMBER(G59))),"",G59-N(H59))</f>
        <v/>
      </c>
      <c r="J59" s="27"/>
      <c r="K59" s="24"/>
      <c r="L59" s="27"/>
      <c r="M59" s="96"/>
      <c r="N59" s="164" t="str">
        <f aca="false">IF(D59="","",IF(K59="อนุมัติ","✓ อนุมัติแล้ว พร้อมใช้",IF(K59="ไม่อนุมัติ","⚠ ไม่อนุมัติ – ต้องเสนอใหม่"&amp;IF(ISNUMBER(I59),IF(I59&gt;='ตั้งค่า Setup'!$C$15," (เหลือ "&amp;(I59-'ตั้งค่า Setup'!$C$15)&amp;" วัน)"," (เลยกำหนด "&amp;('ตั้งค่า Setup'!$C$15-I59)&amp;" วัน)"),""),IF(NOT(ISNUMBER(I59)),"ติดตาม",IF(I59&lt;'ตั้งค่า Setup'!$C$15,"⚠ เลยกำหนดอนุมัติ "&amp;('ตั้งค่า Setup'!$C$15-I59)&amp;" วัน – กระทบแผนงาน",IF(I59-'ตั้งค่า Setup'!$C$15&lt;=14,"⚠ ต้องอนุมัติภายใน "&amp;(I59-'ตั้งค่า Setup'!$C$15)&amp;" วัน","ติดตาม (เหลือ "&amp;(I59-'ตั้งค่า Setup'!$C$15)&amp;" วัน)"))))))</f>
        <v/>
      </c>
      <c r="O59" s="35"/>
    </row>
    <row r="60" customFormat="false" ht="15" hidden="false" customHeight="false" outlineLevel="0" collapsed="false">
      <c r="A60" s="87" t="str">
        <f aca="false">IF(D60="","",COUNTA(D$9:D60))</f>
        <v/>
      </c>
      <c r="B60" s="22"/>
      <c r="C60" s="35"/>
      <c r="D60" s="35"/>
      <c r="E60" s="35"/>
      <c r="F60" s="24"/>
      <c r="G60" s="88" t="str">
        <f aca="false">IF(F60="","",IFERROR(INDEX('แผนงาน Schedule'!$Z$7:$Z$66,MATCH(F60&amp;"",'แผนงาน Schedule'!$A$7:$A$66,0)),"ไม่พบ WBS"))</f>
        <v/>
      </c>
      <c r="H60" s="22"/>
      <c r="I60" s="88" t="str">
        <f aca="false">IF(OR(D60="",NOT(ISNUMBER(G60))),"",G60-N(H60))</f>
        <v/>
      </c>
      <c r="J60" s="27"/>
      <c r="K60" s="24"/>
      <c r="L60" s="27"/>
      <c r="M60" s="96"/>
      <c r="N60" s="164" t="str">
        <f aca="false">IF(D60="","",IF(K60="อนุมัติ","✓ อนุมัติแล้ว พร้อมใช้",IF(K60="ไม่อนุมัติ","⚠ ไม่อนุมัติ – ต้องเสนอใหม่"&amp;IF(ISNUMBER(I60),IF(I60&gt;='ตั้งค่า Setup'!$C$15," (เหลือ "&amp;(I60-'ตั้งค่า Setup'!$C$15)&amp;" วัน)"," (เลยกำหนด "&amp;('ตั้งค่า Setup'!$C$15-I60)&amp;" วัน)"),""),IF(NOT(ISNUMBER(I60)),"ติดตาม",IF(I60&lt;'ตั้งค่า Setup'!$C$15,"⚠ เลยกำหนดอนุมัติ "&amp;('ตั้งค่า Setup'!$C$15-I60)&amp;" วัน – กระทบแผนงาน",IF(I60-'ตั้งค่า Setup'!$C$15&lt;=14,"⚠ ต้องอนุมัติภายใน "&amp;(I60-'ตั้งค่า Setup'!$C$15)&amp;" วัน","ติดตาม (เหลือ "&amp;(I60-'ตั้งค่า Setup'!$C$15)&amp;" วัน)"))))))</f>
        <v/>
      </c>
      <c r="O60" s="35"/>
    </row>
    <row r="61" customFormat="false" ht="15" hidden="false" customHeight="false" outlineLevel="0" collapsed="false">
      <c r="A61" s="87" t="str">
        <f aca="false">IF(D61="","",COUNTA(D$9:D61))</f>
        <v/>
      </c>
      <c r="B61" s="22"/>
      <c r="C61" s="35"/>
      <c r="D61" s="35"/>
      <c r="E61" s="35"/>
      <c r="F61" s="24"/>
      <c r="G61" s="88" t="str">
        <f aca="false">IF(F61="","",IFERROR(INDEX('แผนงาน Schedule'!$Z$7:$Z$66,MATCH(F61&amp;"",'แผนงาน Schedule'!$A$7:$A$66,0)),"ไม่พบ WBS"))</f>
        <v/>
      </c>
      <c r="H61" s="22"/>
      <c r="I61" s="88" t="str">
        <f aca="false">IF(OR(D61="",NOT(ISNUMBER(G61))),"",G61-N(H61))</f>
        <v/>
      </c>
      <c r="J61" s="27"/>
      <c r="K61" s="24"/>
      <c r="L61" s="27"/>
      <c r="M61" s="96"/>
      <c r="N61" s="164" t="str">
        <f aca="false">IF(D61="","",IF(K61="อนุมัติ","✓ อนุมัติแล้ว พร้อมใช้",IF(K61="ไม่อนุมัติ","⚠ ไม่อนุมัติ – ต้องเสนอใหม่"&amp;IF(ISNUMBER(I61),IF(I61&gt;='ตั้งค่า Setup'!$C$15," (เหลือ "&amp;(I61-'ตั้งค่า Setup'!$C$15)&amp;" วัน)"," (เลยกำหนด "&amp;('ตั้งค่า Setup'!$C$15-I61)&amp;" วัน)"),""),IF(NOT(ISNUMBER(I61)),"ติดตาม",IF(I61&lt;'ตั้งค่า Setup'!$C$15,"⚠ เลยกำหนดอนุมัติ "&amp;('ตั้งค่า Setup'!$C$15-I61)&amp;" วัน – กระทบแผนงาน",IF(I61-'ตั้งค่า Setup'!$C$15&lt;=14,"⚠ ต้องอนุมัติภายใน "&amp;(I61-'ตั้งค่า Setup'!$C$15)&amp;" วัน","ติดตาม (เหลือ "&amp;(I61-'ตั้งค่า Setup'!$C$15)&amp;" วัน)"))))))</f>
        <v/>
      </c>
      <c r="O61" s="35"/>
    </row>
    <row r="62" customFormat="false" ht="15" hidden="false" customHeight="false" outlineLevel="0" collapsed="false">
      <c r="A62" s="87" t="str">
        <f aca="false">IF(D62="","",COUNTA(D$9:D62))</f>
        <v/>
      </c>
      <c r="B62" s="22"/>
      <c r="C62" s="35"/>
      <c r="D62" s="35"/>
      <c r="E62" s="35"/>
      <c r="F62" s="24"/>
      <c r="G62" s="88" t="str">
        <f aca="false">IF(F62="","",IFERROR(INDEX('แผนงาน Schedule'!$Z$7:$Z$66,MATCH(F62&amp;"",'แผนงาน Schedule'!$A$7:$A$66,0)),"ไม่พบ WBS"))</f>
        <v/>
      </c>
      <c r="H62" s="22"/>
      <c r="I62" s="88" t="str">
        <f aca="false">IF(OR(D62="",NOT(ISNUMBER(G62))),"",G62-N(H62))</f>
        <v/>
      </c>
      <c r="J62" s="27"/>
      <c r="K62" s="24"/>
      <c r="L62" s="27"/>
      <c r="M62" s="96"/>
      <c r="N62" s="164" t="str">
        <f aca="false">IF(D62="","",IF(K62="อนุมัติ","✓ อนุมัติแล้ว พร้อมใช้",IF(K62="ไม่อนุมัติ","⚠ ไม่อนุมัติ – ต้องเสนอใหม่"&amp;IF(ISNUMBER(I62),IF(I62&gt;='ตั้งค่า Setup'!$C$15," (เหลือ "&amp;(I62-'ตั้งค่า Setup'!$C$15)&amp;" วัน)"," (เลยกำหนด "&amp;('ตั้งค่า Setup'!$C$15-I62)&amp;" วัน)"),""),IF(NOT(ISNUMBER(I62)),"ติดตาม",IF(I62&lt;'ตั้งค่า Setup'!$C$15,"⚠ เลยกำหนดอนุมัติ "&amp;('ตั้งค่า Setup'!$C$15-I62)&amp;" วัน – กระทบแผนงาน",IF(I62-'ตั้งค่า Setup'!$C$15&lt;=14,"⚠ ต้องอนุมัติภายใน "&amp;(I62-'ตั้งค่า Setup'!$C$15)&amp;" วัน","ติดตาม (เหลือ "&amp;(I62-'ตั้งค่า Setup'!$C$15)&amp;" วัน)"))))))</f>
        <v/>
      </c>
      <c r="O62" s="35"/>
    </row>
    <row r="63" customFormat="false" ht="15" hidden="false" customHeight="false" outlineLevel="0" collapsed="false">
      <c r="A63" s="87" t="str">
        <f aca="false">IF(D63="","",COUNTA(D$9:D63))</f>
        <v/>
      </c>
      <c r="B63" s="22"/>
      <c r="C63" s="35"/>
      <c r="D63" s="35"/>
      <c r="E63" s="35"/>
      <c r="F63" s="24"/>
      <c r="G63" s="88" t="str">
        <f aca="false">IF(F63="","",IFERROR(INDEX('แผนงาน Schedule'!$Z$7:$Z$66,MATCH(F63&amp;"",'แผนงาน Schedule'!$A$7:$A$66,0)),"ไม่พบ WBS"))</f>
        <v/>
      </c>
      <c r="H63" s="22"/>
      <c r="I63" s="88" t="str">
        <f aca="false">IF(OR(D63="",NOT(ISNUMBER(G63))),"",G63-N(H63))</f>
        <v/>
      </c>
      <c r="J63" s="27"/>
      <c r="K63" s="24"/>
      <c r="L63" s="27"/>
      <c r="M63" s="96"/>
      <c r="N63" s="164" t="str">
        <f aca="false">IF(D63="","",IF(K63="อนุมัติ","✓ อนุมัติแล้ว พร้อมใช้",IF(K63="ไม่อนุมัติ","⚠ ไม่อนุมัติ – ต้องเสนอใหม่"&amp;IF(ISNUMBER(I63),IF(I63&gt;='ตั้งค่า Setup'!$C$15," (เหลือ "&amp;(I63-'ตั้งค่า Setup'!$C$15)&amp;" วัน)"," (เลยกำหนด "&amp;('ตั้งค่า Setup'!$C$15-I63)&amp;" วัน)"),""),IF(NOT(ISNUMBER(I63)),"ติดตาม",IF(I63&lt;'ตั้งค่า Setup'!$C$15,"⚠ เลยกำหนดอนุมัติ "&amp;('ตั้งค่า Setup'!$C$15-I63)&amp;" วัน – กระทบแผนงาน",IF(I63-'ตั้งค่า Setup'!$C$15&lt;=14,"⚠ ต้องอนุมัติภายใน "&amp;(I63-'ตั้งค่า Setup'!$C$15)&amp;" วัน","ติดตาม (เหลือ "&amp;(I63-'ตั้งค่า Setup'!$C$15)&amp;" วัน)"))))))</f>
        <v/>
      </c>
      <c r="O63" s="35"/>
    </row>
    <row r="64" customFormat="false" ht="15" hidden="false" customHeight="false" outlineLevel="0" collapsed="false">
      <c r="A64" s="87" t="str">
        <f aca="false">IF(D64="","",COUNTA(D$9:D64))</f>
        <v/>
      </c>
      <c r="B64" s="22"/>
      <c r="C64" s="35"/>
      <c r="D64" s="35"/>
      <c r="E64" s="35"/>
      <c r="F64" s="24"/>
      <c r="G64" s="88" t="str">
        <f aca="false">IF(F64="","",IFERROR(INDEX('แผนงาน Schedule'!$Z$7:$Z$66,MATCH(F64&amp;"",'แผนงาน Schedule'!$A$7:$A$66,0)),"ไม่พบ WBS"))</f>
        <v/>
      </c>
      <c r="H64" s="22"/>
      <c r="I64" s="88" t="str">
        <f aca="false">IF(OR(D64="",NOT(ISNUMBER(G64))),"",G64-N(H64))</f>
        <v/>
      </c>
      <c r="J64" s="27"/>
      <c r="K64" s="24"/>
      <c r="L64" s="27"/>
      <c r="M64" s="96"/>
      <c r="N64" s="164" t="str">
        <f aca="false">IF(D64="","",IF(K64="อนุมัติ","✓ อนุมัติแล้ว พร้อมใช้",IF(K64="ไม่อนุมัติ","⚠ ไม่อนุมัติ – ต้องเสนอใหม่"&amp;IF(ISNUMBER(I64),IF(I64&gt;='ตั้งค่า Setup'!$C$15," (เหลือ "&amp;(I64-'ตั้งค่า Setup'!$C$15)&amp;" วัน)"," (เลยกำหนด "&amp;('ตั้งค่า Setup'!$C$15-I64)&amp;" วัน)"),""),IF(NOT(ISNUMBER(I64)),"ติดตาม",IF(I64&lt;'ตั้งค่า Setup'!$C$15,"⚠ เลยกำหนดอนุมัติ "&amp;('ตั้งค่า Setup'!$C$15-I64)&amp;" วัน – กระทบแผนงาน",IF(I64-'ตั้งค่า Setup'!$C$15&lt;=14,"⚠ ต้องอนุมัติภายใน "&amp;(I64-'ตั้งค่า Setup'!$C$15)&amp;" วัน","ติดตาม (เหลือ "&amp;(I64-'ตั้งค่า Setup'!$C$15)&amp;" วัน)"))))))</f>
        <v/>
      </c>
      <c r="O64" s="35"/>
    </row>
    <row r="65" customFormat="false" ht="15" hidden="false" customHeight="false" outlineLevel="0" collapsed="false">
      <c r="A65" s="87" t="str">
        <f aca="false">IF(D65="","",COUNTA(D$9:D65))</f>
        <v/>
      </c>
      <c r="B65" s="22"/>
      <c r="C65" s="35"/>
      <c r="D65" s="35"/>
      <c r="E65" s="35"/>
      <c r="F65" s="24"/>
      <c r="G65" s="88" t="str">
        <f aca="false">IF(F65="","",IFERROR(INDEX('แผนงาน Schedule'!$Z$7:$Z$66,MATCH(F65&amp;"",'แผนงาน Schedule'!$A$7:$A$66,0)),"ไม่พบ WBS"))</f>
        <v/>
      </c>
      <c r="H65" s="22"/>
      <c r="I65" s="88" t="str">
        <f aca="false">IF(OR(D65="",NOT(ISNUMBER(G65))),"",G65-N(H65))</f>
        <v/>
      </c>
      <c r="J65" s="27"/>
      <c r="K65" s="24"/>
      <c r="L65" s="27"/>
      <c r="M65" s="96"/>
      <c r="N65" s="164" t="str">
        <f aca="false">IF(D65="","",IF(K65="อนุมัติ","✓ อนุมัติแล้ว พร้อมใช้",IF(K65="ไม่อนุมัติ","⚠ ไม่อนุมัติ – ต้องเสนอใหม่"&amp;IF(ISNUMBER(I65),IF(I65&gt;='ตั้งค่า Setup'!$C$15," (เหลือ "&amp;(I65-'ตั้งค่า Setup'!$C$15)&amp;" วัน)"," (เลยกำหนด "&amp;('ตั้งค่า Setup'!$C$15-I65)&amp;" วัน)"),""),IF(NOT(ISNUMBER(I65)),"ติดตาม",IF(I65&lt;'ตั้งค่า Setup'!$C$15,"⚠ เลยกำหนดอนุมัติ "&amp;('ตั้งค่า Setup'!$C$15-I65)&amp;" วัน – กระทบแผนงาน",IF(I65-'ตั้งค่า Setup'!$C$15&lt;=14,"⚠ ต้องอนุมัติภายใน "&amp;(I65-'ตั้งค่า Setup'!$C$15)&amp;" วัน","ติดตาม (เหลือ "&amp;(I65-'ตั้งค่า Setup'!$C$15)&amp;" วัน)"))))))</f>
        <v/>
      </c>
      <c r="O65" s="35"/>
    </row>
    <row r="66" customFormat="false" ht="15" hidden="false" customHeight="false" outlineLevel="0" collapsed="false">
      <c r="A66" s="87" t="str">
        <f aca="false">IF(D66="","",COUNTA(D$9:D66))</f>
        <v/>
      </c>
      <c r="B66" s="22"/>
      <c r="C66" s="35"/>
      <c r="D66" s="35"/>
      <c r="E66" s="35"/>
      <c r="F66" s="24"/>
      <c r="G66" s="88" t="str">
        <f aca="false">IF(F66="","",IFERROR(INDEX('แผนงาน Schedule'!$Z$7:$Z$66,MATCH(F66&amp;"",'แผนงาน Schedule'!$A$7:$A$66,0)),"ไม่พบ WBS"))</f>
        <v/>
      </c>
      <c r="H66" s="22"/>
      <c r="I66" s="88" t="str">
        <f aca="false">IF(OR(D66="",NOT(ISNUMBER(G66))),"",G66-N(H66))</f>
        <v/>
      </c>
      <c r="J66" s="27"/>
      <c r="K66" s="24"/>
      <c r="L66" s="27"/>
      <c r="M66" s="96"/>
      <c r="N66" s="164" t="str">
        <f aca="false">IF(D66="","",IF(K66="อนุมัติ","✓ อนุมัติแล้ว พร้อมใช้",IF(K66="ไม่อนุมัติ","⚠ ไม่อนุมัติ – ต้องเสนอใหม่"&amp;IF(ISNUMBER(I66),IF(I66&gt;='ตั้งค่า Setup'!$C$15," (เหลือ "&amp;(I66-'ตั้งค่า Setup'!$C$15)&amp;" วัน)"," (เลยกำหนด "&amp;('ตั้งค่า Setup'!$C$15-I66)&amp;" วัน)"),""),IF(NOT(ISNUMBER(I66)),"ติดตาม",IF(I66&lt;'ตั้งค่า Setup'!$C$15,"⚠ เลยกำหนดอนุมัติ "&amp;('ตั้งค่า Setup'!$C$15-I66)&amp;" วัน – กระทบแผนงาน",IF(I66-'ตั้งค่า Setup'!$C$15&lt;=14,"⚠ ต้องอนุมัติภายใน "&amp;(I66-'ตั้งค่า Setup'!$C$15)&amp;" วัน","ติดตาม (เหลือ "&amp;(I66-'ตั้งค่า Setup'!$C$15)&amp;" วัน)"))))))</f>
        <v/>
      </c>
      <c r="O66" s="35"/>
    </row>
    <row r="67" customFormat="false" ht="15" hidden="false" customHeight="false" outlineLevel="0" collapsed="false">
      <c r="A67" s="87" t="str">
        <f aca="false">IF(D67="","",COUNTA(D$9:D67))</f>
        <v/>
      </c>
      <c r="B67" s="22"/>
      <c r="C67" s="35"/>
      <c r="D67" s="35"/>
      <c r="E67" s="35"/>
      <c r="F67" s="24"/>
      <c r="G67" s="88" t="str">
        <f aca="false">IF(F67="","",IFERROR(INDEX('แผนงาน Schedule'!$Z$7:$Z$66,MATCH(F67&amp;"",'แผนงาน Schedule'!$A$7:$A$66,0)),"ไม่พบ WBS"))</f>
        <v/>
      </c>
      <c r="H67" s="22"/>
      <c r="I67" s="88" t="str">
        <f aca="false">IF(OR(D67="",NOT(ISNUMBER(G67))),"",G67-N(H67))</f>
        <v/>
      </c>
      <c r="J67" s="27"/>
      <c r="K67" s="24"/>
      <c r="L67" s="27"/>
      <c r="M67" s="96"/>
      <c r="N67" s="164" t="str">
        <f aca="false">IF(D67="","",IF(K67="อนุมัติ","✓ อนุมัติแล้ว พร้อมใช้",IF(K67="ไม่อนุมัติ","⚠ ไม่อนุมัติ – ต้องเสนอใหม่"&amp;IF(ISNUMBER(I67),IF(I67&gt;='ตั้งค่า Setup'!$C$15," (เหลือ "&amp;(I67-'ตั้งค่า Setup'!$C$15)&amp;" วัน)"," (เลยกำหนด "&amp;('ตั้งค่า Setup'!$C$15-I67)&amp;" วัน)"),""),IF(NOT(ISNUMBER(I67)),"ติดตาม",IF(I67&lt;'ตั้งค่า Setup'!$C$15,"⚠ เลยกำหนดอนุมัติ "&amp;('ตั้งค่า Setup'!$C$15-I67)&amp;" วัน – กระทบแผนงาน",IF(I67-'ตั้งค่า Setup'!$C$15&lt;=14,"⚠ ต้องอนุมัติภายใน "&amp;(I67-'ตั้งค่า Setup'!$C$15)&amp;" วัน","ติดตาม (เหลือ "&amp;(I67-'ตั้งค่า Setup'!$C$15)&amp;" วัน)"))))))</f>
        <v/>
      </c>
      <c r="O67" s="35"/>
    </row>
    <row r="68" customFormat="false" ht="15" hidden="false" customHeight="false" outlineLevel="0" collapsed="false">
      <c r="A68" s="87" t="str">
        <f aca="false">IF(D68="","",COUNTA(D$9:D68))</f>
        <v/>
      </c>
      <c r="B68" s="22"/>
      <c r="C68" s="35"/>
      <c r="D68" s="35"/>
      <c r="E68" s="35"/>
      <c r="F68" s="24"/>
      <c r="G68" s="88" t="str">
        <f aca="false">IF(F68="","",IFERROR(INDEX('แผนงาน Schedule'!$Z$7:$Z$66,MATCH(F68&amp;"",'แผนงาน Schedule'!$A$7:$A$66,0)),"ไม่พบ WBS"))</f>
        <v/>
      </c>
      <c r="H68" s="22"/>
      <c r="I68" s="88" t="str">
        <f aca="false">IF(OR(D68="",NOT(ISNUMBER(G68))),"",G68-N(H68))</f>
        <v/>
      </c>
      <c r="J68" s="27"/>
      <c r="K68" s="24"/>
      <c r="L68" s="27"/>
      <c r="M68" s="96"/>
      <c r="N68" s="164" t="str">
        <f aca="false">IF(D68="","",IF(K68="อนุมัติ","✓ อนุมัติแล้ว พร้อมใช้",IF(K68="ไม่อนุมัติ","⚠ ไม่อนุมัติ – ต้องเสนอใหม่"&amp;IF(ISNUMBER(I68),IF(I68&gt;='ตั้งค่า Setup'!$C$15," (เหลือ "&amp;(I68-'ตั้งค่า Setup'!$C$15)&amp;" วัน)"," (เลยกำหนด "&amp;('ตั้งค่า Setup'!$C$15-I68)&amp;" วัน)"),""),IF(NOT(ISNUMBER(I68)),"ติดตาม",IF(I68&lt;'ตั้งค่า Setup'!$C$15,"⚠ เลยกำหนดอนุมัติ "&amp;('ตั้งค่า Setup'!$C$15-I68)&amp;" วัน – กระทบแผนงาน",IF(I68-'ตั้งค่า Setup'!$C$15&lt;=14,"⚠ ต้องอนุมัติภายใน "&amp;(I68-'ตั้งค่า Setup'!$C$15)&amp;" วัน","ติดตาม (เหลือ "&amp;(I68-'ตั้งค่า Setup'!$C$15)&amp;" วัน)"))))))</f>
        <v/>
      </c>
      <c r="O68" s="35"/>
    </row>
    <row r="69" customFormat="false" ht="15" hidden="false" customHeight="false" outlineLevel="0" collapsed="false">
      <c r="A69" s="87" t="str">
        <f aca="false">IF(D69="","",COUNTA(D$9:D69))</f>
        <v/>
      </c>
      <c r="B69" s="22"/>
      <c r="C69" s="35"/>
      <c r="D69" s="35"/>
      <c r="E69" s="35"/>
      <c r="F69" s="24"/>
      <c r="G69" s="88" t="str">
        <f aca="false">IF(F69="","",IFERROR(INDEX('แผนงาน Schedule'!$Z$7:$Z$66,MATCH(F69&amp;"",'แผนงาน Schedule'!$A$7:$A$66,0)),"ไม่พบ WBS"))</f>
        <v/>
      </c>
      <c r="H69" s="22"/>
      <c r="I69" s="88" t="str">
        <f aca="false">IF(OR(D69="",NOT(ISNUMBER(G69))),"",G69-N(H69))</f>
        <v/>
      </c>
      <c r="J69" s="27"/>
      <c r="K69" s="24"/>
      <c r="L69" s="27"/>
      <c r="M69" s="96"/>
      <c r="N69" s="164" t="str">
        <f aca="false">IF(D69="","",IF(K69="อนุมัติ","✓ อนุมัติแล้ว พร้อมใช้",IF(K69="ไม่อนุมัติ","⚠ ไม่อนุมัติ – ต้องเสนอใหม่"&amp;IF(ISNUMBER(I69),IF(I69&gt;='ตั้งค่า Setup'!$C$15," (เหลือ "&amp;(I69-'ตั้งค่า Setup'!$C$15)&amp;" วัน)"," (เลยกำหนด "&amp;('ตั้งค่า Setup'!$C$15-I69)&amp;" วัน)"),""),IF(NOT(ISNUMBER(I69)),"ติดตาม",IF(I69&lt;'ตั้งค่า Setup'!$C$15,"⚠ เลยกำหนดอนุมัติ "&amp;('ตั้งค่า Setup'!$C$15-I69)&amp;" วัน – กระทบแผนงาน",IF(I69-'ตั้งค่า Setup'!$C$15&lt;=14,"⚠ ต้องอนุมัติภายใน "&amp;(I69-'ตั้งค่า Setup'!$C$15)&amp;" วัน","ติดตาม (เหลือ "&amp;(I69-'ตั้งค่า Setup'!$C$15)&amp;" วัน)"))))))</f>
        <v/>
      </c>
      <c r="O69" s="35"/>
    </row>
    <row r="70" customFormat="false" ht="15" hidden="false" customHeight="false" outlineLevel="0" collapsed="false">
      <c r="A70" s="87" t="str">
        <f aca="false">IF(D70="","",COUNTA(D$9:D70))</f>
        <v/>
      </c>
      <c r="B70" s="22"/>
      <c r="C70" s="35"/>
      <c r="D70" s="35"/>
      <c r="E70" s="35"/>
      <c r="F70" s="24"/>
      <c r="G70" s="88" t="str">
        <f aca="false">IF(F70="","",IFERROR(INDEX('แผนงาน Schedule'!$Z$7:$Z$66,MATCH(F70&amp;"",'แผนงาน Schedule'!$A$7:$A$66,0)),"ไม่พบ WBS"))</f>
        <v/>
      </c>
      <c r="H70" s="22"/>
      <c r="I70" s="88" t="str">
        <f aca="false">IF(OR(D70="",NOT(ISNUMBER(G70))),"",G70-N(H70))</f>
        <v/>
      </c>
      <c r="J70" s="27"/>
      <c r="K70" s="24"/>
      <c r="L70" s="27"/>
      <c r="M70" s="96"/>
      <c r="N70" s="164" t="str">
        <f aca="false">IF(D70="","",IF(K70="อนุมัติ","✓ อนุมัติแล้ว พร้อมใช้",IF(K70="ไม่อนุมัติ","⚠ ไม่อนุมัติ – ต้องเสนอใหม่"&amp;IF(ISNUMBER(I70),IF(I70&gt;='ตั้งค่า Setup'!$C$15," (เหลือ "&amp;(I70-'ตั้งค่า Setup'!$C$15)&amp;" วัน)"," (เลยกำหนด "&amp;('ตั้งค่า Setup'!$C$15-I70)&amp;" วัน)"),""),IF(NOT(ISNUMBER(I70)),"ติดตาม",IF(I70&lt;'ตั้งค่า Setup'!$C$15,"⚠ เลยกำหนดอนุมัติ "&amp;('ตั้งค่า Setup'!$C$15-I70)&amp;" วัน – กระทบแผนงาน",IF(I70-'ตั้งค่า Setup'!$C$15&lt;=14,"⚠ ต้องอนุมัติภายใน "&amp;(I70-'ตั้งค่า Setup'!$C$15)&amp;" วัน","ติดตาม (เหลือ "&amp;(I70-'ตั้งค่า Setup'!$C$15)&amp;" วัน)"))))))</f>
        <v/>
      </c>
      <c r="O70" s="35"/>
    </row>
    <row r="71" customFormat="false" ht="15" hidden="false" customHeight="false" outlineLevel="0" collapsed="false">
      <c r="A71" s="87" t="str">
        <f aca="false">IF(D71="","",COUNTA(D$9:D71))</f>
        <v/>
      </c>
      <c r="B71" s="22"/>
      <c r="C71" s="35"/>
      <c r="D71" s="35"/>
      <c r="E71" s="35"/>
      <c r="F71" s="24"/>
      <c r="G71" s="88" t="str">
        <f aca="false">IF(F71="","",IFERROR(INDEX('แผนงาน Schedule'!$Z$7:$Z$66,MATCH(F71&amp;"",'แผนงาน Schedule'!$A$7:$A$66,0)),"ไม่พบ WBS"))</f>
        <v/>
      </c>
      <c r="H71" s="22"/>
      <c r="I71" s="88" t="str">
        <f aca="false">IF(OR(D71="",NOT(ISNUMBER(G71))),"",G71-N(H71))</f>
        <v/>
      </c>
      <c r="J71" s="27"/>
      <c r="K71" s="24"/>
      <c r="L71" s="27"/>
      <c r="M71" s="96"/>
      <c r="N71" s="164" t="str">
        <f aca="false">IF(D71="","",IF(K71="อนุมัติ","✓ อนุมัติแล้ว พร้อมใช้",IF(K71="ไม่อนุมัติ","⚠ ไม่อนุมัติ – ต้องเสนอใหม่"&amp;IF(ISNUMBER(I71),IF(I71&gt;='ตั้งค่า Setup'!$C$15," (เหลือ "&amp;(I71-'ตั้งค่า Setup'!$C$15)&amp;" วัน)"," (เลยกำหนด "&amp;('ตั้งค่า Setup'!$C$15-I71)&amp;" วัน)"),""),IF(NOT(ISNUMBER(I71)),"ติดตาม",IF(I71&lt;'ตั้งค่า Setup'!$C$15,"⚠ เลยกำหนดอนุมัติ "&amp;('ตั้งค่า Setup'!$C$15-I71)&amp;" วัน – กระทบแผนงาน",IF(I71-'ตั้งค่า Setup'!$C$15&lt;=14,"⚠ ต้องอนุมัติภายใน "&amp;(I71-'ตั้งค่า Setup'!$C$15)&amp;" วัน","ติดตาม (เหลือ "&amp;(I71-'ตั้งค่า Setup'!$C$15)&amp;" วัน)"))))))</f>
        <v/>
      </c>
      <c r="O71" s="35"/>
    </row>
    <row r="72" customFormat="false" ht="15" hidden="false" customHeight="false" outlineLevel="0" collapsed="false">
      <c r="A72" s="87" t="str">
        <f aca="false">IF(D72="","",COUNTA(D$9:D72))</f>
        <v/>
      </c>
      <c r="B72" s="22"/>
      <c r="C72" s="35"/>
      <c r="D72" s="35"/>
      <c r="E72" s="35"/>
      <c r="F72" s="24"/>
      <c r="G72" s="88" t="str">
        <f aca="false">IF(F72="","",IFERROR(INDEX('แผนงาน Schedule'!$Z$7:$Z$66,MATCH(F72&amp;"",'แผนงาน Schedule'!$A$7:$A$66,0)),"ไม่พบ WBS"))</f>
        <v/>
      </c>
      <c r="H72" s="22"/>
      <c r="I72" s="88" t="str">
        <f aca="false">IF(OR(D72="",NOT(ISNUMBER(G72))),"",G72-N(H72))</f>
        <v/>
      </c>
      <c r="J72" s="27"/>
      <c r="K72" s="24"/>
      <c r="L72" s="27"/>
      <c r="M72" s="96"/>
      <c r="N72" s="164" t="str">
        <f aca="false">IF(D72="","",IF(K72="อนุมัติ","✓ อนุมัติแล้ว พร้อมใช้",IF(K72="ไม่อนุมัติ","⚠ ไม่อนุมัติ – ต้องเสนอใหม่"&amp;IF(ISNUMBER(I72),IF(I72&gt;='ตั้งค่า Setup'!$C$15," (เหลือ "&amp;(I72-'ตั้งค่า Setup'!$C$15)&amp;" วัน)"," (เลยกำหนด "&amp;('ตั้งค่า Setup'!$C$15-I72)&amp;" วัน)"),""),IF(NOT(ISNUMBER(I72)),"ติดตาม",IF(I72&lt;'ตั้งค่า Setup'!$C$15,"⚠ เลยกำหนดอนุมัติ "&amp;('ตั้งค่า Setup'!$C$15-I72)&amp;" วัน – กระทบแผนงาน",IF(I72-'ตั้งค่า Setup'!$C$15&lt;=14,"⚠ ต้องอนุมัติภายใน "&amp;(I72-'ตั้งค่า Setup'!$C$15)&amp;" วัน","ติดตาม (เหลือ "&amp;(I72-'ตั้งค่า Setup'!$C$15)&amp;" วัน)"))))))</f>
        <v/>
      </c>
      <c r="O72" s="35"/>
    </row>
    <row r="73" customFormat="false" ht="15" hidden="false" customHeight="false" outlineLevel="0" collapsed="false">
      <c r="A73" s="87" t="str">
        <f aca="false">IF(D73="","",COUNTA(D$9:D73))</f>
        <v/>
      </c>
      <c r="B73" s="22"/>
      <c r="C73" s="35"/>
      <c r="D73" s="35"/>
      <c r="E73" s="35"/>
      <c r="F73" s="24"/>
      <c r="G73" s="88" t="str">
        <f aca="false">IF(F73="","",IFERROR(INDEX('แผนงาน Schedule'!$Z$7:$Z$66,MATCH(F73&amp;"",'แผนงาน Schedule'!$A$7:$A$66,0)),"ไม่พบ WBS"))</f>
        <v/>
      </c>
      <c r="H73" s="22"/>
      <c r="I73" s="88" t="str">
        <f aca="false">IF(OR(D73="",NOT(ISNUMBER(G73))),"",G73-N(H73))</f>
        <v/>
      </c>
      <c r="J73" s="27"/>
      <c r="K73" s="24"/>
      <c r="L73" s="27"/>
      <c r="M73" s="96"/>
      <c r="N73" s="164" t="str">
        <f aca="false">IF(D73="","",IF(K73="อนุมัติ","✓ อนุมัติแล้ว พร้อมใช้",IF(K73="ไม่อนุมัติ","⚠ ไม่อนุมัติ – ต้องเสนอใหม่"&amp;IF(ISNUMBER(I73),IF(I73&gt;='ตั้งค่า Setup'!$C$15," (เหลือ "&amp;(I73-'ตั้งค่า Setup'!$C$15)&amp;" วัน)"," (เลยกำหนด "&amp;('ตั้งค่า Setup'!$C$15-I73)&amp;" วัน)"),""),IF(NOT(ISNUMBER(I73)),"ติดตาม",IF(I73&lt;'ตั้งค่า Setup'!$C$15,"⚠ เลยกำหนดอนุมัติ "&amp;('ตั้งค่า Setup'!$C$15-I73)&amp;" วัน – กระทบแผนงาน",IF(I73-'ตั้งค่า Setup'!$C$15&lt;=14,"⚠ ต้องอนุมัติภายใน "&amp;(I73-'ตั้งค่า Setup'!$C$15)&amp;" วัน","ติดตาม (เหลือ "&amp;(I73-'ตั้งค่า Setup'!$C$15)&amp;" วัน)"))))))</f>
        <v/>
      </c>
      <c r="O73" s="35"/>
    </row>
    <row r="74" customFormat="false" ht="15" hidden="false" customHeight="false" outlineLevel="0" collapsed="false">
      <c r="A74" s="87" t="str">
        <f aca="false">IF(D74="","",COUNTA(D$9:D74))</f>
        <v/>
      </c>
      <c r="B74" s="22"/>
      <c r="C74" s="35"/>
      <c r="D74" s="35"/>
      <c r="E74" s="35"/>
      <c r="F74" s="24"/>
      <c r="G74" s="88" t="str">
        <f aca="false">IF(F74="","",IFERROR(INDEX('แผนงาน Schedule'!$Z$7:$Z$66,MATCH(F74&amp;"",'แผนงาน Schedule'!$A$7:$A$66,0)),"ไม่พบ WBS"))</f>
        <v/>
      </c>
      <c r="H74" s="22"/>
      <c r="I74" s="88" t="str">
        <f aca="false">IF(OR(D74="",NOT(ISNUMBER(G74))),"",G74-N(H74))</f>
        <v/>
      </c>
      <c r="J74" s="27"/>
      <c r="K74" s="24"/>
      <c r="L74" s="27"/>
      <c r="M74" s="96"/>
      <c r="N74" s="164" t="str">
        <f aca="false">IF(D74="","",IF(K74="อนุมัติ","✓ อนุมัติแล้ว พร้อมใช้",IF(K74="ไม่อนุมัติ","⚠ ไม่อนุมัติ – ต้องเสนอใหม่"&amp;IF(ISNUMBER(I74),IF(I74&gt;='ตั้งค่า Setup'!$C$15," (เหลือ "&amp;(I74-'ตั้งค่า Setup'!$C$15)&amp;" วัน)"," (เลยกำหนด "&amp;('ตั้งค่า Setup'!$C$15-I74)&amp;" วัน)"),""),IF(NOT(ISNUMBER(I74)),"ติดตาม",IF(I74&lt;'ตั้งค่า Setup'!$C$15,"⚠ เลยกำหนดอนุมัติ "&amp;('ตั้งค่า Setup'!$C$15-I74)&amp;" วัน – กระทบแผนงาน",IF(I74-'ตั้งค่า Setup'!$C$15&lt;=14,"⚠ ต้องอนุมัติภายใน "&amp;(I74-'ตั้งค่า Setup'!$C$15)&amp;" วัน","ติดตาม (เหลือ "&amp;(I74-'ตั้งค่า Setup'!$C$15)&amp;" วัน)"))))))</f>
        <v/>
      </c>
      <c r="O74" s="35"/>
    </row>
    <row r="75" customFormat="false" ht="15" hidden="false" customHeight="false" outlineLevel="0" collapsed="false">
      <c r="A75" s="87" t="str">
        <f aca="false">IF(D75="","",COUNTA(D$9:D75))</f>
        <v/>
      </c>
      <c r="B75" s="22"/>
      <c r="C75" s="35"/>
      <c r="D75" s="35"/>
      <c r="E75" s="35"/>
      <c r="F75" s="24"/>
      <c r="G75" s="88" t="str">
        <f aca="false">IF(F75="","",IFERROR(INDEX('แผนงาน Schedule'!$Z$7:$Z$66,MATCH(F75&amp;"",'แผนงาน Schedule'!$A$7:$A$66,0)),"ไม่พบ WBS"))</f>
        <v/>
      </c>
      <c r="H75" s="22"/>
      <c r="I75" s="88" t="str">
        <f aca="false">IF(OR(D75="",NOT(ISNUMBER(G75))),"",G75-N(H75))</f>
        <v/>
      </c>
      <c r="J75" s="27"/>
      <c r="K75" s="24"/>
      <c r="L75" s="27"/>
      <c r="M75" s="96"/>
      <c r="N75" s="164" t="str">
        <f aca="false">IF(D75="","",IF(K75="อนุมัติ","✓ อนุมัติแล้ว พร้อมใช้",IF(K75="ไม่อนุมัติ","⚠ ไม่อนุมัติ – ต้องเสนอใหม่"&amp;IF(ISNUMBER(I75),IF(I75&gt;='ตั้งค่า Setup'!$C$15," (เหลือ "&amp;(I75-'ตั้งค่า Setup'!$C$15)&amp;" วัน)"," (เลยกำหนด "&amp;('ตั้งค่า Setup'!$C$15-I75)&amp;" วัน)"),""),IF(NOT(ISNUMBER(I75)),"ติดตาม",IF(I75&lt;'ตั้งค่า Setup'!$C$15,"⚠ เลยกำหนดอนุมัติ "&amp;('ตั้งค่า Setup'!$C$15-I75)&amp;" วัน – กระทบแผนงาน",IF(I75-'ตั้งค่า Setup'!$C$15&lt;=14,"⚠ ต้องอนุมัติภายใน "&amp;(I75-'ตั้งค่า Setup'!$C$15)&amp;" วัน","ติดตาม (เหลือ "&amp;(I75-'ตั้งค่า Setup'!$C$15)&amp;" วัน)"))))))</f>
        <v/>
      </c>
      <c r="O75" s="35"/>
    </row>
    <row r="76" customFormat="false" ht="15" hidden="false" customHeight="false" outlineLevel="0" collapsed="false">
      <c r="A76" s="87" t="str">
        <f aca="false">IF(D76="","",COUNTA(D$9:D76))</f>
        <v/>
      </c>
      <c r="B76" s="22"/>
      <c r="C76" s="35"/>
      <c r="D76" s="35"/>
      <c r="E76" s="35"/>
      <c r="F76" s="24"/>
      <c r="G76" s="88" t="str">
        <f aca="false">IF(F76="","",IFERROR(INDEX('แผนงาน Schedule'!$Z$7:$Z$66,MATCH(F76&amp;"",'แผนงาน Schedule'!$A$7:$A$66,0)),"ไม่พบ WBS"))</f>
        <v/>
      </c>
      <c r="H76" s="22"/>
      <c r="I76" s="88" t="str">
        <f aca="false">IF(OR(D76="",NOT(ISNUMBER(G76))),"",G76-N(H76))</f>
        <v/>
      </c>
      <c r="J76" s="27"/>
      <c r="K76" s="24"/>
      <c r="L76" s="27"/>
      <c r="M76" s="96"/>
      <c r="N76" s="164" t="str">
        <f aca="false">IF(D76="","",IF(K76="อนุมัติ","✓ อนุมัติแล้ว พร้อมใช้",IF(K76="ไม่อนุมัติ","⚠ ไม่อนุมัติ – ต้องเสนอใหม่"&amp;IF(ISNUMBER(I76),IF(I76&gt;='ตั้งค่า Setup'!$C$15," (เหลือ "&amp;(I76-'ตั้งค่า Setup'!$C$15)&amp;" วัน)"," (เลยกำหนด "&amp;('ตั้งค่า Setup'!$C$15-I76)&amp;" วัน)"),""),IF(NOT(ISNUMBER(I76)),"ติดตาม",IF(I76&lt;'ตั้งค่า Setup'!$C$15,"⚠ เลยกำหนดอนุมัติ "&amp;('ตั้งค่า Setup'!$C$15-I76)&amp;" วัน – กระทบแผนงาน",IF(I76-'ตั้งค่า Setup'!$C$15&lt;=14,"⚠ ต้องอนุมัติภายใน "&amp;(I76-'ตั้งค่า Setup'!$C$15)&amp;" วัน","ติดตาม (เหลือ "&amp;(I76-'ตั้งค่า Setup'!$C$15)&amp;" วัน)"))))))</f>
        <v/>
      </c>
      <c r="O76" s="35"/>
    </row>
    <row r="77" customFormat="false" ht="15" hidden="false" customHeight="false" outlineLevel="0" collapsed="false">
      <c r="A77" s="87" t="str">
        <f aca="false">IF(D77="","",COUNTA(D$9:D77))</f>
        <v/>
      </c>
      <c r="B77" s="22"/>
      <c r="C77" s="35"/>
      <c r="D77" s="35"/>
      <c r="E77" s="35"/>
      <c r="F77" s="24"/>
      <c r="G77" s="88" t="str">
        <f aca="false">IF(F77="","",IFERROR(INDEX('แผนงาน Schedule'!$Z$7:$Z$66,MATCH(F77&amp;"",'แผนงาน Schedule'!$A$7:$A$66,0)),"ไม่พบ WBS"))</f>
        <v/>
      </c>
      <c r="H77" s="22"/>
      <c r="I77" s="88" t="str">
        <f aca="false">IF(OR(D77="",NOT(ISNUMBER(G77))),"",G77-N(H77))</f>
        <v/>
      </c>
      <c r="J77" s="27"/>
      <c r="K77" s="24"/>
      <c r="L77" s="27"/>
      <c r="M77" s="96"/>
      <c r="N77" s="164" t="str">
        <f aca="false">IF(D77="","",IF(K77="อนุมัติ","✓ อนุมัติแล้ว พร้อมใช้",IF(K77="ไม่อนุมัติ","⚠ ไม่อนุมัติ – ต้องเสนอใหม่"&amp;IF(ISNUMBER(I77),IF(I77&gt;='ตั้งค่า Setup'!$C$15," (เหลือ "&amp;(I77-'ตั้งค่า Setup'!$C$15)&amp;" วัน)"," (เลยกำหนด "&amp;('ตั้งค่า Setup'!$C$15-I77)&amp;" วัน)"),""),IF(NOT(ISNUMBER(I77)),"ติดตาม",IF(I77&lt;'ตั้งค่า Setup'!$C$15,"⚠ เลยกำหนดอนุมัติ "&amp;('ตั้งค่า Setup'!$C$15-I77)&amp;" วัน – กระทบแผนงาน",IF(I77-'ตั้งค่า Setup'!$C$15&lt;=14,"⚠ ต้องอนุมัติภายใน "&amp;(I77-'ตั้งค่า Setup'!$C$15)&amp;" วัน","ติดตาม (เหลือ "&amp;(I77-'ตั้งค่า Setup'!$C$15)&amp;" วัน)"))))))</f>
        <v/>
      </c>
      <c r="O77" s="35"/>
    </row>
    <row r="78" customFormat="false" ht="15" hidden="false" customHeight="false" outlineLevel="0" collapsed="false">
      <c r="A78" s="87" t="str">
        <f aca="false">IF(D78="","",COUNTA(D$9:D78))</f>
        <v/>
      </c>
      <c r="B78" s="22"/>
      <c r="C78" s="35"/>
      <c r="D78" s="35"/>
      <c r="E78" s="35"/>
      <c r="F78" s="24"/>
      <c r="G78" s="88" t="str">
        <f aca="false">IF(F78="","",IFERROR(INDEX('แผนงาน Schedule'!$Z$7:$Z$66,MATCH(F78&amp;"",'แผนงาน Schedule'!$A$7:$A$66,0)),"ไม่พบ WBS"))</f>
        <v/>
      </c>
      <c r="H78" s="22"/>
      <c r="I78" s="88" t="str">
        <f aca="false">IF(OR(D78="",NOT(ISNUMBER(G78))),"",G78-N(H78))</f>
        <v/>
      </c>
      <c r="J78" s="27"/>
      <c r="K78" s="24"/>
      <c r="L78" s="27"/>
      <c r="M78" s="96"/>
      <c r="N78" s="164" t="str">
        <f aca="false">IF(D78="","",IF(K78="อนุมัติ","✓ อนุมัติแล้ว พร้อมใช้",IF(K78="ไม่อนุมัติ","⚠ ไม่อนุมัติ – ต้องเสนอใหม่"&amp;IF(ISNUMBER(I78),IF(I78&gt;='ตั้งค่า Setup'!$C$15," (เหลือ "&amp;(I78-'ตั้งค่า Setup'!$C$15)&amp;" วัน)"," (เลยกำหนด "&amp;('ตั้งค่า Setup'!$C$15-I78)&amp;" วัน)"),""),IF(NOT(ISNUMBER(I78)),"ติดตาม",IF(I78&lt;'ตั้งค่า Setup'!$C$15,"⚠ เลยกำหนดอนุมัติ "&amp;('ตั้งค่า Setup'!$C$15-I78)&amp;" วัน – กระทบแผนงาน",IF(I78-'ตั้งค่า Setup'!$C$15&lt;=14,"⚠ ต้องอนุมัติภายใน "&amp;(I78-'ตั้งค่า Setup'!$C$15)&amp;" วัน","ติดตาม (เหลือ "&amp;(I78-'ตั้งค่า Setup'!$C$15)&amp;" วัน)"))))))</f>
        <v/>
      </c>
      <c r="O78" s="35"/>
    </row>
    <row r="79" customFormat="false" ht="15" hidden="false" customHeight="false" outlineLevel="0" collapsed="false">
      <c r="A79" s="87" t="str">
        <f aca="false">IF(D79="","",COUNTA(D$9:D79))</f>
        <v/>
      </c>
      <c r="B79" s="22"/>
      <c r="C79" s="35"/>
      <c r="D79" s="35"/>
      <c r="E79" s="35"/>
      <c r="F79" s="24"/>
      <c r="G79" s="88" t="str">
        <f aca="false">IF(F79="","",IFERROR(INDEX('แผนงาน Schedule'!$Z$7:$Z$66,MATCH(F79&amp;"",'แผนงาน Schedule'!$A$7:$A$66,0)),"ไม่พบ WBS"))</f>
        <v/>
      </c>
      <c r="H79" s="22"/>
      <c r="I79" s="88" t="str">
        <f aca="false">IF(OR(D79="",NOT(ISNUMBER(G79))),"",G79-N(H79))</f>
        <v/>
      </c>
      <c r="J79" s="27"/>
      <c r="K79" s="24"/>
      <c r="L79" s="27"/>
      <c r="M79" s="96"/>
      <c r="N79" s="164" t="str">
        <f aca="false">IF(D79="","",IF(K79="อนุมัติ","✓ อนุมัติแล้ว พร้อมใช้",IF(K79="ไม่อนุมัติ","⚠ ไม่อนุมัติ – ต้องเสนอใหม่"&amp;IF(ISNUMBER(I79),IF(I79&gt;='ตั้งค่า Setup'!$C$15," (เหลือ "&amp;(I79-'ตั้งค่า Setup'!$C$15)&amp;" วัน)"," (เลยกำหนด "&amp;('ตั้งค่า Setup'!$C$15-I79)&amp;" วัน)"),""),IF(NOT(ISNUMBER(I79)),"ติดตาม",IF(I79&lt;'ตั้งค่า Setup'!$C$15,"⚠ เลยกำหนดอนุมัติ "&amp;('ตั้งค่า Setup'!$C$15-I79)&amp;" วัน – กระทบแผนงาน",IF(I79-'ตั้งค่า Setup'!$C$15&lt;=14,"⚠ ต้องอนุมัติภายใน "&amp;(I79-'ตั้งค่า Setup'!$C$15)&amp;" วัน","ติดตาม (เหลือ "&amp;(I79-'ตั้งค่า Setup'!$C$15)&amp;" วัน)"))))))</f>
        <v/>
      </c>
      <c r="O79" s="35"/>
    </row>
    <row r="80" customFormat="false" ht="15" hidden="false" customHeight="false" outlineLevel="0" collapsed="false">
      <c r="A80" s="87" t="str">
        <f aca="false">IF(D80="","",COUNTA(D$9:D80))</f>
        <v/>
      </c>
      <c r="B80" s="22"/>
      <c r="C80" s="35"/>
      <c r="D80" s="35"/>
      <c r="E80" s="35"/>
      <c r="F80" s="24"/>
      <c r="G80" s="88" t="str">
        <f aca="false">IF(F80="","",IFERROR(INDEX('แผนงาน Schedule'!$Z$7:$Z$66,MATCH(F80&amp;"",'แผนงาน Schedule'!$A$7:$A$66,0)),"ไม่พบ WBS"))</f>
        <v/>
      </c>
      <c r="H80" s="22"/>
      <c r="I80" s="88" t="str">
        <f aca="false">IF(OR(D80="",NOT(ISNUMBER(G80))),"",G80-N(H80))</f>
        <v/>
      </c>
      <c r="J80" s="27"/>
      <c r="K80" s="24"/>
      <c r="L80" s="27"/>
      <c r="M80" s="96"/>
      <c r="N80" s="164" t="str">
        <f aca="false">IF(D80="","",IF(K80="อนุมัติ","✓ อนุมัติแล้ว พร้อมใช้",IF(K80="ไม่อนุมัติ","⚠ ไม่อนุมัติ – ต้องเสนอใหม่"&amp;IF(ISNUMBER(I80),IF(I80&gt;='ตั้งค่า Setup'!$C$15," (เหลือ "&amp;(I80-'ตั้งค่า Setup'!$C$15)&amp;" วัน)"," (เลยกำหนด "&amp;('ตั้งค่า Setup'!$C$15-I80)&amp;" วัน)"),""),IF(NOT(ISNUMBER(I80)),"ติดตาม",IF(I80&lt;'ตั้งค่า Setup'!$C$15,"⚠ เลยกำหนดอนุมัติ "&amp;('ตั้งค่า Setup'!$C$15-I80)&amp;" วัน – กระทบแผนงาน",IF(I80-'ตั้งค่า Setup'!$C$15&lt;=14,"⚠ ต้องอนุมัติภายใน "&amp;(I80-'ตั้งค่า Setup'!$C$15)&amp;" วัน","ติดตาม (เหลือ "&amp;(I80-'ตั้งค่า Setup'!$C$15)&amp;" วัน)"))))))</f>
        <v/>
      </c>
      <c r="O80" s="35"/>
    </row>
    <row r="81" customFormat="false" ht="15" hidden="false" customHeight="false" outlineLevel="0" collapsed="false">
      <c r="A81" s="87" t="str">
        <f aca="false">IF(D81="","",COUNTA(D$9:D81))</f>
        <v/>
      </c>
      <c r="B81" s="22"/>
      <c r="C81" s="35"/>
      <c r="D81" s="35"/>
      <c r="E81" s="35"/>
      <c r="F81" s="24"/>
      <c r="G81" s="88" t="str">
        <f aca="false">IF(F81="","",IFERROR(INDEX('แผนงาน Schedule'!$Z$7:$Z$66,MATCH(F81&amp;"",'แผนงาน Schedule'!$A$7:$A$66,0)),"ไม่พบ WBS"))</f>
        <v/>
      </c>
      <c r="H81" s="22"/>
      <c r="I81" s="88" t="str">
        <f aca="false">IF(OR(D81="",NOT(ISNUMBER(G81))),"",G81-N(H81))</f>
        <v/>
      </c>
      <c r="J81" s="27"/>
      <c r="K81" s="24"/>
      <c r="L81" s="27"/>
      <c r="M81" s="96"/>
      <c r="N81" s="164" t="str">
        <f aca="false">IF(D81="","",IF(K81="อนุมัติ","✓ อนุมัติแล้ว พร้อมใช้",IF(K81="ไม่อนุมัติ","⚠ ไม่อนุมัติ – ต้องเสนอใหม่"&amp;IF(ISNUMBER(I81),IF(I81&gt;='ตั้งค่า Setup'!$C$15," (เหลือ "&amp;(I81-'ตั้งค่า Setup'!$C$15)&amp;" วัน)"," (เลยกำหนด "&amp;('ตั้งค่า Setup'!$C$15-I81)&amp;" วัน)"),""),IF(NOT(ISNUMBER(I81)),"ติดตาม",IF(I81&lt;'ตั้งค่า Setup'!$C$15,"⚠ เลยกำหนดอนุมัติ "&amp;('ตั้งค่า Setup'!$C$15-I81)&amp;" วัน – กระทบแผนงาน",IF(I81-'ตั้งค่า Setup'!$C$15&lt;=14,"⚠ ต้องอนุมัติภายใน "&amp;(I81-'ตั้งค่า Setup'!$C$15)&amp;" วัน","ติดตาม (เหลือ "&amp;(I81-'ตั้งค่า Setup'!$C$15)&amp;" วัน)"))))))</f>
        <v/>
      </c>
      <c r="O81" s="35"/>
    </row>
    <row r="82" customFormat="false" ht="15" hidden="false" customHeight="false" outlineLevel="0" collapsed="false">
      <c r="A82" s="87" t="str">
        <f aca="false">IF(D82="","",COUNTA(D$9:D82))</f>
        <v/>
      </c>
      <c r="B82" s="22"/>
      <c r="C82" s="35"/>
      <c r="D82" s="35"/>
      <c r="E82" s="35"/>
      <c r="F82" s="24"/>
      <c r="G82" s="88" t="str">
        <f aca="false">IF(F82="","",IFERROR(INDEX('แผนงาน Schedule'!$Z$7:$Z$66,MATCH(F82&amp;"",'แผนงาน Schedule'!$A$7:$A$66,0)),"ไม่พบ WBS"))</f>
        <v/>
      </c>
      <c r="H82" s="22"/>
      <c r="I82" s="88" t="str">
        <f aca="false">IF(OR(D82="",NOT(ISNUMBER(G82))),"",G82-N(H82))</f>
        <v/>
      </c>
      <c r="J82" s="27"/>
      <c r="K82" s="24"/>
      <c r="L82" s="27"/>
      <c r="M82" s="96"/>
      <c r="N82" s="164" t="str">
        <f aca="false">IF(D82="","",IF(K82="อนุมัติ","✓ อนุมัติแล้ว พร้อมใช้",IF(K82="ไม่อนุมัติ","⚠ ไม่อนุมัติ – ต้องเสนอใหม่"&amp;IF(ISNUMBER(I82),IF(I82&gt;='ตั้งค่า Setup'!$C$15," (เหลือ "&amp;(I82-'ตั้งค่า Setup'!$C$15)&amp;" วัน)"," (เลยกำหนด "&amp;('ตั้งค่า Setup'!$C$15-I82)&amp;" วัน)"),""),IF(NOT(ISNUMBER(I82)),"ติดตาม",IF(I82&lt;'ตั้งค่า Setup'!$C$15,"⚠ เลยกำหนดอนุมัติ "&amp;('ตั้งค่า Setup'!$C$15-I82)&amp;" วัน – กระทบแผนงาน",IF(I82-'ตั้งค่า Setup'!$C$15&lt;=14,"⚠ ต้องอนุมัติภายใน "&amp;(I82-'ตั้งค่า Setup'!$C$15)&amp;" วัน","ติดตาม (เหลือ "&amp;(I82-'ตั้งค่า Setup'!$C$15)&amp;" วัน)"))))))</f>
        <v/>
      </c>
      <c r="O82" s="35"/>
    </row>
    <row r="83" customFormat="false" ht="15" hidden="false" customHeight="false" outlineLevel="0" collapsed="false">
      <c r="A83" s="87" t="str">
        <f aca="false">IF(D83="","",COUNTA(D$9:D83))</f>
        <v/>
      </c>
      <c r="B83" s="22"/>
      <c r="C83" s="35"/>
      <c r="D83" s="35"/>
      <c r="E83" s="35"/>
      <c r="F83" s="24"/>
      <c r="G83" s="88" t="str">
        <f aca="false">IF(F83="","",IFERROR(INDEX('แผนงาน Schedule'!$Z$7:$Z$66,MATCH(F83&amp;"",'แผนงาน Schedule'!$A$7:$A$66,0)),"ไม่พบ WBS"))</f>
        <v/>
      </c>
      <c r="H83" s="22"/>
      <c r="I83" s="88" t="str">
        <f aca="false">IF(OR(D83="",NOT(ISNUMBER(G83))),"",G83-N(H83))</f>
        <v/>
      </c>
      <c r="J83" s="27"/>
      <c r="K83" s="24"/>
      <c r="L83" s="27"/>
      <c r="M83" s="96"/>
      <c r="N83" s="164" t="str">
        <f aca="false">IF(D83="","",IF(K83="อนุมัติ","✓ อนุมัติแล้ว พร้อมใช้",IF(K83="ไม่อนุมัติ","⚠ ไม่อนุมัติ – ต้องเสนอใหม่"&amp;IF(ISNUMBER(I83),IF(I83&gt;='ตั้งค่า Setup'!$C$15," (เหลือ "&amp;(I83-'ตั้งค่า Setup'!$C$15)&amp;" วัน)"," (เลยกำหนด "&amp;('ตั้งค่า Setup'!$C$15-I83)&amp;" วัน)"),""),IF(NOT(ISNUMBER(I83)),"ติดตาม",IF(I83&lt;'ตั้งค่า Setup'!$C$15,"⚠ เลยกำหนดอนุมัติ "&amp;('ตั้งค่า Setup'!$C$15-I83)&amp;" วัน – กระทบแผนงาน",IF(I83-'ตั้งค่า Setup'!$C$15&lt;=14,"⚠ ต้องอนุมัติภายใน "&amp;(I83-'ตั้งค่า Setup'!$C$15)&amp;" วัน","ติดตาม (เหลือ "&amp;(I83-'ตั้งค่า Setup'!$C$15)&amp;" วัน)"))))))</f>
        <v/>
      </c>
      <c r="O83" s="35"/>
    </row>
    <row r="84" customFormat="false" ht="15" hidden="false" customHeight="false" outlineLevel="0" collapsed="false">
      <c r="A84" s="87" t="str">
        <f aca="false">IF(D84="","",COUNTA(D$9:D84))</f>
        <v/>
      </c>
      <c r="B84" s="22"/>
      <c r="C84" s="35"/>
      <c r="D84" s="35"/>
      <c r="E84" s="35"/>
      <c r="F84" s="24"/>
      <c r="G84" s="88" t="str">
        <f aca="false">IF(F84="","",IFERROR(INDEX('แผนงาน Schedule'!$Z$7:$Z$66,MATCH(F84&amp;"",'แผนงาน Schedule'!$A$7:$A$66,0)),"ไม่พบ WBS"))</f>
        <v/>
      </c>
      <c r="H84" s="22"/>
      <c r="I84" s="88" t="str">
        <f aca="false">IF(OR(D84="",NOT(ISNUMBER(G84))),"",G84-N(H84))</f>
        <v/>
      </c>
      <c r="J84" s="27"/>
      <c r="K84" s="24"/>
      <c r="L84" s="27"/>
      <c r="M84" s="96"/>
      <c r="N84" s="164" t="str">
        <f aca="false">IF(D84="","",IF(K84="อนุมัติ","✓ อนุมัติแล้ว พร้อมใช้",IF(K84="ไม่อนุมัติ","⚠ ไม่อนุมัติ – ต้องเสนอใหม่"&amp;IF(ISNUMBER(I84),IF(I84&gt;='ตั้งค่า Setup'!$C$15," (เหลือ "&amp;(I84-'ตั้งค่า Setup'!$C$15)&amp;" วัน)"," (เลยกำหนด "&amp;('ตั้งค่า Setup'!$C$15-I84)&amp;" วัน)"),""),IF(NOT(ISNUMBER(I84)),"ติดตาม",IF(I84&lt;'ตั้งค่า Setup'!$C$15,"⚠ เลยกำหนดอนุมัติ "&amp;('ตั้งค่า Setup'!$C$15-I84)&amp;" วัน – กระทบแผนงาน",IF(I84-'ตั้งค่า Setup'!$C$15&lt;=14,"⚠ ต้องอนุมัติภายใน "&amp;(I84-'ตั้งค่า Setup'!$C$15)&amp;" วัน","ติดตาม (เหลือ "&amp;(I84-'ตั้งค่า Setup'!$C$15)&amp;" วัน)"))))))</f>
        <v/>
      </c>
      <c r="O84" s="35"/>
    </row>
    <row r="85" customFormat="false" ht="15" hidden="false" customHeight="false" outlineLevel="0" collapsed="false">
      <c r="A85" s="87" t="str">
        <f aca="false">IF(D85="","",COUNTA(D$9:D85))</f>
        <v/>
      </c>
      <c r="B85" s="22"/>
      <c r="C85" s="35"/>
      <c r="D85" s="35"/>
      <c r="E85" s="35"/>
      <c r="F85" s="24"/>
      <c r="G85" s="88" t="str">
        <f aca="false">IF(F85="","",IFERROR(INDEX('แผนงาน Schedule'!$Z$7:$Z$66,MATCH(F85&amp;"",'แผนงาน Schedule'!$A$7:$A$66,0)),"ไม่พบ WBS"))</f>
        <v/>
      </c>
      <c r="H85" s="22"/>
      <c r="I85" s="88" t="str">
        <f aca="false">IF(OR(D85="",NOT(ISNUMBER(G85))),"",G85-N(H85))</f>
        <v/>
      </c>
      <c r="J85" s="27"/>
      <c r="K85" s="24"/>
      <c r="L85" s="27"/>
      <c r="M85" s="96"/>
      <c r="N85" s="164" t="str">
        <f aca="false">IF(D85="","",IF(K85="อนุมัติ","✓ อนุมัติแล้ว พร้อมใช้",IF(K85="ไม่อนุมัติ","⚠ ไม่อนุมัติ – ต้องเสนอใหม่"&amp;IF(ISNUMBER(I85),IF(I85&gt;='ตั้งค่า Setup'!$C$15," (เหลือ "&amp;(I85-'ตั้งค่า Setup'!$C$15)&amp;" วัน)"," (เลยกำหนด "&amp;('ตั้งค่า Setup'!$C$15-I85)&amp;" วัน)"),""),IF(NOT(ISNUMBER(I85)),"ติดตาม",IF(I85&lt;'ตั้งค่า Setup'!$C$15,"⚠ เลยกำหนดอนุมัติ "&amp;('ตั้งค่า Setup'!$C$15-I85)&amp;" วัน – กระทบแผนงาน",IF(I85-'ตั้งค่า Setup'!$C$15&lt;=14,"⚠ ต้องอนุมัติภายใน "&amp;(I85-'ตั้งค่า Setup'!$C$15)&amp;" วัน","ติดตาม (เหลือ "&amp;(I85-'ตั้งค่า Setup'!$C$15)&amp;" วัน)"))))))</f>
        <v/>
      </c>
      <c r="O85" s="35"/>
    </row>
    <row r="86" customFormat="false" ht="15" hidden="false" customHeight="false" outlineLevel="0" collapsed="false">
      <c r="A86" s="87" t="str">
        <f aca="false">IF(D86="","",COUNTA(D$9:D86))</f>
        <v/>
      </c>
      <c r="B86" s="22"/>
      <c r="C86" s="35"/>
      <c r="D86" s="35"/>
      <c r="E86" s="35"/>
      <c r="F86" s="24"/>
      <c r="G86" s="88" t="str">
        <f aca="false">IF(F86="","",IFERROR(INDEX('แผนงาน Schedule'!$Z$7:$Z$66,MATCH(F86&amp;"",'แผนงาน Schedule'!$A$7:$A$66,0)),"ไม่พบ WBS"))</f>
        <v/>
      </c>
      <c r="H86" s="22"/>
      <c r="I86" s="88" t="str">
        <f aca="false">IF(OR(D86="",NOT(ISNUMBER(G86))),"",G86-N(H86))</f>
        <v/>
      </c>
      <c r="J86" s="27"/>
      <c r="K86" s="24"/>
      <c r="L86" s="27"/>
      <c r="M86" s="96"/>
      <c r="N86" s="164" t="str">
        <f aca="false">IF(D86="","",IF(K86="อนุมัติ","✓ อนุมัติแล้ว พร้อมใช้",IF(K86="ไม่อนุมัติ","⚠ ไม่อนุมัติ – ต้องเสนอใหม่"&amp;IF(ISNUMBER(I86),IF(I86&gt;='ตั้งค่า Setup'!$C$15," (เหลือ "&amp;(I86-'ตั้งค่า Setup'!$C$15)&amp;" วัน)"," (เลยกำหนด "&amp;('ตั้งค่า Setup'!$C$15-I86)&amp;" วัน)"),""),IF(NOT(ISNUMBER(I86)),"ติดตาม",IF(I86&lt;'ตั้งค่า Setup'!$C$15,"⚠ เลยกำหนดอนุมัติ "&amp;('ตั้งค่า Setup'!$C$15-I86)&amp;" วัน – กระทบแผนงาน",IF(I86-'ตั้งค่า Setup'!$C$15&lt;=14,"⚠ ต้องอนุมัติภายใน "&amp;(I86-'ตั้งค่า Setup'!$C$15)&amp;" วัน","ติดตาม (เหลือ "&amp;(I86-'ตั้งค่า Setup'!$C$15)&amp;" วัน)"))))))</f>
        <v/>
      </c>
      <c r="O86" s="35"/>
    </row>
    <row r="87" customFormat="false" ht="15" hidden="false" customHeight="false" outlineLevel="0" collapsed="false">
      <c r="A87" s="87" t="str">
        <f aca="false">IF(D87="","",COUNTA(D$9:D87))</f>
        <v/>
      </c>
      <c r="B87" s="22"/>
      <c r="C87" s="35"/>
      <c r="D87" s="35"/>
      <c r="E87" s="35"/>
      <c r="F87" s="24"/>
      <c r="G87" s="88" t="str">
        <f aca="false">IF(F87="","",IFERROR(INDEX('แผนงาน Schedule'!$Z$7:$Z$66,MATCH(F87&amp;"",'แผนงาน Schedule'!$A$7:$A$66,0)),"ไม่พบ WBS"))</f>
        <v/>
      </c>
      <c r="H87" s="22"/>
      <c r="I87" s="88" t="str">
        <f aca="false">IF(OR(D87="",NOT(ISNUMBER(G87))),"",G87-N(H87))</f>
        <v/>
      </c>
      <c r="J87" s="27"/>
      <c r="K87" s="24"/>
      <c r="L87" s="27"/>
      <c r="M87" s="96"/>
      <c r="N87" s="164" t="str">
        <f aca="false">IF(D87="","",IF(K87="อนุมัติ","✓ อนุมัติแล้ว พร้อมใช้",IF(K87="ไม่อนุมัติ","⚠ ไม่อนุมัติ – ต้องเสนอใหม่"&amp;IF(ISNUMBER(I87),IF(I87&gt;='ตั้งค่า Setup'!$C$15," (เหลือ "&amp;(I87-'ตั้งค่า Setup'!$C$15)&amp;" วัน)"," (เลยกำหนด "&amp;('ตั้งค่า Setup'!$C$15-I87)&amp;" วัน)"),""),IF(NOT(ISNUMBER(I87)),"ติดตาม",IF(I87&lt;'ตั้งค่า Setup'!$C$15,"⚠ เลยกำหนดอนุมัติ "&amp;('ตั้งค่า Setup'!$C$15-I87)&amp;" วัน – กระทบแผนงาน",IF(I87-'ตั้งค่า Setup'!$C$15&lt;=14,"⚠ ต้องอนุมัติภายใน "&amp;(I87-'ตั้งค่า Setup'!$C$15)&amp;" วัน","ติดตาม (เหลือ "&amp;(I87-'ตั้งค่า Setup'!$C$15)&amp;" วัน)"))))))</f>
        <v/>
      </c>
      <c r="O87" s="35"/>
    </row>
    <row r="88" customFormat="false" ht="15" hidden="false" customHeight="false" outlineLevel="0" collapsed="false">
      <c r="A88" s="87" t="str">
        <f aca="false">IF(D88="","",COUNTA(D$9:D88))</f>
        <v/>
      </c>
      <c r="B88" s="22"/>
      <c r="C88" s="35"/>
      <c r="D88" s="35"/>
      <c r="E88" s="35"/>
      <c r="F88" s="24"/>
      <c r="G88" s="88" t="str">
        <f aca="false">IF(F88="","",IFERROR(INDEX('แผนงาน Schedule'!$Z$7:$Z$66,MATCH(F88&amp;"",'แผนงาน Schedule'!$A$7:$A$66,0)),"ไม่พบ WBS"))</f>
        <v/>
      </c>
      <c r="H88" s="22"/>
      <c r="I88" s="88" t="str">
        <f aca="false">IF(OR(D88="",NOT(ISNUMBER(G88))),"",G88-N(H88))</f>
        <v/>
      </c>
      <c r="J88" s="27"/>
      <c r="K88" s="24"/>
      <c r="L88" s="27"/>
      <c r="M88" s="96"/>
      <c r="N88" s="164" t="str">
        <f aca="false">IF(D88="","",IF(K88="อนุมัติ","✓ อนุมัติแล้ว พร้อมใช้",IF(K88="ไม่อนุมัติ","⚠ ไม่อนุมัติ – ต้องเสนอใหม่"&amp;IF(ISNUMBER(I88),IF(I88&gt;='ตั้งค่า Setup'!$C$15," (เหลือ "&amp;(I88-'ตั้งค่า Setup'!$C$15)&amp;" วัน)"," (เลยกำหนด "&amp;('ตั้งค่า Setup'!$C$15-I88)&amp;" วัน)"),""),IF(NOT(ISNUMBER(I88)),"ติดตาม",IF(I88&lt;'ตั้งค่า Setup'!$C$15,"⚠ เลยกำหนดอนุมัติ "&amp;('ตั้งค่า Setup'!$C$15-I88)&amp;" วัน – กระทบแผนงาน",IF(I88-'ตั้งค่า Setup'!$C$15&lt;=14,"⚠ ต้องอนุมัติภายใน "&amp;(I88-'ตั้งค่า Setup'!$C$15)&amp;" วัน","ติดตาม (เหลือ "&amp;(I88-'ตั้งค่า Setup'!$C$15)&amp;" วัน)"))))))</f>
        <v/>
      </c>
      <c r="O88" s="35"/>
    </row>
    <row r="89" customFormat="false" ht="15" hidden="false" customHeight="false" outlineLevel="0" collapsed="false">
      <c r="A89" s="87" t="str">
        <f aca="false">IF(D89="","",COUNTA(D$9:D89))</f>
        <v/>
      </c>
      <c r="B89" s="22"/>
      <c r="C89" s="35"/>
      <c r="D89" s="35"/>
      <c r="E89" s="35"/>
      <c r="F89" s="24"/>
      <c r="G89" s="88" t="str">
        <f aca="false">IF(F89="","",IFERROR(INDEX('แผนงาน Schedule'!$Z$7:$Z$66,MATCH(F89&amp;"",'แผนงาน Schedule'!$A$7:$A$66,0)),"ไม่พบ WBS"))</f>
        <v/>
      </c>
      <c r="H89" s="22"/>
      <c r="I89" s="88" t="str">
        <f aca="false">IF(OR(D89="",NOT(ISNUMBER(G89))),"",G89-N(H89))</f>
        <v/>
      </c>
      <c r="J89" s="27"/>
      <c r="K89" s="24"/>
      <c r="L89" s="27"/>
      <c r="M89" s="96"/>
      <c r="N89" s="164" t="str">
        <f aca="false">IF(D89="","",IF(K89="อนุมัติ","✓ อนุมัติแล้ว พร้อมใช้",IF(K89="ไม่อนุมัติ","⚠ ไม่อนุมัติ – ต้องเสนอใหม่"&amp;IF(ISNUMBER(I89),IF(I89&gt;='ตั้งค่า Setup'!$C$15," (เหลือ "&amp;(I89-'ตั้งค่า Setup'!$C$15)&amp;" วัน)"," (เลยกำหนด "&amp;('ตั้งค่า Setup'!$C$15-I89)&amp;" วัน)"),""),IF(NOT(ISNUMBER(I89)),"ติดตาม",IF(I89&lt;'ตั้งค่า Setup'!$C$15,"⚠ เลยกำหนดอนุมัติ "&amp;('ตั้งค่า Setup'!$C$15-I89)&amp;" วัน – กระทบแผนงาน",IF(I89-'ตั้งค่า Setup'!$C$15&lt;=14,"⚠ ต้องอนุมัติภายใน "&amp;(I89-'ตั้งค่า Setup'!$C$15)&amp;" วัน","ติดตาม (เหลือ "&amp;(I89-'ตั้งค่า Setup'!$C$15)&amp;" วัน)"))))))</f>
        <v/>
      </c>
      <c r="O89" s="35"/>
    </row>
    <row r="90" customFormat="false" ht="15" hidden="false" customHeight="false" outlineLevel="0" collapsed="false">
      <c r="A90" s="87" t="str">
        <f aca="false">IF(D90="","",COUNTA(D$9:D90))</f>
        <v/>
      </c>
      <c r="B90" s="22"/>
      <c r="C90" s="35"/>
      <c r="D90" s="35"/>
      <c r="E90" s="35"/>
      <c r="F90" s="24"/>
      <c r="G90" s="88" t="str">
        <f aca="false">IF(F90="","",IFERROR(INDEX('แผนงาน Schedule'!$Z$7:$Z$66,MATCH(F90&amp;"",'แผนงาน Schedule'!$A$7:$A$66,0)),"ไม่พบ WBS"))</f>
        <v/>
      </c>
      <c r="H90" s="22"/>
      <c r="I90" s="88" t="str">
        <f aca="false">IF(OR(D90="",NOT(ISNUMBER(G90))),"",G90-N(H90))</f>
        <v/>
      </c>
      <c r="J90" s="27"/>
      <c r="K90" s="24"/>
      <c r="L90" s="27"/>
      <c r="M90" s="96"/>
      <c r="N90" s="164" t="str">
        <f aca="false">IF(D90="","",IF(K90="อนุมัติ","✓ อนุมัติแล้ว พร้อมใช้",IF(K90="ไม่อนุมัติ","⚠ ไม่อนุมัติ – ต้องเสนอใหม่"&amp;IF(ISNUMBER(I90),IF(I90&gt;='ตั้งค่า Setup'!$C$15," (เหลือ "&amp;(I90-'ตั้งค่า Setup'!$C$15)&amp;" วัน)"," (เลยกำหนด "&amp;('ตั้งค่า Setup'!$C$15-I90)&amp;" วัน)"),""),IF(NOT(ISNUMBER(I90)),"ติดตาม",IF(I90&lt;'ตั้งค่า Setup'!$C$15,"⚠ เลยกำหนดอนุมัติ "&amp;('ตั้งค่า Setup'!$C$15-I90)&amp;" วัน – กระทบแผนงาน",IF(I90-'ตั้งค่า Setup'!$C$15&lt;=14,"⚠ ต้องอนุมัติภายใน "&amp;(I90-'ตั้งค่า Setup'!$C$15)&amp;" วัน","ติดตาม (เหลือ "&amp;(I90-'ตั้งค่า Setup'!$C$15)&amp;" วัน)"))))))</f>
        <v/>
      </c>
      <c r="O90" s="35"/>
    </row>
    <row r="91" customFormat="false" ht="15" hidden="false" customHeight="false" outlineLevel="0" collapsed="false">
      <c r="A91" s="87" t="str">
        <f aca="false">IF(D91="","",COUNTA(D$9:D91))</f>
        <v/>
      </c>
      <c r="B91" s="22"/>
      <c r="C91" s="35"/>
      <c r="D91" s="35"/>
      <c r="E91" s="35"/>
      <c r="F91" s="24"/>
      <c r="G91" s="88" t="str">
        <f aca="false">IF(F91="","",IFERROR(INDEX('แผนงาน Schedule'!$Z$7:$Z$66,MATCH(F91&amp;"",'แผนงาน Schedule'!$A$7:$A$66,0)),"ไม่พบ WBS"))</f>
        <v/>
      </c>
      <c r="H91" s="22"/>
      <c r="I91" s="88" t="str">
        <f aca="false">IF(OR(D91="",NOT(ISNUMBER(G91))),"",G91-N(H91))</f>
        <v/>
      </c>
      <c r="J91" s="27"/>
      <c r="K91" s="24"/>
      <c r="L91" s="27"/>
      <c r="M91" s="96"/>
      <c r="N91" s="164" t="str">
        <f aca="false">IF(D91="","",IF(K91="อนุมัติ","✓ อนุมัติแล้ว พร้อมใช้",IF(K91="ไม่อนุมัติ","⚠ ไม่อนุมัติ – ต้องเสนอใหม่"&amp;IF(ISNUMBER(I91),IF(I91&gt;='ตั้งค่า Setup'!$C$15," (เหลือ "&amp;(I91-'ตั้งค่า Setup'!$C$15)&amp;" วัน)"," (เลยกำหนด "&amp;('ตั้งค่า Setup'!$C$15-I91)&amp;" วัน)"),""),IF(NOT(ISNUMBER(I91)),"ติดตาม",IF(I91&lt;'ตั้งค่า Setup'!$C$15,"⚠ เลยกำหนดอนุมัติ "&amp;('ตั้งค่า Setup'!$C$15-I91)&amp;" วัน – กระทบแผนงาน",IF(I91-'ตั้งค่า Setup'!$C$15&lt;=14,"⚠ ต้องอนุมัติภายใน "&amp;(I91-'ตั้งค่า Setup'!$C$15)&amp;" วัน","ติดตาม (เหลือ "&amp;(I91-'ตั้งค่า Setup'!$C$15)&amp;" วัน)"))))))</f>
        <v/>
      </c>
      <c r="O91" s="35"/>
    </row>
    <row r="92" customFormat="false" ht="15" hidden="false" customHeight="false" outlineLevel="0" collapsed="false">
      <c r="A92" s="87" t="str">
        <f aca="false">IF(D92="","",COUNTA(D$9:D92))</f>
        <v/>
      </c>
      <c r="B92" s="22"/>
      <c r="C92" s="35"/>
      <c r="D92" s="35"/>
      <c r="E92" s="35"/>
      <c r="F92" s="24"/>
      <c r="G92" s="88" t="str">
        <f aca="false">IF(F92="","",IFERROR(INDEX('แผนงาน Schedule'!$Z$7:$Z$66,MATCH(F92&amp;"",'แผนงาน Schedule'!$A$7:$A$66,0)),"ไม่พบ WBS"))</f>
        <v/>
      </c>
      <c r="H92" s="22"/>
      <c r="I92" s="88" t="str">
        <f aca="false">IF(OR(D92="",NOT(ISNUMBER(G92))),"",G92-N(H92))</f>
        <v/>
      </c>
      <c r="J92" s="27"/>
      <c r="K92" s="24"/>
      <c r="L92" s="27"/>
      <c r="M92" s="96"/>
      <c r="N92" s="164" t="str">
        <f aca="false">IF(D92="","",IF(K92="อนุมัติ","✓ อนุมัติแล้ว พร้อมใช้",IF(K92="ไม่อนุมัติ","⚠ ไม่อนุมัติ – ต้องเสนอใหม่"&amp;IF(ISNUMBER(I92),IF(I92&gt;='ตั้งค่า Setup'!$C$15," (เหลือ "&amp;(I92-'ตั้งค่า Setup'!$C$15)&amp;" วัน)"," (เลยกำหนด "&amp;('ตั้งค่า Setup'!$C$15-I92)&amp;" วัน)"),""),IF(NOT(ISNUMBER(I92)),"ติดตาม",IF(I92&lt;'ตั้งค่า Setup'!$C$15,"⚠ เลยกำหนดอนุมัติ "&amp;('ตั้งค่า Setup'!$C$15-I92)&amp;" วัน – กระทบแผนงาน",IF(I92-'ตั้งค่า Setup'!$C$15&lt;=14,"⚠ ต้องอนุมัติภายใน "&amp;(I92-'ตั้งค่า Setup'!$C$15)&amp;" วัน","ติดตาม (เหลือ "&amp;(I92-'ตั้งค่า Setup'!$C$15)&amp;" วัน)"))))))</f>
        <v/>
      </c>
      <c r="O92" s="35"/>
    </row>
    <row r="93" customFormat="false" ht="15" hidden="false" customHeight="false" outlineLevel="0" collapsed="false">
      <c r="A93" s="87" t="str">
        <f aca="false">IF(D93="","",COUNTA(D$9:D93))</f>
        <v/>
      </c>
      <c r="B93" s="22"/>
      <c r="C93" s="35"/>
      <c r="D93" s="35"/>
      <c r="E93" s="35"/>
      <c r="F93" s="24"/>
      <c r="G93" s="88" t="str">
        <f aca="false">IF(F93="","",IFERROR(INDEX('แผนงาน Schedule'!$Z$7:$Z$66,MATCH(F93&amp;"",'แผนงาน Schedule'!$A$7:$A$66,0)),"ไม่พบ WBS"))</f>
        <v/>
      </c>
      <c r="H93" s="22"/>
      <c r="I93" s="88" t="str">
        <f aca="false">IF(OR(D93="",NOT(ISNUMBER(G93))),"",G93-N(H93))</f>
        <v/>
      </c>
      <c r="J93" s="27"/>
      <c r="K93" s="24"/>
      <c r="L93" s="27"/>
      <c r="M93" s="96"/>
      <c r="N93" s="164" t="str">
        <f aca="false">IF(D93="","",IF(K93="อนุมัติ","✓ อนุมัติแล้ว พร้อมใช้",IF(K93="ไม่อนุมัติ","⚠ ไม่อนุมัติ – ต้องเสนอใหม่"&amp;IF(ISNUMBER(I93),IF(I93&gt;='ตั้งค่า Setup'!$C$15," (เหลือ "&amp;(I93-'ตั้งค่า Setup'!$C$15)&amp;" วัน)"," (เลยกำหนด "&amp;('ตั้งค่า Setup'!$C$15-I93)&amp;" วัน)"),""),IF(NOT(ISNUMBER(I93)),"ติดตาม",IF(I93&lt;'ตั้งค่า Setup'!$C$15,"⚠ เลยกำหนดอนุมัติ "&amp;('ตั้งค่า Setup'!$C$15-I93)&amp;" วัน – กระทบแผนงาน",IF(I93-'ตั้งค่า Setup'!$C$15&lt;=14,"⚠ ต้องอนุมัติภายใน "&amp;(I93-'ตั้งค่า Setup'!$C$15)&amp;" วัน","ติดตาม (เหลือ "&amp;(I93-'ตั้งค่า Setup'!$C$15)&amp;" วัน)"))))))</f>
        <v/>
      </c>
      <c r="O93" s="35"/>
    </row>
    <row r="94" customFormat="false" ht="15" hidden="false" customHeight="false" outlineLevel="0" collapsed="false">
      <c r="A94" s="87" t="str">
        <f aca="false">IF(D94="","",COUNTA(D$9:D94))</f>
        <v/>
      </c>
      <c r="B94" s="22"/>
      <c r="C94" s="35"/>
      <c r="D94" s="35"/>
      <c r="E94" s="35"/>
      <c r="F94" s="24"/>
      <c r="G94" s="88" t="str">
        <f aca="false">IF(F94="","",IFERROR(INDEX('แผนงาน Schedule'!$Z$7:$Z$66,MATCH(F94&amp;"",'แผนงาน Schedule'!$A$7:$A$66,0)),"ไม่พบ WBS"))</f>
        <v/>
      </c>
      <c r="H94" s="22"/>
      <c r="I94" s="88" t="str">
        <f aca="false">IF(OR(D94="",NOT(ISNUMBER(G94))),"",G94-N(H94))</f>
        <v/>
      </c>
      <c r="J94" s="27"/>
      <c r="K94" s="24"/>
      <c r="L94" s="27"/>
      <c r="M94" s="96"/>
      <c r="N94" s="164" t="str">
        <f aca="false">IF(D94="","",IF(K94="อนุมัติ","✓ อนุมัติแล้ว พร้อมใช้",IF(K94="ไม่อนุมัติ","⚠ ไม่อนุมัติ – ต้องเสนอใหม่"&amp;IF(ISNUMBER(I94),IF(I94&gt;='ตั้งค่า Setup'!$C$15," (เหลือ "&amp;(I94-'ตั้งค่า Setup'!$C$15)&amp;" วัน)"," (เลยกำหนด "&amp;('ตั้งค่า Setup'!$C$15-I94)&amp;" วัน)"),""),IF(NOT(ISNUMBER(I94)),"ติดตาม",IF(I94&lt;'ตั้งค่า Setup'!$C$15,"⚠ เลยกำหนดอนุมัติ "&amp;('ตั้งค่า Setup'!$C$15-I94)&amp;" วัน – กระทบแผนงาน",IF(I94-'ตั้งค่า Setup'!$C$15&lt;=14,"⚠ ต้องอนุมัติภายใน "&amp;(I94-'ตั้งค่า Setup'!$C$15)&amp;" วัน","ติดตาม (เหลือ "&amp;(I94-'ตั้งค่า Setup'!$C$15)&amp;" วัน)"))))))</f>
        <v/>
      </c>
      <c r="O94" s="35"/>
    </row>
    <row r="95" customFormat="false" ht="15" hidden="false" customHeight="false" outlineLevel="0" collapsed="false">
      <c r="A95" s="87" t="str">
        <f aca="false">IF(D95="","",COUNTA(D$9:D95))</f>
        <v/>
      </c>
      <c r="B95" s="22"/>
      <c r="C95" s="35"/>
      <c r="D95" s="35"/>
      <c r="E95" s="35"/>
      <c r="F95" s="24"/>
      <c r="G95" s="88" t="str">
        <f aca="false">IF(F95="","",IFERROR(INDEX('แผนงาน Schedule'!$Z$7:$Z$66,MATCH(F95&amp;"",'แผนงาน Schedule'!$A$7:$A$66,0)),"ไม่พบ WBS"))</f>
        <v/>
      </c>
      <c r="H95" s="22"/>
      <c r="I95" s="88" t="str">
        <f aca="false">IF(OR(D95="",NOT(ISNUMBER(G95))),"",G95-N(H95))</f>
        <v/>
      </c>
      <c r="J95" s="27"/>
      <c r="K95" s="24"/>
      <c r="L95" s="27"/>
      <c r="M95" s="96"/>
      <c r="N95" s="164" t="str">
        <f aca="false">IF(D95="","",IF(K95="อนุมัติ","✓ อนุมัติแล้ว พร้อมใช้",IF(K95="ไม่อนุมัติ","⚠ ไม่อนุมัติ – ต้องเสนอใหม่"&amp;IF(ISNUMBER(I95),IF(I95&gt;='ตั้งค่า Setup'!$C$15," (เหลือ "&amp;(I95-'ตั้งค่า Setup'!$C$15)&amp;" วัน)"," (เลยกำหนด "&amp;('ตั้งค่า Setup'!$C$15-I95)&amp;" วัน)"),""),IF(NOT(ISNUMBER(I95)),"ติดตาม",IF(I95&lt;'ตั้งค่า Setup'!$C$15,"⚠ เลยกำหนดอนุมัติ "&amp;('ตั้งค่า Setup'!$C$15-I95)&amp;" วัน – กระทบแผนงาน",IF(I95-'ตั้งค่า Setup'!$C$15&lt;=14,"⚠ ต้องอนุมัติภายใน "&amp;(I95-'ตั้งค่า Setup'!$C$15)&amp;" วัน","ติดตาม (เหลือ "&amp;(I95-'ตั้งค่า Setup'!$C$15)&amp;" วัน)"))))))</f>
        <v/>
      </c>
      <c r="O95" s="35"/>
    </row>
    <row r="96" customFormat="false" ht="15" hidden="false" customHeight="false" outlineLevel="0" collapsed="false">
      <c r="A96" s="87" t="str">
        <f aca="false">IF(D96="","",COUNTA(D$9:D96))</f>
        <v/>
      </c>
      <c r="B96" s="22"/>
      <c r="C96" s="35"/>
      <c r="D96" s="35"/>
      <c r="E96" s="35"/>
      <c r="F96" s="24"/>
      <c r="G96" s="88" t="str">
        <f aca="false">IF(F96="","",IFERROR(INDEX('แผนงาน Schedule'!$Z$7:$Z$66,MATCH(F96&amp;"",'แผนงาน Schedule'!$A$7:$A$66,0)),"ไม่พบ WBS"))</f>
        <v/>
      </c>
      <c r="H96" s="22"/>
      <c r="I96" s="88" t="str">
        <f aca="false">IF(OR(D96="",NOT(ISNUMBER(G96))),"",G96-N(H96))</f>
        <v/>
      </c>
      <c r="J96" s="27"/>
      <c r="K96" s="24"/>
      <c r="L96" s="27"/>
      <c r="M96" s="96"/>
      <c r="N96" s="164" t="str">
        <f aca="false">IF(D96="","",IF(K96="อนุมัติ","✓ อนุมัติแล้ว พร้อมใช้",IF(K96="ไม่อนุมัติ","⚠ ไม่อนุมัติ – ต้องเสนอใหม่"&amp;IF(ISNUMBER(I96),IF(I96&gt;='ตั้งค่า Setup'!$C$15," (เหลือ "&amp;(I96-'ตั้งค่า Setup'!$C$15)&amp;" วัน)"," (เลยกำหนด "&amp;('ตั้งค่า Setup'!$C$15-I96)&amp;" วัน)"),""),IF(NOT(ISNUMBER(I96)),"ติดตาม",IF(I96&lt;'ตั้งค่า Setup'!$C$15,"⚠ เลยกำหนดอนุมัติ "&amp;('ตั้งค่า Setup'!$C$15-I96)&amp;" วัน – กระทบแผนงาน",IF(I96-'ตั้งค่า Setup'!$C$15&lt;=14,"⚠ ต้องอนุมัติภายใน "&amp;(I96-'ตั้งค่า Setup'!$C$15)&amp;" วัน","ติดตาม (เหลือ "&amp;(I96-'ตั้งค่า Setup'!$C$15)&amp;" วัน)"))))))</f>
        <v/>
      </c>
      <c r="O96" s="35"/>
    </row>
    <row r="97" customFormat="false" ht="15" hidden="false" customHeight="false" outlineLevel="0" collapsed="false">
      <c r="A97" s="87" t="str">
        <f aca="false">IF(D97="","",COUNTA(D$9:D97))</f>
        <v/>
      </c>
      <c r="B97" s="22"/>
      <c r="C97" s="35"/>
      <c r="D97" s="35"/>
      <c r="E97" s="35"/>
      <c r="F97" s="24"/>
      <c r="G97" s="88" t="str">
        <f aca="false">IF(F97="","",IFERROR(INDEX('แผนงาน Schedule'!$Z$7:$Z$66,MATCH(F97&amp;"",'แผนงาน Schedule'!$A$7:$A$66,0)),"ไม่พบ WBS"))</f>
        <v/>
      </c>
      <c r="H97" s="22"/>
      <c r="I97" s="88" t="str">
        <f aca="false">IF(OR(D97="",NOT(ISNUMBER(G97))),"",G97-N(H97))</f>
        <v/>
      </c>
      <c r="J97" s="27"/>
      <c r="K97" s="24"/>
      <c r="L97" s="27"/>
      <c r="M97" s="96"/>
      <c r="N97" s="164" t="str">
        <f aca="false">IF(D97="","",IF(K97="อนุมัติ","✓ อนุมัติแล้ว พร้อมใช้",IF(K97="ไม่อนุมัติ","⚠ ไม่อนุมัติ – ต้องเสนอใหม่"&amp;IF(ISNUMBER(I97),IF(I97&gt;='ตั้งค่า Setup'!$C$15," (เหลือ "&amp;(I97-'ตั้งค่า Setup'!$C$15)&amp;" วัน)"," (เลยกำหนด "&amp;('ตั้งค่า Setup'!$C$15-I97)&amp;" วัน)"),""),IF(NOT(ISNUMBER(I97)),"ติดตาม",IF(I97&lt;'ตั้งค่า Setup'!$C$15,"⚠ เลยกำหนดอนุมัติ "&amp;('ตั้งค่า Setup'!$C$15-I97)&amp;" วัน – กระทบแผนงาน",IF(I97-'ตั้งค่า Setup'!$C$15&lt;=14,"⚠ ต้องอนุมัติภายใน "&amp;(I97-'ตั้งค่า Setup'!$C$15)&amp;" วัน","ติดตาม (เหลือ "&amp;(I97-'ตั้งค่า Setup'!$C$15)&amp;" วัน)"))))))</f>
        <v/>
      </c>
      <c r="O97" s="35"/>
    </row>
    <row r="98" customFormat="false" ht="15" hidden="false" customHeight="false" outlineLevel="0" collapsed="false">
      <c r="A98" s="87" t="str">
        <f aca="false">IF(D98="","",COUNTA(D$9:D98))</f>
        <v/>
      </c>
      <c r="B98" s="22"/>
      <c r="C98" s="35"/>
      <c r="D98" s="35"/>
      <c r="E98" s="35"/>
      <c r="F98" s="24"/>
      <c r="G98" s="88" t="str">
        <f aca="false">IF(F98="","",IFERROR(INDEX('แผนงาน Schedule'!$Z$7:$Z$66,MATCH(F98&amp;"",'แผนงาน Schedule'!$A$7:$A$66,0)),"ไม่พบ WBS"))</f>
        <v/>
      </c>
      <c r="H98" s="22"/>
      <c r="I98" s="88" t="str">
        <f aca="false">IF(OR(D98="",NOT(ISNUMBER(G98))),"",G98-N(H98))</f>
        <v/>
      </c>
      <c r="J98" s="27"/>
      <c r="K98" s="24"/>
      <c r="L98" s="27"/>
      <c r="M98" s="96"/>
      <c r="N98" s="164" t="str">
        <f aca="false">IF(D98="","",IF(K98="อนุมัติ","✓ อนุมัติแล้ว พร้อมใช้",IF(K98="ไม่อนุมัติ","⚠ ไม่อนุมัติ – ต้องเสนอใหม่"&amp;IF(ISNUMBER(I98),IF(I98&gt;='ตั้งค่า Setup'!$C$15," (เหลือ "&amp;(I98-'ตั้งค่า Setup'!$C$15)&amp;" วัน)"," (เลยกำหนด "&amp;('ตั้งค่า Setup'!$C$15-I98)&amp;" วัน)"),""),IF(NOT(ISNUMBER(I98)),"ติดตาม",IF(I98&lt;'ตั้งค่า Setup'!$C$15,"⚠ เลยกำหนดอนุมัติ "&amp;('ตั้งค่า Setup'!$C$15-I98)&amp;" วัน – กระทบแผนงาน",IF(I98-'ตั้งค่า Setup'!$C$15&lt;=14,"⚠ ต้องอนุมัติภายใน "&amp;(I98-'ตั้งค่า Setup'!$C$15)&amp;" วัน","ติดตาม (เหลือ "&amp;(I98-'ตั้งค่า Setup'!$C$15)&amp;" วัน)"))))))</f>
        <v/>
      </c>
      <c r="O98" s="35"/>
    </row>
    <row r="99" customFormat="false" ht="15" hidden="false" customHeight="false" outlineLevel="0" collapsed="false">
      <c r="A99" s="87" t="str">
        <f aca="false">IF(D99="","",COUNTA(D$9:D99))</f>
        <v/>
      </c>
      <c r="B99" s="22"/>
      <c r="C99" s="35"/>
      <c r="D99" s="35"/>
      <c r="E99" s="35"/>
      <c r="F99" s="24"/>
      <c r="G99" s="88" t="str">
        <f aca="false">IF(F99="","",IFERROR(INDEX('แผนงาน Schedule'!$Z$7:$Z$66,MATCH(F99&amp;"",'แผนงาน Schedule'!$A$7:$A$66,0)),"ไม่พบ WBS"))</f>
        <v/>
      </c>
      <c r="H99" s="22"/>
      <c r="I99" s="88" t="str">
        <f aca="false">IF(OR(D99="",NOT(ISNUMBER(G99))),"",G99-N(H99))</f>
        <v/>
      </c>
      <c r="J99" s="27"/>
      <c r="K99" s="24"/>
      <c r="L99" s="27"/>
      <c r="M99" s="96"/>
      <c r="N99" s="164" t="str">
        <f aca="false">IF(D99="","",IF(K99="อนุมัติ","✓ อนุมัติแล้ว พร้อมใช้",IF(K99="ไม่อนุมัติ","⚠ ไม่อนุมัติ – ต้องเสนอใหม่"&amp;IF(ISNUMBER(I99),IF(I99&gt;='ตั้งค่า Setup'!$C$15," (เหลือ "&amp;(I99-'ตั้งค่า Setup'!$C$15)&amp;" วัน)"," (เลยกำหนด "&amp;('ตั้งค่า Setup'!$C$15-I99)&amp;" วัน)"),""),IF(NOT(ISNUMBER(I99)),"ติดตาม",IF(I99&lt;'ตั้งค่า Setup'!$C$15,"⚠ เลยกำหนดอนุมัติ "&amp;('ตั้งค่า Setup'!$C$15-I99)&amp;" วัน – กระทบแผนงาน",IF(I99-'ตั้งค่า Setup'!$C$15&lt;=14,"⚠ ต้องอนุมัติภายใน "&amp;(I99-'ตั้งค่า Setup'!$C$15)&amp;" วัน","ติดตาม (เหลือ "&amp;(I99-'ตั้งค่า Setup'!$C$15)&amp;" วัน)"))))))</f>
        <v/>
      </c>
      <c r="O99" s="35"/>
    </row>
    <row r="100" customFormat="false" ht="15" hidden="false" customHeight="false" outlineLevel="0" collapsed="false">
      <c r="A100" s="87" t="str">
        <f aca="false">IF(D100="","",COUNTA(D$9:D100))</f>
        <v/>
      </c>
      <c r="B100" s="22"/>
      <c r="C100" s="35"/>
      <c r="D100" s="35"/>
      <c r="E100" s="35"/>
      <c r="F100" s="24"/>
      <c r="G100" s="88" t="str">
        <f aca="false">IF(F100="","",IFERROR(INDEX('แผนงาน Schedule'!$Z$7:$Z$66,MATCH(F100&amp;"",'แผนงาน Schedule'!$A$7:$A$66,0)),"ไม่พบ WBS"))</f>
        <v/>
      </c>
      <c r="H100" s="22"/>
      <c r="I100" s="88" t="str">
        <f aca="false">IF(OR(D100="",NOT(ISNUMBER(G100))),"",G100-N(H100))</f>
        <v/>
      </c>
      <c r="J100" s="27"/>
      <c r="K100" s="24"/>
      <c r="L100" s="27"/>
      <c r="M100" s="96"/>
      <c r="N100" s="164" t="str">
        <f aca="false">IF(D100="","",IF(K100="อนุมัติ","✓ อนุมัติแล้ว พร้อมใช้",IF(K100="ไม่อนุมัติ","⚠ ไม่อนุมัติ – ต้องเสนอใหม่"&amp;IF(ISNUMBER(I100),IF(I100&gt;='ตั้งค่า Setup'!$C$15," (เหลือ "&amp;(I100-'ตั้งค่า Setup'!$C$15)&amp;" วัน)"," (เลยกำหนด "&amp;('ตั้งค่า Setup'!$C$15-I100)&amp;" วัน)"),""),IF(NOT(ISNUMBER(I100)),"ติดตาม",IF(I100&lt;'ตั้งค่า Setup'!$C$15,"⚠ เลยกำหนดอนุมัติ "&amp;('ตั้งค่า Setup'!$C$15-I100)&amp;" วัน – กระทบแผนงาน",IF(I100-'ตั้งค่า Setup'!$C$15&lt;=14,"⚠ ต้องอนุมัติภายใน "&amp;(I100-'ตั้งค่า Setup'!$C$15)&amp;" วัน","ติดตาม (เหลือ "&amp;(I100-'ตั้งค่า Setup'!$C$15)&amp;" วัน)"))))))</f>
        <v/>
      </c>
      <c r="O100" s="35"/>
    </row>
    <row r="101" customFormat="false" ht="15" hidden="false" customHeight="false" outlineLevel="0" collapsed="false">
      <c r="A101" s="87" t="str">
        <f aca="false">IF(D101="","",COUNTA(D$9:D101))</f>
        <v/>
      </c>
      <c r="B101" s="22"/>
      <c r="C101" s="35"/>
      <c r="D101" s="35"/>
      <c r="E101" s="35"/>
      <c r="F101" s="24"/>
      <c r="G101" s="88" t="str">
        <f aca="false">IF(F101="","",IFERROR(INDEX('แผนงาน Schedule'!$Z$7:$Z$66,MATCH(F101&amp;"",'แผนงาน Schedule'!$A$7:$A$66,0)),"ไม่พบ WBS"))</f>
        <v/>
      </c>
      <c r="H101" s="22"/>
      <c r="I101" s="88" t="str">
        <f aca="false">IF(OR(D101="",NOT(ISNUMBER(G101))),"",G101-N(H101))</f>
        <v/>
      </c>
      <c r="J101" s="27"/>
      <c r="K101" s="24"/>
      <c r="L101" s="27"/>
      <c r="M101" s="96"/>
      <c r="N101" s="164" t="str">
        <f aca="false">IF(D101="","",IF(K101="อนุมัติ","✓ อนุมัติแล้ว พร้อมใช้",IF(K101="ไม่อนุมัติ","⚠ ไม่อนุมัติ – ต้องเสนอใหม่"&amp;IF(ISNUMBER(I101),IF(I101&gt;='ตั้งค่า Setup'!$C$15," (เหลือ "&amp;(I101-'ตั้งค่า Setup'!$C$15)&amp;" วัน)"," (เลยกำหนด "&amp;('ตั้งค่า Setup'!$C$15-I101)&amp;" วัน)"),""),IF(NOT(ISNUMBER(I101)),"ติดตาม",IF(I101&lt;'ตั้งค่า Setup'!$C$15,"⚠ เลยกำหนดอนุมัติ "&amp;('ตั้งค่า Setup'!$C$15-I101)&amp;" วัน – กระทบแผนงาน",IF(I101-'ตั้งค่า Setup'!$C$15&lt;=14,"⚠ ต้องอนุมัติภายใน "&amp;(I101-'ตั้งค่า Setup'!$C$15)&amp;" วัน","ติดตาม (เหลือ "&amp;(I101-'ตั้งค่า Setup'!$C$15)&amp;" วัน)"))))))</f>
        <v/>
      </c>
      <c r="O101" s="35"/>
    </row>
    <row r="102" customFormat="false" ht="15" hidden="false" customHeight="false" outlineLevel="0" collapsed="false">
      <c r="A102" s="87" t="str">
        <f aca="false">IF(D102="","",COUNTA(D$9:D102))</f>
        <v/>
      </c>
      <c r="B102" s="22"/>
      <c r="C102" s="35"/>
      <c r="D102" s="35"/>
      <c r="E102" s="35"/>
      <c r="F102" s="24"/>
      <c r="G102" s="88" t="str">
        <f aca="false">IF(F102="","",IFERROR(INDEX('แผนงาน Schedule'!$Z$7:$Z$66,MATCH(F102&amp;"",'แผนงาน Schedule'!$A$7:$A$66,0)),"ไม่พบ WBS"))</f>
        <v/>
      </c>
      <c r="H102" s="22"/>
      <c r="I102" s="88" t="str">
        <f aca="false">IF(OR(D102="",NOT(ISNUMBER(G102))),"",G102-N(H102))</f>
        <v/>
      </c>
      <c r="J102" s="27"/>
      <c r="K102" s="24"/>
      <c r="L102" s="27"/>
      <c r="M102" s="96"/>
      <c r="N102" s="164" t="str">
        <f aca="false">IF(D102="","",IF(K102="อนุมัติ","✓ อนุมัติแล้ว พร้อมใช้",IF(K102="ไม่อนุมัติ","⚠ ไม่อนุมัติ – ต้องเสนอใหม่"&amp;IF(ISNUMBER(I102),IF(I102&gt;='ตั้งค่า Setup'!$C$15," (เหลือ "&amp;(I102-'ตั้งค่า Setup'!$C$15)&amp;" วัน)"," (เลยกำหนด "&amp;('ตั้งค่า Setup'!$C$15-I102)&amp;" วัน)"),""),IF(NOT(ISNUMBER(I102)),"ติดตาม",IF(I102&lt;'ตั้งค่า Setup'!$C$15,"⚠ เลยกำหนดอนุมัติ "&amp;('ตั้งค่า Setup'!$C$15-I102)&amp;" วัน – กระทบแผนงาน",IF(I102-'ตั้งค่า Setup'!$C$15&lt;=14,"⚠ ต้องอนุมัติภายใน "&amp;(I102-'ตั้งค่า Setup'!$C$15)&amp;" วัน","ติดตาม (เหลือ "&amp;(I102-'ตั้งค่า Setup'!$C$15)&amp;" วัน)"))))))</f>
        <v/>
      </c>
      <c r="O102" s="35"/>
    </row>
    <row r="103" customFormat="false" ht="15" hidden="false" customHeight="false" outlineLevel="0" collapsed="false">
      <c r="A103" s="87" t="str">
        <f aca="false">IF(D103="","",COUNTA(D$9:D103))</f>
        <v/>
      </c>
      <c r="B103" s="22"/>
      <c r="C103" s="35"/>
      <c r="D103" s="35"/>
      <c r="E103" s="35"/>
      <c r="F103" s="24"/>
      <c r="G103" s="88" t="str">
        <f aca="false">IF(F103="","",IFERROR(INDEX('แผนงาน Schedule'!$Z$7:$Z$66,MATCH(F103&amp;"",'แผนงาน Schedule'!$A$7:$A$66,0)),"ไม่พบ WBS"))</f>
        <v/>
      </c>
      <c r="H103" s="22"/>
      <c r="I103" s="88" t="str">
        <f aca="false">IF(OR(D103="",NOT(ISNUMBER(G103))),"",G103-N(H103))</f>
        <v/>
      </c>
      <c r="J103" s="27"/>
      <c r="K103" s="24"/>
      <c r="L103" s="27"/>
      <c r="M103" s="96"/>
      <c r="N103" s="164" t="str">
        <f aca="false">IF(D103="","",IF(K103="อนุมัติ","✓ อนุมัติแล้ว พร้อมใช้",IF(K103="ไม่อนุมัติ","⚠ ไม่อนุมัติ – ต้องเสนอใหม่"&amp;IF(ISNUMBER(I103),IF(I103&gt;='ตั้งค่า Setup'!$C$15," (เหลือ "&amp;(I103-'ตั้งค่า Setup'!$C$15)&amp;" วัน)"," (เลยกำหนด "&amp;('ตั้งค่า Setup'!$C$15-I103)&amp;" วัน)"),""),IF(NOT(ISNUMBER(I103)),"ติดตาม",IF(I103&lt;'ตั้งค่า Setup'!$C$15,"⚠ เลยกำหนดอนุมัติ "&amp;('ตั้งค่า Setup'!$C$15-I103)&amp;" วัน – กระทบแผนงาน",IF(I103-'ตั้งค่า Setup'!$C$15&lt;=14,"⚠ ต้องอนุมัติภายใน "&amp;(I103-'ตั้งค่า Setup'!$C$15)&amp;" วัน","ติดตาม (เหลือ "&amp;(I103-'ตั้งค่า Setup'!$C$15)&amp;" วัน)"))))))</f>
        <v/>
      </c>
      <c r="O103" s="35"/>
    </row>
    <row r="104" customFormat="false" ht="15" hidden="false" customHeight="false" outlineLevel="0" collapsed="false">
      <c r="A104" s="87" t="str">
        <f aca="false">IF(D104="","",COUNTA(D$9:D104))</f>
        <v/>
      </c>
      <c r="B104" s="22"/>
      <c r="C104" s="35"/>
      <c r="D104" s="35"/>
      <c r="E104" s="35"/>
      <c r="F104" s="24"/>
      <c r="G104" s="88" t="str">
        <f aca="false">IF(F104="","",IFERROR(INDEX('แผนงาน Schedule'!$Z$7:$Z$66,MATCH(F104&amp;"",'แผนงาน Schedule'!$A$7:$A$66,0)),"ไม่พบ WBS"))</f>
        <v/>
      </c>
      <c r="H104" s="22"/>
      <c r="I104" s="88" t="str">
        <f aca="false">IF(OR(D104="",NOT(ISNUMBER(G104))),"",G104-N(H104))</f>
        <v/>
      </c>
      <c r="J104" s="27"/>
      <c r="K104" s="24"/>
      <c r="L104" s="27"/>
      <c r="M104" s="96"/>
      <c r="N104" s="164" t="str">
        <f aca="false">IF(D104="","",IF(K104="อนุมัติ","✓ อนุมัติแล้ว พร้อมใช้",IF(K104="ไม่อนุมัติ","⚠ ไม่อนุมัติ – ต้องเสนอใหม่"&amp;IF(ISNUMBER(I104),IF(I104&gt;='ตั้งค่า Setup'!$C$15," (เหลือ "&amp;(I104-'ตั้งค่า Setup'!$C$15)&amp;" วัน)"," (เลยกำหนด "&amp;('ตั้งค่า Setup'!$C$15-I104)&amp;" วัน)"),""),IF(NOT(ISNUMBER(I104)),"ติดตาม",IF(I104&lt;'ตั้งค่า Setup'!$C$15,"⚠ เลยกำหนดอนุมัติ "&amp;('ตั้งค่า Setup'!$C$15-I104)&amp;" วัน – กระทบแผนงาน",IF(I104-'ตั้งค่า Setup'!$C$15&lt;=14,"⚠ ต้องอนุมัติภายใน "&amp;(I104-'ตั้งค่า Setup'!$C$15)&amp;" วัน","ติดตาม (เหลือ "&amp;(I104-'ตั้งค่า Setup'!$C$15)&amp;" วัน)"))))))</f>
        <v/>
      </c>
      <c r="O104" s="35"/>
    </row>
    <row r="105" customFormat="false" ht="15" hidden="false" customHeight="false" outlineLevel="0" collapsed="false">
      <c r="A105" s="87" t="str">
        <f aca="false">IF(D105="","",COUNTA(D$9:D105))</f>
        <v/>
      </c>
      <c r="B105" s="22"/>
      <c r="C105" s="35"/>
      <c r="D105" s="35"/>
      <c r="E105" s="35"/>
      <c r="F105" s="24"/>
      <c r="G105" s="88" t="str">
        <f aca="false">IF(F105="","",IFERROR(INDEX('แผนงาน Schedule'!$Z$7:$Z$66,MATCH(F105&amp;"",'แผนงาน Schedule'!$A$7:$A$66,0)),"ไม่พบ WBS"))</f>
        <v/>
      </c>
      <c r="H105" s="22"/>
      <c r="I105" s="88" t="str">
        <f aca="false">IF(OR(D105="",NOT(ISNUMBER(G105))),"",G105-N(H105))</f>
        <v/>
      </c>
      <c r="J105" s="27"/>
      <c r="K105" s="24"/>
      <c r="L105" s="27"/>
      <c r="M105" s="96"/>
      <c r="N105" s="164" t="str">
        <f aca="false">IF(D105="","",IF(K105="อนุมัติ","✓ อนุมัติแล้ว พร้อมใช้",IF(K105="ไม่อนุมัติ","⚠ ไม่อนุมัติ – ต้องเสนอใหม่"&amp;IF(ISNUMBER(I105),IF(I105&gt;='ตั้งค่า Setup'!$C$15," (เหลือ "&amp;(I105-'ตั้งค่า Setup'!$C$15)&amp;" วัน)"," (เลยกำหนด "&amp;('ตั้งค่า Setup'!$C$15-I105)&amp;" วัน)"),""),IF(NOT(ISNUMBER(I105)),"ติดตาม",IF(I105&lt;'ตั้งค่า Setup'!$C$15,"⚠ เลยกำหนดอนุมัติ "&amp;('ตั้งค่า Setup'!$C$15-I105)&amp;" วัน – กระทบแผนงาน",IF(I105-'ตั้งค่า Setup'!$C$15&lt;=14,"⚠ ต้องอนุมัติภายใน "&amp;(I105-'ตั้งค่า Setup'!$C$15)&amp;" วัน","ติดตาม (เหลือ "&amp;(I105-'ตั้งค่า Setup'!$C$15)&amp;" วัน)"))))))</f>
        <v/>
      </c>
      <c r="O105" s="35"/>
    </row>
    <row r="106" customFormat="false" ht="15" hidden="false" customHeight="false" outlineLevel="0" collapsed="false">
      <c r="A106" s="87" t="str">
        <f aca="false">IF(D106="","",COUNTA(D$9:D106))</f>
        <v/>
      </c>
      <c r="B106" s="22"/>
      <c r="C106" s="35"/>
      <c r="D106" s="35"/>
      <c r="E106" s="35"/>
      <c r="F106" s="24"/>
      <c r="G106" s="88" t="str">
        <f aca="false">IF(F106="","",IFERROR(INDEX('แผนงาน Schedule'!$Z$7:$Z$66,MATCH(F106&amp;"",'แผนงาน Schedule'!$A$7:$A$66,0)),"ไม่พบ WBS"))</f>
        <v/>
      </c>
      <c r="H106" s="22"/>
      <c r="I106" s="88" t="str">
        <f aca="false">IF(OR(D106="",NOT(ISNUMBER(G106))),"",G106-N(H106))</f>
        <v/>
      </c>
      <c r="J106" s="27"/>
      <c r="K106" s="24"/>
      <c r="L106" s="27"/>
      <c r="M106" s="96"/>
      <c r="N106" s="164" t="str">
        <f aca="false">IF(D106="","",IF(K106="อนุมัติ","✓ อนุมัติแล้ว พร้อมใช้",IF(K106="ไม่อนุมัติ","⚠ ไม่อนุมัติ – ต้องเสนอใหม่"&amp;IF(ISNUMBER(I106),IF(I106&gt;='ตั้งค่า Setup'!$C$15," (เหลือ "&amp;(I106-'ตั้งค่า Setup'!$C$15)&amp;" วัน)"," (เลยกำหนด "&amp;('ตั้งค่า Setup'!$C$15-I106)&amp;" วัน)"),""),IF(NOT(ISNUMBER(I106)),"ติดตาม",IF(I106&lt;'ตั้งค่า Setup'!$C$15,"⚠ เลยกำหนดอนุมัติ "&amp;('ตั้งค่า Setup'!$C$15-I106)&amp;" วัน – กระทบแผนงาน",IF(I106-'ตั้งค่า Setup'!$C$15&lt;=14,"⚠ ต้องอนุมัติภายใน "&amp;(I106-'ตั้งค่า Setup'!$C$15)&amp;" วัน","ติดตาม (เหลือ "&amp;(I106-'ตั้งค่า Setup'!$C$15)&amp;" วัน)"))))))</f>
        <v/>
      </c>
      <c r="O106" s="35"/>
    </row>
    <row r="107" customFormat="false" ht="15" hidden="false" customHeight="false" outlineLevel="0" collapsed="false">
      <c r="A107" s="87" t="str">
        <f aca="false">IF(D107="","",COUNTA(D$9:D107))</f>
        <v/>
      </c>
      <c r="B107" s="22"/>
      <c r="C107" s="35"/>
      <c r="D107" s="35"/>
      <c r="E107" s="35"/>
      <c r="F107" s="24"/>
      <c r="G107" s="88" t="str">
        <f aca="false">IF(F107="","",IFERROR(INDEX('แผนงาน Schedule'!$Z$7:$Z$66,MATCH(F107&amp;"",'แผนงาน Schedule'!$A$7:$A$66,0)),"ไม่พบ WBS"))</f>
        <v/>
      </c>
      <c r="H107" s="22"/>
      <c r="I107" s="88" t="str">
        <f aca="false">IF(OR(D107="",NOT(ISNUMBER(G107))),"",G107-N(H107))</f>
        <v/>
      </c>
      <c r="J107" s="27"/>
      <c r="K107" s="24"/>
      <c r="L107" s="27"/>
      <c r="M107" s="96"/>
      <c r="N107" s="164" t="str">
        <f aca="false">IF(D107="","",IF(K107="อนุมัติ","✓ อนุมัติแล้ว พร้อมใช้",IF(K107="ไม่อนุมัติ","⚠ ไม่อนุมัติ – ต้องเสนอใหม่"&amp;IF(ISNUMBER(I107),IF(I107&gt;='ตั้งค่า Setup'!$C$15," (เหลือ "&amp;(I107-'ตั้งค่า Setup'!$C$15)&amp;" วัน)"," (เลยกำหนด "&amp;('ตั้งค่า Setup'!$C$15-I107)&amp;" วัน)"),""),IF(NOT(ISNUMBER(I107)),"ติดตาม",IF(I107&lt;'ตั้งค่า Setup'!$C$15,"⚠ เลยกำหนดอนุมัติ "&amp;('ตั้งค่า Setup'!$C$15-I107)&amp;" วัน – กระทบแผนงาน",IF(I107-'ตั้งค่า Setup'!$C$15&lt;=14,"⚠ ต้องอนุมัติภายใน "&amp;(I107-'ตั้งค่า Setup'!$C$15)&amp;" วัน","ติดตาม (เหลือ "&amp;(I107-'ตั้งค่า Setup'!$C$15)&amp;" วัน)"))))))</f>
        <v/>
      </c>
      <c r="O107" s="35"/>
    </row>
    <row r="108" customFormat="false" ht="15" hidden="false" customHeight="false" outlineLevel="0" collapsed="false">
      <c r="A108" s="87" t="str">
        <f aca="false">IF(D108="","",COUNTA(D$9:D108))</f>
        <v/>
      </c>
      <c r="B108" s="22"/>
      <c r="C108" s="35"/>
      <c r="D108" s="35"/>
      <c r="E108" s="35"/>
      <c r="F108" s="24"/>
      <c r="G108" s="88" t="str">
        <f aca="false">IF(F108="","",IFERROR(INDEX('แผนงาน Schedule'!$Z$7:$Z$66,MATCH(F108&amp;"",'แผนงาน Schedule'!$A$7:$A$66,0)),"ไม่พบ WBS"))</f>
        <v/>
      </c>
      <c r="H108" s="22"/>
      <c r="I108" s="88" t="str">
        <f aca="false">IF(OR(D108="",NOT(ISNUMBER(G108))),"",G108-N(H108))</f>
        <v/>
      </c>
      <c r="J108" s="27"/>
      <c r="K108" s="24"/>
      <c r="L108" s="27"/>
      <c r="M108" s="96"/>
      <c r="N108" s="164" t="str">
        <f aca="false">IF(D108="","",IF(K108="อนุมัติ","✓ อนุมัติแล้ว พร้อมใช้",IF(K108="ไม่อนุมัติ","⚠ ไม่อนุมัติ – ต้องเสนอใหม่"&amp;IF(ISNUMBER(I108),IF(I108&gt;='ตั้งค่า Setup'!$C$15," (เหลือ "&amp;(I108-'ตั้งค่า Setup'!$C$15)&amp;" วัน)"," (เลยกำหนด "&amp;('ตั้งค่า Setup'!$C$15-I108)&amp;" วัน)"),""),IF(NOT(ISNUMBER(I108)),"ติดตาม",IF(I108&lt;'ตั้งค่า Setup'!$C$15,"⚠ เลยกำหนดอนุมัติ "&amp;('ตั้งค่า Setup'!$C$15-I108)&amp;" วัน – กระทบแผนงาน",IF(I108-'ตั้งค่า Setup'!$C$15&lt;=14,"⚠ ต้องอนุมัติภายใน "&amp;(I108-'ตั้งค่า Setup'!$C$15)&amp;" วัน","ติดตาม (เหลือ "&amp;(I108-'ตั้งค่า Setup'!$C$15)&amp;" วัน)"))))))</f>
        <v/>
      </c>
      <c r="O108" s="35"/>
    </row>
  </sheetData>
  <sheetProtection sheet="true" formatCells="false" formatColumns="false" formatRows="false"/>
  <conditionalFormatting sqref="N9:N108">
    <cfRule type="expression" priority="2" aboveAverage="0" equalAverage="0" bottom="0" percent="0" rank="0" text="" dxfId="6">
      <formula>LEFT(N9,1)="⚠"</formula>
    </cfRule>
    <cfRule type="expression" priority="3" aboveAverage="0" equalAverage="0" bottom="0" percent="0" rank="0" text="" dxfId="2">
      <formula>LEFT(N9,1)="✓"</formula>
    </cfRule>
  </conditionalFormatting>
  <conditionalFormatting sqref="K9:K108">
    <cfRule type="expression" priority="4" aboveAverage="0" equalAverage="0" bottom="0" percent="0" rank="0" text="" dxfId="5">
      <formula>OR(K9="รอพิจารณา",K9="ขอเอกสารเพิ่มเติม")</formula>
    </cfRule>
  </conditionalFormatting>
  <conditionalFormatting sqref="G9:G108">
    <cfRule type="expression" priority="5" aboveAverage="0" equalAverage="0" bottom="0" percent="0" rank="0" text="" dxfId="4">
      <formula>G9="ไม่พบ WBS"</formula>
    </cfRule>
  </conditionalFormatting>
  <dataValidations count="3">
    <dataValidation allowBlank="true" errorStyle="stop" operator="between" showDropDown="false" showErrorMessage="false" showInputMessage="false" sqref="F9:F108" type="list">
      <formula1>'แผนงาน Schedule'!$A$7:$A$66</formula1>
      <formula2>0</formula2>
    </dataValidation>
    <dataValidation allowBlank="false" errorStyle="stop" operator="between" showDropDown="false" showErrorMessage="false" showInputMessage="false" sqref="K9:K108" type="list">
      <formula1>"รอพิจารณา,ขอเอกสารเพิ่มเติม,อนุมัติ,ไม่อนุมัติ"</formula1>
      <formula2>0</formula2>
    </dataValidation>
    <dataValidation allowBlank="false" errorStyle="stop" operator="between" showDropDown="false" showErrorMessage="false" showInputMessage="false" sqref="M9:M108" type="list">
      <formula1>"ผ่าน,ขอเอกสารเพิ่มเติม,ไม่ผ่าน,ยังไม่ตรวจ"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44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9" min="8" style="1" width="10.51"/>
    <col collapsed="false" customWidth="true" hidden="false" outlineLevel="0" max="10" min="10" style="1" width="6"/>
    <col collapsed="false" customWidth="true" hidden="false" outlineLevel="0" max="14" min="11" style="1" width="10.51"/>
    <col collapsed="false" customWidth="true" hidden="false" outlineLevel="0" max="17" min="15" style="1" width="10"/>
    <col collapsed="false" customWidth="true" hidden="false" outlineLevel="0" max="20" min="18" style="1" width="12"/>
    <col collapsed="false" customWidth="true" hidden="false" outlineLevel="0" max="21" min="21" style="1" width="7"/>
    <col collapsed="false" customWidth="true" hidden="false" outlineLevel="0" max="22" min="22" style="1" width="11"/>
    <col collapsed="false" customWidth="true" hidden="false" outlineLevel="0" max="23" min="23" style="1" width="9"/>
    <col collapsed="false" customWidth="true" hidden="false" outlineLevel="0" max="24" min="24" style="1" width="16"/>
    <col collapsed="false" customWidth="true" hidden="false" outlineLevel="0" max="25" min="25" style="1" width="30"/>
    <col collapsed="false" customWidth="true" hidden="true" outlineLevel="0" max="30" min="26" style="1" width="4"/>
    <col collapsed="false" customWidth="true" hidden="false" outlineLevel="0" max="31" min="31" style="1" width="2"/>
    <col collapsed="false" customWidth="true" hidden="false" outlineLevel="0" max="111" min="32" style="1" width="3"/>
  </cols>
  <sheetData>
    <row r="1" customFormat="false" ht="20.1" hidden="false" customHeight="false" outlineLevel="0" collapsed="false">
      <c r="A1" s="2" t="s">
        <v>642</v>
      </c>
    </row>
    <row r="2" customFormat="false" ht="15" hidden="false" customHeight="false" outlineLevel="0" collapsed="false">
      <c r="A2" s="165" t="s">
        <v>643</v>
      </c>
    </row>
    <row r="3" customFormat="false" ht="15" hidden="false" customHeight="false" outlineLevel="0" collapsed="false">
      <c r="A3" s="166" t="s">
        <v>644</v>
      </c>
      <c r="C3" s="167" t="n">
        <f aca="false">'ตั้งค่า Setup'!$C$15</f>
        <v>46293</v>
      </c>
    </row>
    <row r="5" customFormat="false" ht="15" hidden="false" customHeight="true" outlineLevel="0" collapsed="false">
      <c r="A5" s="168" t="s">
        <v>645</v>
      </c>
      <c r="B5" s="168"/>
      <c r="C5" s="168"/>
      <c r="D5" s="168"/>
      <c r="E5" s="168" t="s">
        <v>646</v>
      </c>
      <c r="F5" s="168"/>
      <c r="G5" s="168"/>
      <c r="H5" s="169" t="s">
        <v>647</v>
      </c>
      <c r="I5" s="169"/>
      <c r="J5" s="169"/>
      <c r="K5" s="170" t="s">
        <v>648</v>
      </c>
      <c r="L5" s="170"/>
      <c r="M5" s="171" t="s">
        <v>649</v>
      </c>
      <c r="N5" s="171"/>
      <c r="O5" s="171"/>
      <c r="P5" s="172" t="s">
        <v>650</v>
      </c>
      <c r="Q5" s="172"/>
      <c r="R5" s="172"/>
      <c r="S5" s="172"/>
      <c r="T5" s="172"/>
      <c r="U5" s="172"/>
      <c r="V5" s="172"/>
      <c r="W5" s="172"/>
      <c r="X5" s="172"/>
      <c r="AF5" s="173" t="n">
        <f aca="false">INDEX('S-Curve'!$B$7:$B$86,1)</f>
        <v>46072</v>
      </c>
      <c r="AG5" s="173" t="n">
        <f aca="false">INDEX('S-Curve'!$B$7:$B$86,2)</f>
        <v>46074</v>
      </c>
      <c r="AH5" s="173" t="n">
        <f aca="false">INDEX('S-Curve'!$B$7:$B$86,3)</f>
        <v>46082</v>
      </c>
      <c r="AI5" s="173" t="n">
        <f aca="false">INDEX('S-Curve'!$B$7:$B$86,4)</f>
        <v>46092</v>
      </c>
      <c r="AJ5" s="173" t="n">
        <f aca="false">INDEX('S-Curve'!$B$7:$B$86,5)</f>
        <v>46102</v>
      </c>
      <c r="AK5" s="173" t="n">
        <f aca="false">INDEX('S-Curve'!$B$7:$B$86,6)</f>
        <v>46113</v>
      </c>
      <c r="AL5" s="173" t="n">
        <f aca="false">INDEX('S-Curve'!$B$7:$B$86,7)</f>
        <v>46123</v>
      </c>
      <c r="AM5" s="173" t="n">
        <f aca="false">INDEX('S-Curve'!$B$7:$B$86,8)</f>
        <v>46133</v>
      </c>
      <c r="AN5" s="173" t="n">
        <f aca="false">INDEX('S-Curve'!$B$7:$B$86,9)</f>
        <v>46143</v>
      </c>
      <c r="AO5" s="173" t="n">
        <f aca="false">INDEX('S-Curve'!$B$7:$B$86,10)</f>
        <v>46153</v>
      </c>
      <c r="AP5" s="173" t="n">
        <f aca="false">INDEX('S-Curve'!$B$7:$B$86,11)</f>
        <v>46163</v>
      </c>
      <c r="AQ5" s="173" t="n">
        <f aca="false">INDEX('S-Curve'!$B$7:$B$86,12)</f>
        <v>46174</v>
      </c>
      <c r="AR5" s="173" t="n">
        <f aca="false">INDEX('S-Curve'!$B$7:$B$86,13)</f>
        <v>46184</v>
      </c>
      <c r="AS5" s="173" t="n">
        <f aca="false">INDEX('S-Curve'!$B$7:$B$86,14)</f>
        <v>46194</v>
      </c>
      <c r="AT5" s="173" t="n">
        <f aca="false">INDEX('S-Curve'!$B$7:$B$86,15)</f>
        <v>46204</v>
      </c>
      <c r="AU5" s="173" t="n">
        <f aca="false">INDEX('S-Curve'!$B$7:$B$86,16)</f>
        <v>46214</v>
      </c>
      <c r="AV5" s="173" t="n">
        <f aca="false">INDEX('S-Curve'!$B$7:$B$86,17)</f>
        <v>46224</v>
      </c>
      <c r="AW5" s="173" t="n">
        <f aca="false">INDEX('S-Curve'!$B$7:$B$86,18)</f>
        <v>46235</v>
      </c>
      <c r="AX5" s="173" t="n">
        <f aca="false">INDEX('S-Curve'!$B$7:$B$86,19)</f>
        <v>46245</v>
      </c>
      <c r="AY5" s="173" t="n">
        <f aca="false">INDEX('S-Curve'!$B$7:$B$86,20)</f>
        <v>46255</v>
      </c>
      <c r="AZ5" s="173" t="n">
        <f aca="false">INDEX('S-Curve'!$B$7:$B$86,21)</f>
        <v>46266</v>
      </c>
      <c r="BA5" s="173" t="n">
        <f aca="false">INDEX('S-Curve'!$B$7:$B$86,22)</f>
        <v>46276</v>
      </c>
      <c r="BB5" s="173" t="n">
        <f aca="false">INDEX('S-Curve'!$B$7:$B$86,23)</f>
        <v>46286</v>
      </c>
      <c r="BC5" s="173" t="n">
        <f aca="false">INDEX('S-Curve'!$B$7:$B$86,24)</f>
        <v>46296</v>
      </c>
      <c r="BD5" s="173" t="n">
        <f aca="false">INDEX('S-Curve'!$B$7:$B$86,25)</f>
        <v>46306</v>
      </c>
      <c r="BE5" s="173" t="n">
        <f aca="false">INDEX('S-Curve'!$B$7:$B$86,26)</f>
        <v>46316</v>
      </c>
      <c r="BF5" s="173" t="n">
        <f aca="false">INDEX('S-Curve'!$B$7:$B$86,27)</f>
        <v>46327</v>
      </c>
      <c r="BG5" s="173" t="n">
        <f aca="false">INDEX('S-Curve'!$B$7:$B$86,28)</f>
        <v>46337</v>
      </c>
      <c r="BH5" s="173" t="str">
        <f aca="false">INDEX('S-Curve'!$B$7:$B$86,29)</f>
        <v/>
      </c>
      <c r="BI5" s="173" t="str">
        <f aca="false">INDEX('S-Curve'!$B$7:$B$86,30)</f>
        <v/>
      </c>
      <c r="BJ5" s="173" t="str">
        <f aca="false">INDEX('S-Curve'!$B$7:$B$86,31)</f>
        <v/>
      </c>
      <c r="BK5" s="173" t="str">
        <f aca="false">INDEX('S-Curve'!$B$7:$B$86,32)</f>
        <v/>
      </c>
      <c r="BL5" s="173" t="str">
        <f aca="false">INDEX('S-Curve'!$B$7:$B$86,33)</f>
        <v/>
      </c>
      <c r="BM5" s="173" t="str">
        <f aca="false">INDEX('S-Curve'!$B$7:$B$86,34)</f>
        <v/>
      </c>
      <c r="BN5" s="173" t="str">
        <f aca="false">INDEX('S-Curve'!$B$7:$B$86,35)</f>
        <v/>
      </c>
      <c r="BO5" s="173" t="str">
        <f aca="false">INDEX('S-Curve'!$B$7:$B$86,36)</f>
        <v/>
      </c>
      <c r="BP5" s="173" t="str">
        <f aca="false">INDEX('S-Curve'!$B$7:$B$86,37)</f>
        <v/>
      </c>
      <c r="BQ5" s="173" t="str">
        <f aca="false">INDEX('S-Curve'!$B$7:$B$86,38)</f>
        <v/>
      </c>
      <c r="BR5" s="173" t="str">
        <f aca="false">INDEX('S-Curve'!$B$7:$B$86,39)</f>
        <v/>
      </c>
      <c r="BS5" s="173" t="str">
        <f aca="false">INDEX('S-Curve'!$B$7:$B$86,40)</f>
        <v/>
      </c>
      <c r="BT5" s="173" t="str">
        <f aca="false">INDEX('S-Curve'!$B$7:$B$86,41)</f>
        <v/>
      </c>
      <c r="BU5" s="173" t="str">
        <f aca="false">INDEX('S-Curve'!$B$7:$B$86,42)</f>
        <v/>
      </c>
      <c r="BV5" s="173" t="str">
        <f aca="false">INDEX('S-Curve'!$B$7:$B$86,43)</f>
        <v/>
      </c>
      <c r="BW5" s="173" t="str">
        <f aca="false">INDEX('S-Curve'!$B$7:$B$86,44)</f>
        <v/>
      </c>
      <c r="BX5" s="173" t="str">
        <f aca="false">INDEX('S-Curve'!$B$7:$B$86,45)</f>
        <v/>
      </c>
      <c r="BY5" s="173" t="str">
        <f aca="false">INDEX('S-Curve'!$B$7:$B$86,46)</f>
        <v/>
      </c>
      <c r="BZ5" s="173" t="str">
        <f aca="false">INDEX('S-Curve'!$B$7:$B$86,47)</f>
        <v/>
      </c>
      <c r="CA5" s="173" t="str">
        <f aca="false">INDEX('S-Curve'!$B$7:$B$86,48)</f>
        <v/>
      </c>
      <c r="CB5" s="173" t="str">
        <f aca="false">INDEX('S-Curve'!$B$7:$B$86,49)</f>
        <v/>
      </c>
      <c r="CC5" s="173" t="str">
        <f aca="false">INDEX('S-Curve'!$B$7:$B$86,50)</f>
        <v/>
      </c>
      <c r="CD5" s="173" t="str">
        <f aca="false">INDEX('S-Curve'!$B$7:$B$86,51)</f>
        <v/>
      </c>
      <c r="CE5" s="173" t="str">
        <f aca="false">INDEX('S-Curve'!$B$7:$B$86,52)</f>
        <v/>
      </c>
      <c r="CF5" s="173" t="str">
        <f aca="false">INDEX('S-Curve'!$B$7:$B$86,53)</f>
        <v/>
      </c>
      <c r="CG5" s="173" t="str">
        <f aca="false">INDEX('S-Curve'!$B$7:$B$86,54)</f>
        <v/>
      </c>
      <c r="CH5" s="173" t="str">
        <f aca="false">INDEX('S-Curve'!$B$7:$B$86,55)</f>
        <v/>
      </c>
      <c r="CI5" s="173" t="str">
        <f aca="false">INDEX('S-Curve'!$B$7:$B$86,56)</f>
        <v/>
      </c>
      <c r="CJ5" s="173" t="str">
        <f aca="false">INDEX('S-Curve'!$B$7:$B$86,57)</f>
        <v/>
      </c>
      <c r="CK5" s="173" t="str">
        <f aca="false">INDEX('S-Curve'!$B$7:$B$86,58)</f>
        <v/>
      </c>
      <c r="CL5" s="173" t="str">
        <f aca="false">INDEX('S-Curve'!$B$7:$B$86,59)</f>
        <v/>
      </c>
      <c r="CM5" s="173" t="str">
        <f aca="false">INDEX('S-Curve'!$B$7:$B$86,60)</f>
        <v/>
      </c>
      <c r="CN5" s="173" t="str">
        <f aca="false">INDEX('S-Curve'!$B$7:$B$86,61)</f>
        <v/>
      </c>
      <c r="CO5" s="173" t="str">
        <f aca="false">INDEX('S-Curve'!$B$7:$B$86,62)</f>
        <v/>
      </c>
      <c r="CP5" s="173" t="str">
        <f aca="false">INDEX('S-Curve'!$B$7:$B$86,63)</f>
        <v/>
      </c>
      <c r="CQ5" s="173" t="str">
        <f aca="false">INDEX('S-Curve'!$B$7:$B$86,64)</f>
        <v/>
      </c>
      <c r="CR5" s="173" t="str">
        <f aca="false">INDEX('S-Curve'!$B$7:$B$86,65)</f>
        <v/>
      </c>
      <c r="CS5" s="173" t="str">
        <f aca="false">INDEX('S-Curve'!$B$7:$B$86,66)</f>
        <v/>
      </c>
      <c r="CT5" s="173" t="str">
        <f aca="false">INDEX('S-Curve'!$B$7:$B$86,67)</f>
        <v/>
      </c>
      <c r="CU5" s="173" t="str">
        <f aca="false">INDEX('S-Curve'!$B$7:$B$86,68)</f>
        <v/>
      </c>
      <c r="CV5" s="173" t="str">
        <f aca="false">INDEX('S-Curve'!$B$7:$B$86,69)</f>
        <v/>
      </c>
      <c r="CW5" s="173" t="str">
        <f aca="false">INDEX('S-Curve'!$B$7:$B$86,70)</f>
        <v/>
      </c>
      <c r="CX5" s="173" t="str">
        <f aca="false">INDEX('S-Curve'!$B$7:$B$86,71)</f>
        <v/>
      </c>
      <c r="CY5" s="173" t="str">
        <f aca="false">INDEX('S-Curve'!$B$7:$B$86,72)</f>
        <v/>
      </c>
      <c r="CZ5" s="173" t="str">
        <f aca="false">INDEX('S-Curve'!$B$7:$B$86,73)</f>
        <v/>
      </c>
      <c r="DA5" s="173" t="str">
        <f aca="false">INDEX('S-Curve'!$B$7:$B$86,74)</f>
        <v/>
      </c>
      <c r="DB5" s="173" t="str">
        <f aca="false">INDEX('S-Curve'!$B$7:$B$86,75)</f>
        <v/>
      </c>
      <c r="DC5" s="173" t="str">
        <f aca="false">INDEX('S-Curve'!$B$7:$B$86,76)</f>
        <v/>
      </c>
      <c r="DD5" s="173" t="str">
        <f aca="false">INDEX('S-Curve'!$B$7:$B$86,77)</f>
        <v/>
      </c>
      <c r="DE5" s="173" t="str">
        <f aca="false">INDEX('S-Curve'!$B$7:$B$86,78)</f>
        <v/>
      </c>
      <c r="DF5" s="173" t="str">
        <f aca="false">INDEX('S-Curve'!$B$7:$B$86,79)</f>
        <v/>
      </c>
      <c r="DG5" s="173" t="str">
        <f aca="false">INDEX('S-Curve'!$B$7:$B$86,80)</f>
        <v/>
      </c>
    </row>
    <row r="6" customFormat="false" ht="43.5" hidden="false" customHeight="true" outlineLevel="0" collapsed="false">
      <c r="A6" s="75" t="s">
        <v>59</v>
      </c>
      <c r="B6" s="20" t="s">
        <v>651</v>
      </c>
      <c r="C6" s="20" t="s">
        <v>652</v>
      </c>
      <c r="D6" s="20" t="s">
        <v>653</v>
      </c>
      <c r="E6" s="20" t="s">
        <v>654</v>
      </c>
      <c r="F6" s="20" t="s">
        <v>655</v>
      </c>
      <c r="G6" s="20" t="s">
        <v>656</v>
      </c>
      <c r="H6" s="20" t="s">
        <v>657</v>
      </c>
      <c r="I6" s="20" t="s">
        <v>658</v>
      </c>
      <c r="J6" s="20" t="s">
        <v>659</v>
      </c>
      <c r="K6" s="20" t="s">
        <v>657</v>
      </c>
      <c r="L6" s="20" t="s">
        <v>658</v>
      </c>
      <c r="M6" s="20" t="s">
        <v>657</v>
      </c>
      <c r="N6" s="20" t="s">
        <v>658</v>
      </c>
      <c r="O6" s="75" t="s">
        <v>660</v>
      </c>
      <c r="P6" s="75" t="s">
        <v>661</v>
      </c>
      <c r="Q6" s="75" t="s">
        <v>662</v>
      </c>
      <c r="R6" s="75" t="s">
        <v>663</v>
      </c>
      <c r="S6" s="75" t="s">
        <v>664</v>
      </c>
      <c r="T6" s="75" t="s">
        <v>665</v>
      </c>
      <c r="U6" s="75" t="s">
        <v>416</v>
      </c>
      <c r="V6" s="20" t="s">
        <v>666</v>
      </c>
      <c r="W6" s="20" t="s">
        <v>667</v>
      </c>
      <c r="X6" s="20" t="s">
        <v>463</v>
      </c>
      <c r="Y6" s="20" t="s">
        <v>668</v>
      </c>
      <c r="Z6" s="75" t="s">
        <v>669</v>
      </c>
      <c r="AA6" s="75" t="s">
        <v>670</v>
      </c>
      <c r="AB6" s="75" t="s">
        <v>671</v>
      </c>
      <c r="AC6" s="75" t="s">
        <v>672</v>
      </c>
      <c r="AD6" s="75" t="s">
        <v>673</v>
      </c>
      <c r="AF6" s="174" t="n">
        <f aca="false">INDEX('S-Curve'!$C$7:$C$86,1)</f>
        <v>46073</v>
      </c>
      <c r="AG6" s="174" t="n">
        <f aca="false">INDEX('S-Curve'!$C$7:$C$86,2)</f>
        <v>46081</v>
      </c>
      <c r="AH6" s="174" t="n">
        <f aca="false">INDEX('S-Curve'!$C$7:$C$86,3)</f>
        <v>46091</v>
      </c>
      <c r="AI6" s="174" t="n">
        <f aca="false">INDEX('S-Curve'!$C$7:$C$86,4)</f>
        <v>46101</v>
      </c>
      <c r="AJ6" s="174" t="n">
        <f aca="false">INDEX('S-Curve'!$C$7:$C$86,5)</f>
        <v>46112</v>
      </c>
      <c r="AK6" s="174" t="n">
        <f aca="false">INDEX('S-Curve'!$C$7:$C$86,6)</f>
        <v>46122</v>
      </c>
      <c r="AL6" s="174" t="n">
        <f aca="false">INDEX('S-Curve'!$C$7:$C$86,7)</f>
        <v>46132</v>
      </c>
      <c r="AM6" s="174" t="n">
        <f aca="false">INDEX('S-Curve'!$C$7:$C$86,8)</f>
        <v>46142</v>
      </c>
      <c r="AN6" s="174" t="n">
        <f aca="false">INDEX('S-Curve'!$C$7:$C$86,9)</f>
        <v>46152</v>
      </c>
      <c r="AO6" s="174" t="n">
        <f aca="false">INDEX('S-Curve'!$C$7:$C$86,10)</f>
        <v>46162</v>
      </c>
      <c r="AP6" s="174" t="n">
        <f aca="false">INDEX('S-Curve'!$C$7:$C$86,11)</f>
        <v>46173</v>
      </c>
      <c r="AQ6" s="174" t="n">
        <f aca="false">INDEX('S-Curve'!$C$7:$C$86,12)</f>
        <v>46183</v>
      </c>
      <c r="AR6" s="174" t="n">
        <f aca="false">INDEX('S-Curve'!$C$7:$C$86,13)</f>
        <v>46193</v>
      </c>
      <c r="AS6" s="174" t="n">
        <f aca="false">INDEX('S-Curve'!$C$7:$C$86,14)</f>
        <v>46203</v>
      </c>
      <c r="AT6" s="174" t="n">
        <f aca="false">INDEX('S-Curve'!$C$7:$C$86,15)</f>
        <v>46213</v>
      </c>
      <c r="AU6" s="174" t="n">
        <f aca="false">INDEX('S-Curve'!$C$7:$C$86,16)</f>
        <v>46223</v>
      </c>
      <c r="AV6" s="174" t="n">
        <f aca="false">INDEX('S-Curve'!$C$7:$C$86,17)</f>
        <v>46234</v>
      </c>
      <c r="AW6" s="174" t="n">
        <f aca="false">INDEX('S-Curve'!$C$7:$C$86,18)</f>
        <v>46244</v>
      </c>
      <c r="AX6" s="174" t="n">
        <f aca="false">INDEX('S-Curve'!$C$7:$C$86,19)</f>
        <v>46254</v>
      </c>
      <c r="AY6" s="174" t="n">
        <f aca="false">INDEX('S-Curve'!$C$7:$C$86,20)</f>
        <v>46265</v>
      </c>
      <c r="AZ6" s="174" t="n">
        <f aca="false">INDEX('S-Curve'!$C$7:$C$86,21)</f>
        <v>46275</v>
      </c>
      <c r="BA6" s="174" t="n">
        <f aca="false">INDEX('S-Curve'!$C$7:$C$86,22)</f>
        <v>46285</v>
      </c>
      <c r="BB6" s="174" t="n">
        <f aca="false">INDEX('S-Curve'!$C$7:$C$86,23)</f>
        <v>46295</v>
      </c>
      <c r="BC6" s="174" t="n">
        <f aca="false">INDEX('S-Curve'!$C$7:$C$86,24)</f>
        <v>46305</v>
      </c>
      <c r="BD6" s="174" t="n">
        <f aca="false">INDEX('S-Curve'!$C$7:$C$86,25)</f>
        <v>46315</v>
      </c>
      <c r="BE6" s="174" t="n">
        <f aca="false">INDEX('S-Curve'!$C$7:$C$86,26)</f>
        <v>46326</v>
      </c>
      <c r="BF6" s="174" t="n">
        <f aca="false">INDEX('S-Curve'!$C$7:$C$86,27)</f>
        <v>46336</v>
      </c>
      <c r="BG6" s="174" t="n">
        <f aca="false">INDEX('S-Curve'!$C$7:$C$86,28)</f>
        <v>46346</v>
      </c>
      <c r="BH6" s="174" t="str">
        <f aca="false">INDEX('S-Curve'!$C$7:$C$86,29)</f>
        <v/>
      </c>
      <c r="BI6" s="174" t="str">
        <f aca="false">INDEX('S-Curve'!$C$7:$C$86,30)</f>
        <v/>
      </c>
      <c r="BJ6" s="174" t="str">
        <f aca="false">INDEX('S-Curve'!$C$7:$C$86,31)</f>
        <v/>
      </c>
      <c r="BK6" s="174" t="str">
        <f aca="false">INDEX('S-Curve'!$C$7:$C$86,32)</f>
        <v/>
      </c>
      <c r="BL6" s="174" t="str">
        <f aca="false">INDEX('S-Curve'!$C$7:$C$86,33)</f>
        <v/>
      </c>
      <c r="BM6" s="174" t="str">
        <f aca="false">INDEX('S-Curve'!$C$7:$C$86,34)</f>
        <v/>
      </c>
      <c r="BN6" s="174" t="str">
        <f aca="false">INDEX('S-Curve'!$C$7:$C$86,35)</f>
        <v/>
      </c>
      <c r="BO6" s="174" t="str">
        <f aca="false">INDEX('S-Curve'!$C$7:$C$86,36)</f>
        <v/>
      </c>
      <c r="BP6" s="174" t="str">
        <f aca="false">INDEX('S-Curve'!$C$7:$C$86,37)</f>
        <v/>
      </c>
      <c r="BQ6" s="174" t="str">
        <f aca="false">INDEX('S-Curve'!$C$7:$C$86,38)</f>
        <v/>
      </c>
      <c r="BR6" s="174" t="str">
        <f aca="false">INDEX('S-Curve'!$C$7:$C$86,39)</f>
        <v/>
      </c>
      <c r="BS6" s="174" t="str">
        <f aca="false">INDEX('S-Curve'!$C$7:$C$86,40)</f>
        <v/>
      </c>
      <c r="BT6" s="174" t="str">
        <f aca="false">INDEX('S-Curve'!$C$7:$C$86,41)</f>
        <v/>
      </c>
      <c r="BU6" s="174" t="str">
        <f aca="false">INDEX('S-Curve'!$C$7:$C$86,42)</f>
        <v/>
      </c>
      <c r="BV6" s="174" t="str">
        <f aca="false">INDEX('S-Curve'!$C$7:$C$86,43)</f>
        <v/>
      </c>
      <c r="BW6" s="174" t="str">
        <f aca="false">INDEX('S-Curve'!$C$7:$C$86,44)</f>
        <v/>
      </c>
      <c r="BX6" s="174" t="str">
        <f aca="false">INDEX('S-Curve'!$C$7:$C$86,45)</f>
        <v/>
      </c>
      <c r="BY6" s="174" t="str">
        <f aca="false">INDEX('S-Curve'!$C$7:$C$86,46)</f>
        <v/>
      </c>
      <c r="BZ6" s="174" t="str">
        <f aca="false">INDEX('S-Curve'!$C$7:$C$86,47)</f>
        <v/>
      </c>
      <c r="CA6" s="174" t="str">
        <f aca="false">INDEX('S-Curve'!$C$7:$C$86,48)</f>
        <v/>
      </c>
      <c r="CB6" s="174" t="str">
        <f aca="false">INDEX('S-Curve'!$C$7:$C$86,49)</f>
        <v/>
      </c>
      <c r="CC6" s="174" t="str">
        <f aca="false">INDEX('S-Curve'!$C$7:$C$86,50)</f>
        <v/>
      </c>
      <c r="CD6" s="174" t="str">
        <f aca="false">INDEX('S-Curve'!$C$7:$C$86,51)</f>
        <v/>
      </c>
      <c r="CE6" s="174" t="str">
        <f aca="false">INDEX('S-Curve'!$C$7:$C$86,52)</f>
        <v/>
      </c>
      <c r="CF6" s="174" t="str">
        <f aca="false">INDEX('S-Curve'!$C$7:$C$86,53)</f>
        <v/>
      </c>
      <c r="CG6" s="174" t="str">
        <f aca="false">INDEX('S-Curve'!$C$7:$C$86,54)</f>
        <v/>
      </c>
      <c r="CH6" s="174" t="str">
        <f aca="false">INDEX('S-Curve'!$C$7:$C$86,55)</f>
        <v/>
      </c>
      <c r="CI6" s="174" t="str">
        <f aca="false">INDEX('S-Curve'!$C$7:$C$86,56)</f>
        <v/>
      </c>
      <c r="CJ6" s="174" t="str">
        <f aca="false">INDEX('S-Curve'!$C$7:$C$86,57)</f>
        <v/>
      </c>
      <c r="CK6" s="174" t="str">
        <f aca="false">INDEX('S-Curve'!$C$7:$C$86,58)</f>
        <v/>
      </c>
      <c r="CL6" s="174" t="str">
        <f aca="false">INDEX('S-Curve'!$C$7:$C$86,59)</f>
        <v/>
      </c>
      <c r="CM6" s="174" t="str">
        <f aca="false">INDEX('S-Curve'!$C$7:$C$86,60)</f>
        <v/>
      </c>
      <c r="CN6" s="174" t="str">
        <f aca="false">INDEX('S-Curve'!$C$7:$C$86,61)</f>
        <v/>
      </c>
      <c r="CO6" s="174" t="str">
        <f aca="false">INDEX('S-Curve'!$C$7:$C$86,62)</f>
        <v/>
      </c>
      <c r="CP6" s="174" t="str">
        <f aca="false">INDEX('S-Curve'!$C$7:$C$86,63)</f>
        <v/>
      </c>
      <c r="CQ6" s="174" t="str">
        <f aca="false">INDEX('S-Curve'!$C$7:$C$86,64)</f>
        <v/>
      </c>
      <c r="CR6" s="174" t="str">
        <f aca="false">INDEX('S-Curve'!$C$7:$C$86,65)</f>
        <v/>
      </c>
      <c r="CS6" s="174" t="str">
        <f aca="false">INDEX('S-Curve'!$C$7:$C$86,66)</f>
        <v/>
      </c>
      <c r="CT6" s="174" t="str">
        <f aca="false">INDEX('S-Curve'!$C$7:$C$86,67)</f>
        <v/>
      </c>
      <c r="CU6" s="174" t="str">
        <f aca="false">INDEX('S-Curve'!$C$7:$C$86,68)</f>
        <v/>
      </c>
      <c r="CV6" s="174" t="str">
        <f aca="false">INDEX('S-Curve'!$C$7:$C$86,69)</f>
        <v/>
      </c>
      <c r="CW6" s="174" t="str">
        <f aca="false">INDEX('S-Curve'!$C$7:$C$86,70)</f>
        <v/>
      </c>
      <c r="CX6" s="174" t="str">
        <f aca="false">INDEX('S-Curve'!$C$7:$C$86,71)</f>
        <v/>
      </c>
      <c r="CY6" s="174" t="str">
        <f aca="false">INDEX('S-Curve'!$C$7:$C$86,72)</f>
        <v/>
      </c>
      <c r="CZ6" s="174" t="str">
        <f aca="false">INDEX('S-Curve'!$C$7:$C$86,73)</f>
        <v/>
      </c>
      <c r="DA6" s="174" t="str">
        <f aca="false">INDEX('S-Curve'!$C$7:$C$86,74)</f>
        <v/>
      </c>
      <c r="DB6" s="174" t="str">
        <f aca="false">INDEX('S-Curve'!$C$7:$C$86,75)</f>
        <v/>
      </c>
      <c r="DC6" s="174" t="str">
        <f aca="false">INDEX('S-Curve'!$C$7:$C$86,76)</f>
        <v/>
      </c>
      <c r="DD6" s="174" t="str">
        <f aca="false">INDEX('S-Curve'!$C$7:$C$86,77)</f>
        <v/>
      </c>
      <c r="DE6" s="174" t="str">
        <f aca="false">INDEX('S-Curve'!$C$7:$C$86,78)</f>
        <v/>
      </c>
      <c r="DF6" s="174" t="str">
        <f aca="false">INDEX('S-Curve'!$C$7:$C$86,79)</f>
        <v/>
      </c>
      <c r="DG6" s="174" t="str">
        <f aca="false">INDEX('S-Curve'!$C$7:$C$86,80)</f>
        <v/>
      </c>
    </row>
    <row r="7" customFormat="false" ht="25.35" hidden="false" customHeight="false" outlineLevel="0" collapsed="false">
      <c r="A7" s="106" t="str">
        <f aca="false">IF(OR(B7="",C7=""),"",IFERROR(MATCH(B7,'ตั้งค่า Setup'!$C$26:$C$65,0)&amp;"."&amp;COUNTIF(B$7:B7,B7),"?"))</f>
        <v>1.1</v>
      </c>
      <c r="B7" s="35" t="s">
        <v>240</v>
      </c>
      <c r="C7" s="35" t="s">
        <v>674</v>
      </c>
      <c r="D7" s="25" t="n">
        <v>95160</v>
      </c>
      <c r="E7" s="102" t="n">
        <v>0.0403</v>
      </c>
      <c r="F7" s="104" t="n">
        <f aca="false">IF(C7="",0,IF(E7&lt;&gt;"",E7,IF(SUM($D$7:$D$66)&gt;0,N(D7)/SUM($D$7:$D$66),0)))</f>
        <v>0.0403</v>
      </c>
      <c r="G7" s="175" t="n">
        <f aca="false">IF(C7="","",F7*'ตั้งค่า Setup'!$C$9)</f>
        <v>487952.4</v>
      </c>
      <c r="H7" s="27" t="n">
        <v>46072</v>
      </c>
      <c r="I7" s="27" t="n">
        <v>46087</v>
      </c>
      <c r="J7" s="106" t="n">
        <f aca="false">IF(OR(H7="",I7=""),"",I7-H7+1)</f>
        <v>16</v>
      </c>
      <c r="K7" s="27"/>
      <c r="L7" s="27"/>
      <c r="M7" s="27"/>
      <c r="N7" s="27"/>
      <c r="O7" s="102"/>
      <c r="P7" s="104" t="n">
        <f aca="false">IF(OR(C7="",H7="",I7=""),"",MAX(0,MIN(1,('ตั้งค่า Setup'!$C$15-H7+1)/(I7-H7+1))))</f>
        <v>1</v>
      </c>
      <c r="Q7" s="104" t="n">
        <f aca="false">IF(OR(C7="",Z7=0),"",MAX(0,MIN(1,('ตั้งค่า Setup'!$C$15-Z7+1)/(AA7-Z7+1))))</f>
        <v>1</v>
      </c>
      <c r="R7" s="175" t="n">
        <f aca="false">IF(P7="","",G7*P7)</f>
        <v>487952.4</v>
      </c>
      <c r="S7" s="175" t="n">
        <f aca="false">IF(C7="","",G7*N(O7))</f>
        <v>0</v>
      </c>
      <c r="T7" s="175" t="n">
        <f aca="false">IF(OR(R7="",S7=""),"",S7-R7)</f>
        <v>-487952.4</v>
      </c>
      <c r="U7" s="176" t="n">
        <f aca="false">IF(OR(R7="",S7=""),"",IF(R7=0,"",S7/R7))</f>
        <v>0</v>
      </c>
      <c r="V7" s="115" t="n">
        <f aca="false">IF(OR(C7="",Z7=0),"",IF(N7&lt;&gt;"",N7,IF(AND(N(O7)&gt;0,M7&lt;&gt;""),M7+ROUND((MAX('ตั้งค่า Setup'!$C$15,M7)-M7+1)/O7,0)-1,MAX(AA7,'ตั้งค่า Setup'!$C$15+AA7-Z7))))</f>
        <v>46308</v>
      </c>
      <c r="W7" s="177" t="n">
        <f aca="false">IF(OR(V7="",I7=""),"",V7-I7)</f>
        <v>221</v>
      </c>
      <c r="X7" s="106" t="str">
        <f aca="false">IF(OR(C7="",H7="",I7=""),"",IF(N7&lt;&gt;"",IF(N7&lt;=I7,"เสร็จ / Completed","เสร็จช้า / Completed Late"),IF(AND(M7="",'ตั้งค่า Setup'!$C$15&lt;Z7),"ยังไม่ถึงกำหนด / Not Due",IF(N(O7)&gt;=P7,"ตามแผน / On Track",IF('ตั้งค่า Setup'!$C$15&gt;I7,"เกินกำหนด / Overdue","ล่าช้า / Behind")))))</f>
        <v>เกินกำหนด / Overdue</v>
      </c>
      <c r="Y7" s="35"/>
      <c r="Z7" s="178" t="n">
        <f aca="false">IF(C7="",0,IF(K7&lt;&gt;"",K7,N(H7)))</f>
        <v>46072</v>
      </c>
      <c r="AA7" s="178" t="n">
        <f aca="false">IF(C7="",0,IF(L7&lt;&gt;"",L7,N(I7)))</f>
        <v>46087</v>
      </c>
      <c r="AB7" s="179" t="n">
        <f aca="false">IF(AND(C7&lt;&gt;"",N7="",ISNUMBER(W7)),W7+(1000-ROW())/1000000,"")</f>
        <v>221.000993</v>
      </c>
      <c r="AC7" s="179" t="n">
        <f aca="false">IF(AND(C7&lt;&gt;"",N7="",Z7&gt;0,Z7&lt;='ตั้งค่า Setup'!$C$15+'ตั้งค่า Setup'!$C$20),1,0)</f>
        <v>1</v>
      </c>
      <c r="AD7" s="179" t="n">
        <f aca="false">IF(AC7=1,SUM(AC$7:AC7),"")</f>
        <v>1</v>
      </c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  <c r="BQ7" s="180"/>
      <c r="BR7" s="180"/>
      <c r="BS7" s="180"/>
      <c r="BT7" s="180"/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80"/>
      <c r="CF7" s="180"/>
      <c r="CG7" s="180"/>
      <c r="CH7" s="180"/>
      <c r="CI7" s="180"/>
      <c r="CJ7" s="180"/>
      <c r="CK7" s="180"/>
      <c r="CL7" s="180"/>
      <c r="CM7" s="180"/>
      <c r="CN7" s="180"/>
      <c r="CO7" s="180"/>
      <c r="CP7" s="180"/>
      <c r="CQ7" s="180"/>
      <c r="CR7" s="180"/>
      <c r="CS7" s="180"/>
      <c r="CT7" s="180"/>
      <c r="CU7" s="180"/>
      <c r="CV7" s="180"/>
      <c r="CW7" s="180"/>
      <c r="CX7" s="180"/>
      <c r="CY7" s="180"/>
      <c r="CZ7" s="180"/>
      <c r="DA7" s="180"/>
      <c r="DB7" s="180"/>
      <c r="DC7" s="180"/>
      <c r="DD7" s="180"/>
      <c r="DE7" s="180"/>
      <c r="DF7" s="180"/>
      <c r="DG7" s="180"/>
    </row>
    <row r="8" customFormat="false" ht="25.35" hidden="false" customHeight="false" outlineLevel="0" collapsed="false">
      <c r="A8" s="106" t="str">
        <f aca="false">IF(OR(B8="",C8=""),"",IFERROR(MATCH(B8,'ตั้งค่า Setup'!$C$26:$C$65,0)&amp;"."&amp;COUNTIF(B$7:B8,B8),"?"))</f>
        <v>1.2</v>
      </c>
      <c r="B8" s="35" t="s">
        <v>240</v>
      </c>
      <c r="C8" s="35" t="s">
        <v>675</v>
      </c>
      <c r="D8" s="25" t="n">
        <v>238144</v>
      </c>
      <c r="E8" s="102" t="n">
        <v>0.0195</v>
      </c>
      <c r="F8" s="104" t="n">
        <f aca="false">IF(C8="",0,IF(E8&lt;&gt;"",E8,IF(SUM($D$7:$D$66)&gt;0,N(D8)/SUM($D$7:$D$66),0)))</f>
        <v>0.0195</v>
      </c>
      <c r="G8" s="175" t="n">
        <f aca="false">IF(C8="","",F8*'ตั้งค่า Setup'!$C$9)</f>
        <v>236106</v>
      </c>
      <c r="H8" s="27" t="n">
        <v>46083</v>
      </c>
      <c r="I8" s="27" t="n">
        <v>46127</v>
      </c>
      <c r="J8" s="106" t="n">
        <f aca="false">IF(OR(H8="",I8=""),"",I8-H8+1)</f>
        <v>45</v>
      </c>
      <c r="K8" s="27"/>
      <c r="L8" s="27"/>
      <c r="M8" s="27"/>
      <c r="N8" s="27"/>
      <c r="O8" s="102"/>
      <c r="P8" s="104" t="n">
        <f aca="false">IF(OR(C8="",H8="",I8=""),"",MAX(0,MIN(1,('ตั้งค่า Setup'!$C$15-H8+1)/(I8-H8+1))))</f>
        <v>1</v>
      </c>
      <c r="Q8" s="104" t="n">
        <f aca="false">IF(OR(C8="",Z8=0),"",MAX(0,MIN(1,('ตั้งค่า Setup'!$C$15-Z8+1)/(AA8-Z8+1))))</f>
        <v>1</v>
      </c>
      <c r="R8" s="175" t="n">
        <f aca="false">IF(P8="","",G8*P8)</f>
        <v>236106</v>
      </c>
      <c r="S8" s="175" t="n">
        <f aca="false">IF(C8="","",G8*N(O8))</f>
        <v>0</v>
      </c>
      <c r="T8" s="175" t="n">
        <f aca="false">IF(OR(R8="",S8=""),"",S8-R8)</f>
        <v>-236106</v>
      </c>
      <c r="U8" s="176" t="n">
        <f aca="false">IF(OR(R8="",S8=""),"",IF(R8=0,"",S8/R8))</f>
        <v>0</v>
      </c>
      <c r="V8" s="115" t="n">
        <f aca="false">IF(OR(C8="",Z8=0),"",IF(N8&lt;&gt;"",N8,IF(AND(N(O8)&gt;0,M8&lt;&gt;""),M8+ROUND((MAX('ตั้งค่า Setup'!$C$15,M8)-M8+1)/O8,0)-1,MAX(AA8,'ตั้งค่า Setup'!$C$15+AA8-Z8))))</f>
        <v>46337</v>
      </c>
      <c r="W8" s="177" t="n">
        <f aca="false">IF(OR(V8="",I8=""),"",V8-I8)</f>
        <v>210</v>
      </c>
      <c r="X8" s="106" t="str">
        <f aca="false">IF(OR(C8="",H8="",I8=""),"",IF(N8&lt;&gt;"",IF(N8&lt;=I8,"เสร็จ / Completed","เสร็จช้า / Completed Late"),IF(AND(M8="",'ตั้งค่า Setup'!$C$15&lt;Z8),"ยังไม่ถึงกำหนด / Not Due",IF(N(O8)&gt;=P8,"ตามแผน / On Track",IF('ตั้งค่า Setup'!$C$15&gt;I8,"เกินกำหนด / Overdue","ล่าช้า / Behind")))))</f>
        <v>เกินกำหนด / Overdue</v>
      </c>
      <c r="Y8" s="35"/>
      <c r="Z8" s="178" t="n">
        <f aca="false">IF(C8="",0,IF(K8&lt;&gt;"",K8,N(H8)))</f>
        <v>46083</v>
      </c>
      <c r="AA8" s="178" t="n">
        <f aca="false">IF(C8="",0,IF(L8&lt;&gt;"",L8,N(I8)))</f>
        <v>46127</v>
      </c>
      <c r="AB8" s="179" t="n">
        <f aca="false">IF(AND(C8&lt;&gt;"",N8="",ISNUMBER(W8)),W8+(1000-ROW())/1000000,"")</f>
        <v>210.000992</v>
      </c>
      <c r="AC8" s="179" t="n">
        <f aca="false">IF(AND(C8&lt;&gt;"",N8="",Z8&gt;0,Z8&lt;='ตั้งค่า Setup'!$C$15+'ตั้งค่า Setup'!$C$20),1,0)</f>
        <v>1</v>
      </c>
      <c r="AD8" s="179" t="n">
        <f aca="false">IF(AC8=1,SUM(AC$7:AC8),"")</f>
        <v>2</v>
      </c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0"/>
      <c r="BG8" s="180"/>
      <c r="BH8" s="180"/>
      <c r="BI8" s="180"/>
      <c r="BJ8" s="180"/>
      <c r="BK8" s="180"/>
      <c r="BL8" s="180"/>
      <c r="BM8" s="180"/>
      <c r="BN8" s="180"/>
      <c r="BO8" s="180"/>
      <c r="BP8" s="180"/>
      <c r="BQ8" s="180"/>
      <c r="BR8" s="180"/>
      <c r="BS8" s="180"/>
      <c r="BT8" s="180"/>
      <c r="BU8" s="180"/>
      <c r="BV8" s="180"/>
      <c r="BW8" s="180"/>
      <c r="BX8" s="180"/>
      <c r="BY8" s="180"/>
      <c r="BZ8" s="180"/>
      <c r="CA8" s="180"/>
      <c r="CB8" s="180"/>
      <c r="CC8" s="180"/>
      <c r="CD8" s="180"/>
      <c r="CE8" s="180"/>
      <c r="CF8" s="180"/>
      <c r="CG8" s="180"/>
      <c r="CH8" s="180"/>
      <c r="CI8" s="180"/>
      <c r="CJ8" s="180"/>
      <c r="CK8" s="180"/>
      <c r="CL8" s="180"/>
      <c r="CM8" s="180"/>
      <c r="CN8" s="180"/>
      <c r="CO8" s="180"/>
      <c r="CP8" s="180"/>
      <c r="CQ8" s="180"/>
      <c r="CR8" s="180"/>
      <c r="CS8" s="180"/>
      <c r="CT8" s="180"/>
      <c r="CU8" s="180"/>
      <c r="CV8" s="180"/>
      <c r="CW8" s="180"/>
      <c r="CX8" s="180"/>
      <c r="CY8" s="180"/>
      <c r="CZ8" s="180"/>
      <c r="DA8" s="180"/>
      <c r="DB8" s="180"/>
      <c r="DC8" s="180"/>
      <c r="DD8" s="180"/>
      <c r="DE8" s="180"/>
      <c r="DF8" s="180"/>
      <c r="DG8" s="180"/>
    </row>
    <row r="9" customFormat="false" ht="25.35" hidden="false" customHeight="false" outlineLevel="0" collapsed="false">
      <c r="A9" s="106" t="str">
        <f aca="false">IF(OR(B9="",C9=""),"",IFERROR(MATCH(B9,'ตั้งค่า Setup'!$C$26:$C$65,0)&amp;"."&amp;COUNTIF(B$7:B9,B9),"?"))</f>
        <v>1.3</v>
      </c>
      <c r="B9" s="35" t="s">
        <v>240</v>
      </c>
      <c r="C9" s="35" t="s">
        <v>676</v>
      </c>
      <c r="D9" s="25" t="n">
        <v>333792</v>
      </c>
      <c r="E9" s="102" t="n">
        <v>0.0213</v>
      </c>
      <c r="F9" s="104" t="n">
        <f aca="false">IF(C9="",0,IF(E9&lt;&gt;"",E9,IF(SUM($D$7:$D$66)&gt;0,N(D9)/SUM($D$7:$D$66),0)))</f>
        <v>0.0213</v>
      </c>
      <c r="G9" s="175" t="n">
        <f aca="false">IF(C9="","",F9*'ตั้งค่า Setup'!$C$9)</f>
        <v>257900.4</v>
      </c>
      <c r="H9" s="27" t="n">
        <v>46092</v>
      </c>
      <c r="I9" s="27" t="n">
        <v>46132</v>
      </c>
      <c r="J9" s="106" t="n">
        <f aca="false">IF(OR(H9="",I9=""),"",I9-H9+1)</f>
        <v>41</v>
      </c>
      <c r="K9" s="27"/>
      <c r="L9" s="27"/>
      <c r="M9" s="27"/>
      <c r="N9" s="27"/>
      <c r="O9" s="102"/>
      <c r="P9" s="104" t="n">
        <f aca="false">IF(OR(C9="",H9="",I9=""),"",MAX(0,MIN(1,('ตั้งค่า Setup'!$C$15-H9+1)/(I9-H9+1))))</f>
        <v>1</v>
      </c>
      <c r="Q9" s="104" t="n">
        <f aca="false">IF(OR(C9="",Z9=0),"",MAX(0,MIN(1,('ตั้งค่า Setup'!$C$15-Z9+1)/(AA9-Z9+1))))</f>
        <v>1</v>
      </c>
      <c r="R9" s="175" t="n">
        <f aca="false">IF(P9="","",G9*P9)</f>
        <v>257900.4</v>
      </c>
      <c r="S9" s="175" t="n">
        <f aca="false">IF(C9="","",G9*N(O9))</f>
        <v>0</v>
      </c>
      <c r="T9" s="175" t="n">
        <f aca="false">IF(OR(R9="",S9=""),"",S9-R9)</f>
        <v>-257900.4</v>
      </c>
      <c r="U9" s="176" t="n">
        <f aca="false">IF(OR(R9="",S9=""),"",IF(R9=0,"",S9/R9))</f>
        <v>0</v>
      </c>
      <c r="V9" s="115" t="n">
        <f aca="false">IF(OR(C9="",Z9=0),"",IF(N9&lt;&gt;"",N9,IF(AND(N(O9)&gt;0,M9&lt;&gt;""),M9+ROUND((MAX('ตั้งค่า Setup'!$C$15,M9)-M9+1)/O9,0)-1,MAX(AA9,'ตั้งค่า Setup'!$C$15+AA9-Z9))))</f>
        <v>46333</v>
      </c>
      <c r="W9" s="177" t="n">
        <f aca="false">IF(OR(V9="",I9=""),"",V9-I9)</f>
        <v>201</v>
      </c>
      <c r="X9" s="106" t="str">
        <f aca="false">IF(OR(C9="",H9="",I9=""),"",IF(N9&lt;&gt;"",IF(N9&lt;=I9,"เสร็จ / Completed","เสร็จช้า / Completed Late"),IF(AND(M9="",'ตั้งค่า Setup'!$C$15&lt;Z9),"ยังไม่ถึงกำหนด / Not Due",IF(N(O9)&gt;=P9,"ตามแผน / On Track",IF('ตั้งค่า Setup'!$C$15&gt;I9,"เกินกำหนด / Overdue","ล่าช้า / Behind")))))</f>
        <v>เกินกำหนด / Overdue</v>
      </c>
      <c r="Y9" s="35"/>
      <c r="Z9" s="178" t="n">
        <f aca="false">IF(C9="",0,IF(K9&lt;&gt;"",K9,N(H9)))</f>
        <v>46092</v>
      </c>
      <c r="AA9" s="178" t="n">
        <f aca="false">IF(C9="",0,IF(L9&lt;&gt;"",L9,N(I9)))</f>
        <v>46132</v>
      </c>
      <c r="AB9" s="179" t="n">
        <f aca="false">IF(AND(C9&lt;&gt;"",N9="",ISNUMBER(W9)),W9+(1000-ROW())/1000000,"")</f>
        <v>201.000991</v>
      </c>
      <c r="AC9" s="179" t="n">
        <f aca="false">IF(AND(C9&lt;&gt;"",N9="",Z9&gt;0,Z9&lt;='ตั้งค่า Setup'!$C$15+'ตั้งค่า Setup'!$C$20),1,0)</f>
        <v>1</v>
      </c>
      <c r="AD9" s="179" t="n">
        <f aca="false">IF(AC9=1,SUM(AC$7:AC9),"")</f>
        <v>3</v>
      </c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/>
      <c r="BO9" s="180"/>
      <c r="BP9" s="180"/>
      <c r="BQ9" s="180"/>
      <c r="BR9" s="180"/>
      <c r="BS9" s="180"/>
      <c r="BT9" s="180"/>
      <c r="BU9" s="180"/>
      <c r="BV9" s="180"/>
      <c r="BW9" s="180"/>
      <c r="BX9" s="180"/>
      <c r="BY9" s="180"/>
      <c r="BZ9" s="180"/>
      <c r="CA9" s="180"/>
      <c r="CB9" s="180"/>
      <c r="CC9" s="180"/>
      <c r="CD9" s="180"/>
      <c r="CE9" s="180"/>
      <c r="CF9" s="180"/>
      <c r="CG9" s="180"/>
      <c r="CH9" s="180"/>
      <c r="CI9" s="180"/>
      <c r="CJ9" s="180"/>
      <c r="CK9" s="180"/>
      <c r="CL9" s="180"/>
      <c r="CM9" s="180"/>
      <c r="CN9" s="180"/>
      <c r="CO9" s="180"/>
      <c r="CP9" s="180"/>
      <c r="CQ9" s="180"/>
      <c r="CR9" s="180"/>
      <c r="CS9" s="180"/>
      <c r="CT9" s="180"/>
      <c r="CU9" s="180"/>
      <c r="CV9" s="180"/>
      <c r="CW9" s="180"/>
      <c r="CX9" s="180"/>
      <c r="CY9" s="180"/>
      <c r="CZ9" s="180"/>
      <c r="DA9" s="180"/>
      <c r="DB9" s="180"/>
      <c r="DC9" s="180"/>
      <c r="DD9" s="180"/>
      <c r="DE9" s="180"/>
      <c r="DF9" s="180"/>
      <c r="DG9" s="180"/>
    </row>
    <row r="10" customFormat="false" ht="25.35" hidden="false" customHeight="false" outlineLevel="0" collapsed="false">
      <c r="A10" s="106" t="str">
        <f aca="false">IF(OR(B10="",C10=""),"",IFERROR(MATCH(B10,'ตั้งค่า Setup'!$C$26:$C$65,0)&amp;"."&amp;COUNTIF(B$7:B10,B10),"?"))</f>
        <v>2.1</v>
      </c>
      <c r="B10" s="35" t="s">
        <v>243</v>
      </c>
      <c r="C10" s="35" t="s">
        <v>677</v>
      </c>
      <c r="D10" s="25" t="n">
        <v>238144</v>
      </c>
      <c r="E10" s="102" t="n">
        <v>0.095</v>
      </c>
      <c r="F10" s="104" t="n">
        <f aca="false">IF(C10="",0,IF(E10&lt;&gt;"",E10,IF(SUM($D$7:$D$66)&gt;0,N(D10)/SUM($D$7:$D$66),0)))</f>
        <v>0.095</v>
      </c>
      <c r="G10" s="175" t="n">
        <f aca="false">IF(C10="","",F10*'ตั้งค่า Setup'!$C$9)</f>
        <v>1150260</v>
      </c>
      <c r="H10" s="27" t="n">
        <v>46096</v>
      </c>
      <c r="I10" s="27" t="n">
        <v>46142</v>
      </c>
      <c r="J10" s="106" t="n">
        <f aca="false">IF(OR(H10="",I10=""),"",I10-H10+1)</f>
        <v>47</v>
      </c>
      <c r="K10" s="27"/>
      <c r="L10" s="27"/>
      <c r="M10" s="27"/>
      <c r="N10" s="27"/>
      <c r="O10" s="102"/>
      <c r="P10" s="104" t="n">
        <f aca="false">IF(OR(C10="",H10="",I10=""),"",MAX(0,MIN(1,('ตั้งค่า Setup'!$C$15-H10+1)/(I10-H10+1))))</f>
        <v>1</v>
      </c>
      <c r="Q10" s="104" t="n">
        <f aca="false">IF(OR(C10="",Z10=0),"",MAX(0,MIN(1,('ตั้งค่า Setup'!$C$15-Z10+1)/(AA10-Z10+1))))</f>
        <v>1</v>
      </c>
      <c r="R10" s="175" t="n">
        <f aca="false">IF(P10="","",G10*P10)</f>
        <v>1150260</v>
      </c>
      <c r="S10" s="175" t="n">
        <f aca="false">IF(C10="","",G10*N(O10))</f>
        <v>0</v>
      </c>
      <c r="T10" s="175" t="n">
        <f aca="false">IF(OR(R10="",S10=""),"",S10-R10)</f>
        <v>-1150260</v>
      </c>
      <c r="U10" s="176" t="n">
        <f aca="false">IF(OR(R10="",S10=""),"",IF(R10=0,"",S10/R10))</f>
        <v>0</v>
      </c>
      <c r="V10" s="115" t="n">
        <f aca="false">IF(OR(C10="",Z10=0),"",IF(N10&lt;&gt;"",N10,IF(AND(N(O10)&gt;0,M10&lt;&gt;""),M10+ROUND((MAX('ตั้งค่า Setup'!$C$15,M10)-M10+1)/O10,0)-1,MAX(AA10,'ตั้งค่า Setup'!$C$15+AA10-Z10))))</f>
        <v>46339</v>
      </c>
      <c r="W10" s="177" t="n">
        <f aca="false">IF(OR(V10="",I10=""),"",V10-I10)</f>
        <v>197</v>
      </c>
      <c r="X10" s="106" t="str">
        <f aca="false">IF(OR(C10="",H10="",I10=""),"",IF(N10&lt;&gt;"",IF(N10&lt;=I10,"เสร็จ / Completed","เสร็จช้า / Completed Late"),IF(AND(M10="",'ตั้งค่า Setup'!$C$15&lt;Z10),"ยังไม่ถึงกำหนด / Not Due",IF(N(O10)&gt;=P10,"ตามแผน / On Track",IF('ตั้งค่า Setup'!$C$15&gt;I10,"เกินกำหนด / Overdue","ล่าช้า / Behind")))))</f>
        <v>เกินกำหนด / Overdue</v>
      </c>
      <c r="Y10" s="35"/>
      <c r="Z10" s="178" t="n">
        <f aca="false">IF(C10="",0,IF(K10&lt;&gt;"",K10,N(H10)))</f>
        <v>46096</v>
      </c>
      <c r="AA10" s="178" t="n">
        <f aca="false">IF(C10="",0,IF(L10&lt;&gt;"",L10,N(I10)))</f>
        <v>46142</v>
      </c>
      <c r="AB10" s="179" t="n">
        <f aca="false">IF(AND(C10&lt;&gt;"",N10="",ISNUMBER(W10)),W10+(1000-ROW())/1000000,"")</f>
        <v>197.00099</v>
      </c>
      <c r="AC10" s="179" t="n">
        <f aca="false">IF(AND(C10&lt;&gt;"",N10="",Z10&gt;0,Z10&lt;='ตั้งค่า Setup'!$C$15+'ตั้งค่า Setup'!$C$20),1,0)</f>
        <v>1</v>
      </c>
      <c r="AD10" s="179" t="n">
        <f aca="false">IF(AC10=1,SUM(AC$7:AC10),"")</f>
        <v>4</v>
      </c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  <c r="BQ10" s="180"/>
      <c r="BR10" s="180"/>
      <c r="BS10" s="180"/>
      <c r="BT10" s="180"/>
      <c r="BU10" s="180"/>
      <c r="BV10" s="180"/>
      <c r="BW10" s="180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80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  <c r="CS10" s="180"/>
      <c r="CT10" s="180"/>
      <c r="CU10" s="180"/>
      <c r="CV10" s="180"/>
      <c r="CW10" s="180"/>
      <c r="CX10" s="180"/>
      <c r="CY10" s="180"/>
      <c r="CZ10" s="180"/>
      <c r="DA10" s="180"/>
      <c r="DB10" s="180"/>
      <c r="DC10" s="180"/>
      <c r="DD10" s="180"/>
      <c r="DE10" s="180"/>
      <c r="DF10" s="180"/>
      <c r="DG10" s="180"/>
    </row>
    <row r="11" customFormat="false" ht="25.35" hidden="false" customHeight="false" outlineLevel="0" collapsed="false">
      <c r="A11" s="106" t="str">
        <f aca="false">IF(OR(B11="",C11=""),"",IFERROR(MATCH(B11,'ตั้งค่า Setup'!$C$26:$C$65,0)&amp;"."&amp;COUNTIF(B$7:B11,B11),"?"))</f>
        <v>2.2</v>
      </c>
      <c r="B11" s="35" t="s">
        <v>243</v>
      </c>
      <c r="C11" s="35" t="s">
        <v>678</v>
      </c>
      <c r="D11" s="25" t="n">
        <v>238144</v>
      </c>
      <c r="E11" s="102" t="n">
        <v>0.0622</v>
      </c>
      <c r="F11" s="104" t="n">
        <f aca="false">IF(C11="",0,IF(E11&lt;&gt;"",E11,IF(SUM($D$7:$D$66)&gt;0,N(D11)/SUM($D$7:$D$66),0)))</f>
        <v>0.0622</v>
      </c>
      <c r="G11" s="175" t="n">
        <f aca="false">IF(C11="","",F11*'ตั้งค่า Setup'!$C$9)</f>
        <v>753117.6</v>
      </c>
      <c r="H11" s="27" t="n">
        <v>46127</v>
      </c>
      <c r="I11" s="27" t="n">
        <v>46157</v>
      </c>
      <c r="J11" s="106" t="n">
        <f aca="false">IF(OR(H11="",I11=""),"",I11-H11+1)</f>
        <v>31</v>
      </c>
      <c r="K11" s="27"/>
      <c r="L11" s="27"/>
      <c r="M11" s="27"/>
      <c r="N11" s="27"/>
      <c r="O11" s="102"/>
      <c r="P11" s="104" t="n">
        <f aca="false">IF(OR(C11="",H11="",I11=""),"",MAX(0,MIN(1,('ตั้งค่า Setup'!$C$15-H11+1)/(I11-H11+1))))</f>
        <v>1</v>
      </c>
      <c r="Q11" s="104" t="n">
        <f aca="false">IF(OR(C11="",Z11=0),"",MAX(0,MIN(1,('ตั้งค่า Setup'!$C$15-Z11+1)/(AA11-Z11+1))))</f>
        <v>1</v>
      </c>
      <c r="R11" s="175" t="n">
        <f aca="false">IF(P11="","",G11*P11)</f>
        <v>753117.6</v>
      </c>
      <c r="S11" s="175" t="n">
        <f aca="false">IF(C11="","",G11*N(O11))</f>
        <v>0</v>
      </c>
      <c r="T11" s="175" t="n">
        <f aca="false">IF(OR(R11="",S11=""),"",S11-R11)</f>
        <v>-753117.6</v>
      </c>
      <c r="U11" s="176" t="n">
        <f aca="false">IF(OR(R11="",S11=""),"",IF(R11=0,"",S11/R11))</f>
        <v>0</v>
      </c>
      <c r="V11" s="115" t="n">
        <f aca="false">IF(OR(C11="",Z11=0),"",IF(N11&lt;&gt;"",N11,IF(AND(N(O11)&gt;0,M11&lt;&gt;""),M11+ROUND((MAX('ตั้งค่า Setup'!$C$15,M11)-M11+1)/O11,0)-1,MAX(AA11,'ตั้งค่า Setup'!$C$15+AA11-Z11))))</f>
        <v>46323</v>
      </c>
      <c r="W11" s="177" t="n">
        <f aca="false">IF(OR(V11="",I11=""),"",V11-I11)</f>
        <v>166</v>
      </c>
      <c r="X11" s="106" t="str">
        <f aca="false">IF(OR(C11="",H11="",I11=""),"",IF(N11&lt;&gt;"",IF(N11&lt;=I11,"เสร็จ / Completed","เสร็จช้า / Completed Late"),IF(AND(M11="",'ตั้งค่า Setup'!$C$15&lt;Z11),"ยังไม่ถึงกำหนด / Not Due",IF(N(O11)&gt;=P11,"ตามแผน / On Track",IF('ตั้งค่า Setup'!$C$15&gt;I11,"เกินกำหนด / Overdue","ล่าช้า / Behind")))))</f>
        <v>เกินกำหนด / Overdue</v>
      </c>
      <c r="Y11" s="35"/>
      <c r="Z11" s="178" t="n">
        <f aca="false">IF(C11="",0,IF(K11&lt;&gt;"",K11,N(H11)))</f>
        <v>46127</v>
      </c>
      <c r="AA11" s="178" t="n">
        <f aca="false">IF(C11="",0,IF(L11&lt;&gt;"",L11,N(I11)))</f>
        <v>46157</v>
      </c>
      <c r="AB11" s="179" t="n">
        <f aca="false">IF(AND(C11&lt;&gt;"",N11="",ISNUMBER(W11)),W11+(1000-ROW())/1000000,"")</f>
        <v>166.000989</v>
      </c>
      <c r="AC11" s="179" t="n">
        <f aca="false">IF(AND(C11&lt;&gt;"",N11="",Z11&gt;0,Z11&lt;='ตั้งค่า Setup'!$C$15+'ตั้งค่า Setup'!$C$20),1,0)</f>
        <v>1</v>
      </c>
      <c r="AD11" s="179" t="n">
        <f aca="false">IF(AC11=1,SUM(AC$7:AC11),"")</f>
        <v>5</v>
      </c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80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80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80"/>
      <c r="CT11" s="180"/>
      <c r="CU11" s="180"/>
      <c r="CV11" s="180"/>
      <c r="CW11" s="180"/>
      <c r="CX11" s="180"/>
      <c r="CY11" s="180"/>
      <c r="CZ11" s="180"/>
      <c r="DA11" s="180"/>
      <c r="DB11" s="180"/>
      <c r="DC11" s="180"/>
      <c r="DD11" s="180"/>
      <c r="DE11" s="180"/>
      <c r="DF11" s="180"/>
      <c r="DG11" s="180"/>
    </row>
    <row r="12" customFormat="false" ht="25.35" hidden="false" customHeight="false" outlineLevel="0" collapsed="false">
      <c r="A12" s="106" t="str">
        <f aca="false">IF(OR(B12="",C12=""),"",IFERROR(MATCH(B12,'ตั้งค่า Setup'!$C$26:$C$65,0)&amp;"."&amp;COUNTIF(B$7:B12,B12),"?"))</f>
        <v>2.3</v>
      </c>
      <c r="B12" s="35" t="s">
        <v>243</v>
      </c>
      <c r="C12" s="35" t="s">
        <v>679</v>
      </c>
      <c r="D12" s="25" t="n">
        <v>95160</v>
      </c>
      <c r="E12" s="102" t="n">
        <v>0.0639</v>
      </c>
      <c r="F12" s="104" t="n">
        <f aca="false">IF(C12="",0,IF(E12&lt;&gt;"",E12,IF(SUM($D$7:$D$66)&gt;0,N(D12)/SUM($D$7:$D$66),0)))</f>
        <v>0.0639</v>
      </c>
      <c r="G12" s="175" t="n">
        <f aca="false">IF(C12="","",F12*'ตั้งค่า Setup'!$C$9)</f>
        <v>773701.2</v>
      </c>
      <c r="H12" s="27" t="n">
        <v>46153</v>
      </c>
      <c r="I12" s="27" t="n">
        <v>46178</v>
      </c>
      <c r="J12" s="106" t="n">
        <f aca="false">IF(OR(H12="",I12=""),"",I12-H12+1)</f>
        <v>26</v>
      </c>
      <c r="K12" s="27"/>
      <c r="L12" s="27"/>
      <c r="M12" s="27"/>
      <c r="N12" s="27"/>
      <c r="O12" s="102"/>
      <c r="P12" s="104" t="n">
        <f aca="false">IF(OR(C12="",H12="",I12=""),"",MAX(0,MIN(1,('ตั้งค่า Setup'!$C$15-H12+1)/(I12-H12+1))))</f>
        <v>1</v>
      </c>
      <c r="Q12" s="104" t="n">
        <f aca="false">IF(OR(C12="",Z12=0),"",MAX(0,MIN(1,('ตั้งค่า Setup'!$C$15-Z12+1)/(AA12-Z12+1))))</f>
        <v>1</v>
      </c>
      <c r="R12" s="175" t="n">
        <f aca="false">IF(P12="","",G12*P12)</f>
        <v>773701.2</v>
      </c>
      <c r="S12" s="175" t="n">
        <f aca="false">IF(C12="","",G12*N(O12))</f>
        <v>0</v>
      </c>
      <c r="T12" s="175" t="n">
        <f aca="false">IF(OR(R12="",S12=""),"",S12-R12)</f>
        <v>-773701.2</v>
      </c>
      <c r="U12" s="176" t="n">
        <f aca="false">IF(OR(R12="",S12=""),"",IF(R12=0,"",S12/R12))</f>
        <v>0</v>
      </c>
      <c r="V12" s="115" t="n">
        <f aca="false">IF(OR(C12="",Z12=0),"",IF(N12&lt;&gt;"",N12,IF(AND(N(O12)&gt;0,M12&lt;&gt;""),M12+ROUND((MAX('ตั้งค่า Setup'!$C$15,M12)-M12+1)/O12,0)-1,MAX(AA12,'ตั้งค่า Setup'!$C$15+AA12-Z12))))</f>
        <v>46318</v>
      </c>
      <c r="W12" s="177" t="n">
        <f aca="false">IF(OR(V12="",I12=""),"",V12-I12)</f>
        <v>140</v>
      </c>
      <c r="X12" s="106" t="str">
        <f aca="false">IF(OR(C12="",H12="",I12=""),"",IF(N12&lt;&gt;"",IF(N12&lt;=I12,"เสร็จ / Completed","เสร็จช้า / Completed Late"),IF(AND(M12="",'ตั้งค่า Setup'!$C$15&lt;Z12),"ยังไม่ถึงกำหนด / Not Due",IF(N(O12)&gt;=P12,"ตามแผน / On Track",IF('ตั้งค่า Setup'!$C$15&gt;I12,"เกินกำหนด / Overdue","ล่าช้า / Behind")))))</f>
        <v>เกินกำหนด / Overdue</v>
      </c>
      <c r="Y12" s="35"/>
      <c r="Z12" s="178" t="n">
        <f aca="false">IF(C12="",0,IF(K12&lt;&gt;"",K12,N(H12)))</f>
        <v>46153</v>
      </c>
      <c r="AA12" s="178" t="n">
        <f aca="false">IF(C12="",0,IF(L12&lt;&gt;"",L12,N(I12)))</f>
        <v>46178</v>
      </c>
      <c r="AB12" s="179" t="n">
        <f aca="false">IF(AND(C12&lt;&gt;"",N12="",ISNUMBER(W12)),W12+(1000-ROW())/1000000,"")</f>
        <v>140.000988</v>
      </c>
      <c r="AC12" s="179" t="n">
        <f aca="false">IF(AND(C12&lt;&gt;"",N12="",Z12&gt;0,Z12&lt;='ตั้งค่า Setup'!$C$15+'ตั้งค่า Setup'!$C$20),1,0)</f>
        <v>1</v>
      </c>
      <c r="AD12" s="179" t="n">
        <f aca="false">IF(AC12=1,SUM(AC$7:AC12),"")</f>
        <v>6</v>
      </c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80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80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80"/>
      <c r="CT12" s="180"/>
      <c r="CU12" s="180"/>
      <c r="CV12" s="180"/>
      <c r="CW12" s="180"/>
      <c r="CX12" s="180"/>
      <c r="CY12" s="180"/>
      <c r="CZ12" s="180"/>
      <c r="DA12" s="180"/>
      <c r="DB12" s="180"/>
      <c r="DC12" s="180"/>
      <c r="DD12" s="180"/>
      <c r="DE12" s="180"/>
      <c r="DF12" s="180"/>
      <c r="DG12" s="180"/>
    </row>
    <row r="13" customFormat="false" ht="25.35" hidden="false" customHeight="false" outlineLevel="0" collapsed="false">
      <c r="A13" s="106" t="str">
        <f aca="false">IF(OR(B13="",C13=""),"",IFERROR(MATCH(B13,'ตั้งค่า Setup'!$C$26:$C$65,0)&amp;"."&amp;COUNTIF(B$7:B13,B13),"?"))</f>
        <v>2.4</v>
      </c>
      <c r="B13" s="35" t="s">
        <v>243</v>
      </c>
      <c r="C13" s="35" t="s">
        <v>680</v>
      </c>
      <c r="D13" s="25" t="n">
        <v>285968</v>
      </c>
      <c r="E13" s="102" t="n">
        <v>0.0639</v>
      </c>
      <c r="F13" s="104" t="n">
        <f aca="false">IF(C13="",0,IF(E13&lt;&gt;"",E13,IF(SUM($D$7:$D$66)&gt;0,N(D13)/SUM($D$7:$D$66),0)))</f>
        <v>0.0639</v>
      </c>
      <c r="G13" s="175" t="n">
        <f aca="false">IF(C13="","",F13*'ตั้งค่า Setup'!$C$9)</f>
        <v>773701.2</v>
      </c>
      <c r="H13" s="27" t="n">
        <v>46174</v>
      </c>
      <c r="I13" s="27" t="n">
        <v>46198</v>
      </c>
      <c r="J13" s="106" t="n">
        <f aca="false">IF(OR(H13="",I13=""),"",I13-H13+1)</f>
        <v>25</v>
      </c>
      <c r="K13" s="27"/>
      <c r="L13" s="27"/>
      <c r="M13" s="27"/>
      <c r="N13" s="27"/>
      <c r="O13" s="102"/>
      <c r="P13" s="104" t="n">
        <f aca="false">IF(OR(C13="",H13="",I13=""),"",MAX(0,MIN(1,('ตั้งค่า Setup'!$C$15-H13+1)/(I13-H13+1))))</f>
        <v>1</v>
      </c>
      <c r="Q13" s="104" t="n">
        <f aca="false">IF(OR(C13="",Z13=0),"",MAX(0,MIN(1,('ตั้งค่า Setup'!$C$15-Z13+1)/(AA13-Z13+1))))</f>
        <v>1</v>
      </c>
      <c r="R13" s="175" t="n">
        <f aca="false">IF(P13="","",G13*P13)</f>
        <v>773701.2</v>
      </c>
      <c r="S13" s="175" t="n">
        <f aca="false">IF(C13="","",G13*N(O13))</f>
        <v>0</v>
      </c>
      <c r="T13" s="175" t="n">
        <f aca="false">IF(OR(R13="",S13=""),"",S13-R13)</f>
        <v>-773701.2</v>
      </c>
      <c r="U13" s="176" t="n">
        <f aca="false">IF(OR(R13="",S13=""),"",IF(R13=0,"",S13/R13))</f>
        <v>0</v>
      </c>
      <c r="V13" s="115" t="n">
        <f aca="false">IF(OR(C13="",Z13=0),"",IF(N13&lt;&gt;"",N13,IF(AND(N(O13)&gt;0,M13&lt;&gt;""),M13+ROUND((MAX('ตั้งค่า Setup'!$C$15,M13)-M13+1)/O13,0)-1,MAX(AA13,'ตั้งค่า Setup'!$C$15+AA13-Z13))))</f>
        <v>46317</v>
      </c>
      <c r="W13" s="177" t="n">
        <f aca="false">IF(OR(V13="",I13=""),"",V13-I13)</f>
        <v>119</v>
      </c>
      <c r="X13" s="106" t="str">
        <f aca="false">IF(OR(C13="",H13="",I13=""),"",IF(N13&lt;&gt;"",IF(N13&lt;=I13,"เสร็จ / Completed","เสร็จช้า / Completed Late"),IF(AND(M13="",'ตั้งค่า Setup'!$C$15&lt;Z13),"ยังไม่ถึงกำหนด / Not Due",IF(N(O13)&gt;=P13,"ตามแผน / On Track",IF('ตั้งค่า Setup'!$C$15&gt;I13,"เกินกำหนด / Overdue","ล่าช้า / Behind")))))</f>
        <v>เกินกำหนด / Overdue</v>
      </c>
      <c r="Y13" s="35"/>
      <c r="Z13" s="178" t="n">
        <f aca="false">IF(C13="",0,IF(K13&lt;&gt;"",K13,N(H13)))</f>
        <v>46174</v>
      </c>
      <c r="AA13" s="178" t="n">
        <f aca="false">IF(C13="",0,IF(L13&lt;&gt;"",L13,N(I13)))</f>
        <v>46198</v>
      </c>
      <c r="AB13" s="179" t="n">
        <f aca="false">IF(AND(C13&lt;&gt;"",N13="",ISNUMBER(W13)),W13+(1000-ROW())/1000000,"")</f>
        <v>119.000987</v>
      </c>
      <c r="AC13" s="179" t="n">
        <f aca="false">IF(AND(C13&lt;&gt;"",N13="",Z13&gt;0,Z13&lt;='ตั้งค่า Setup'!$C$15+'ตั้งค่า Setup'!$C$20),1,0)</f>
        <v>1</v>
      </c>
      <c r="AD13" s="179" t="n">
        <f aca="false">IF(AC13=1,SUM(AC$7:AC13),"")</f>
        <v>7</v>
      </c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80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80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80"/>
      <c r="CT13" s="180"/>
      <c r="CU13" s="180"/>
      <c r="CV13" s="180"/>
      <c r="CW13" s="180"/>
      <c r="CX13" s="180"/>
      <c r="CY13" s="180"/>
      <c r="CZ13" s="180"/>
      <c r="DA13" s="180"/>
      <c r="DB13" s="180"/>
      <c r="DC13" s="180"/>
      <c r="DD13" s="180"/>
      <c r="DE13" s="180"/>
      <c r="DF13" s="180"/>
      <c r="DG13" s="180"/>
    </row>
    <row r="14" customFormat="false" ht="25.35" hidden="false" customHeight="false" outlineLevel="0" collapsed="false">
      <c r="A14" s="106" t="str">
        <f aca="false">IF(OR(B14="",C14=""),"",IFERROR(MATCH(B14,'ตั้งค่า Setup'!$C$26:$C$65,0)&amp;"."&amp;COUNTIF(B$7:B14,B14),"?"))</f>
        <v>3.1</v>
      </c>
      <c r="B14" s="35" t="s">
        <v>245</v>
      </c>
      <c r="C14" s="35" t="s">
        <v>681</v>
      </c>
      <c r="D14" s="25" t="n">
        <v>238144</v>
      </c>
      <c r="E14" s="102" t="n">
        <v>0.0622</v>
      </c>
      <c r="F14" s="104" t="n">
        <f aca="false">IF(C14="",0,IF(E14&lt;&gt;"",E14,IF(SUM($D$7:$D$66)&gt;0,N(D14)/SUM($D$7:$D$66),0)))</f>
        <v>0.0622</v>
      </c>
      <c r="G14" s="175" t="n">
        <f aca="false">IF(C14="","",F14*'ตั้งค่า Setup'!$C$9)</f>
        <v>753117.6</v>
      </c>
      <c r="H14" s="27" t="n">
        <v>46188</v>
      </c>
      <c r="I14" s="27" t="n">
        <v>46218</v>
      </c>
      <c r="J14" s="106" t="n">
        <f aca="false">IF(OR(H14="",I14=""),"",I14-H14+1)</f>
        <v>31</v>
      </c>
      <c r="K14" s="27"/>
      <c r="L14" s="27"/>
      <c r="M14" s="27"/>
      <c r="N14" s="27"/>
      <c r="O14" s="102"/>
      <c r="P14" s="104" t="n">
        <f aca="false">IF(OR(C14="",H14="",I14=""),"",MAX(0,MIN(1,('ตั้งค่า Setup'!$C$15-H14+1)/(I14-H14+1))))</f>
        <v>1</v>
      </c>
      <c r="Q14" s="104" t="n">
        <f aca="false">IF(OR(C14="",Z14=0),"",MAX(0,MIN(1,('ตั้งค่า Setup'!$C$15-Z14+1)/(AA14-Z14+1))))</f>
        <v>1</v>
      </c>
      <c r="R14" s="175" t="n">
        <f aca="false">IF(P14="","",G14*P14)</f>
        <v>753117.6</v>
      </c>
      <c r="S14" s="175" t="n">
        <f aca="false">IF(C14="","",G14*N(O14))</f>
        <v>0</v>
      </c>
      <c r="T14" s="175" t="n">
        <f aca="false">IF(OR(R14="",S14=""),"",S14-R14)</f>
        <v>-753117.6</v>
      </c>
      <c r="U14" s="176" t="n">
        <f aca="false">IF(OR(R14="",S14=""),"",IF(R14=0,"",S14/R14))</f>
        <v>0</v>
      </c>
      <c r="V14" s="115" t="n">
        <f aca="false">IF(OR(C14="",Z14=0),"",IF(N14&lt;&gt;"",N14,IF(AND(N(O14)&gt;0,M14&lt;&gt;""),M14+ROUND((MAX('ตั้งค่า Setup'!$C$15,M14)-M14+1)/O14,0)-1,MAX(AA14,'ตั้งค่า Setup'!$C$15+AA14-Z14))))</f>
        <v>46323</v>
      </c>
      <c r="W14" s="177" t="n">
        <f aca="false">IF(OR(V14="",I14=""),"",V14-I14)</f>
        <v>105</v>
      </c>
      <c r="X14" s="106" t="str">
        <f aca="false">IF(OR(C14="",H14="",I14=""),"",IF(N14&lt;&gt;"",IF(N14&lt;=I14,"เสร็จ / Completed","เสร็จช้า / Completed Late"),IF(AND(M14="",'ตั้งค่า Setup'!$C$15&lt;Z14),"ยังไม่ถึงกำหนด / Not Due",IF(N(O14)&gt;=P14,"ตามแผน / On Track",IF('ตั้งค่า Setup'!$C$15&gt;I14,"เกินกำหนด / Overdue","ล่าช้า / Behind")))))</f>
        <v>เกินกำหนด / Overdue</v>
      </c>
      <c r="Y14" s="35"/>
      <c r="Z14" s="178" t="n">
        <f aca="false">IF(C14="",0,IF(K14&lt;&gt;"",K14,N(H14)))</f>
        <v>46188</v>
      </c>
      <c r="AA14" s="178" t="n">
        <f aca="false">IF(C14="",0,IF(L14&lt;&gt;"",L14,N(I14)))</f>
        <v>46218</v>
      </c>
      <c r="AB14" s="179" t="n">
        <f aca="false">IF(AND(C14&lt;&gt;"",N14="",ISNUMBER(W14)),W14+(1000-ROW())/1000000,"")</f>
        <v>105.000986</v>
      </c>
      <c r="AC14" s="179" t="n">
        <f aca="false">IF(AND(C14&lt;&gt;"",N14="",Z14&gt;0,Z14&lt;='ตั้งค่า Setup'!$C$15+'ตั้งค่า Setup'!$C$20),1,0)</f>
        <v>1</v>
      </c>
      <c r="AD14" s="179" t="n">
        <f aca="false">IF(AC14=1,SUM(AC$7:AC14),"")</f>
        <v>8</v>
      </c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80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80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  <c r="CS14" s="180"/>
      <c r="CT14" s="180"/>
      <c r="CU14" s="180"/>
      <c r="CV14" s="180"/>
      <c r="CW14" s="180"/>
      <c r="CX14" s="180"/>
      <c r="CY14" s="180"/>
      <c r="CZ14" s="180"/>
      <c r="DA14" s="180"/>
      <c r="DB14" s="180"/>
      <c r="DC14" s="180"/>
      <c r="DD14" s="180"/>
      <c r="DE14" s="180"/>
      <c r="DF14" s="180"/>
      <c r="DG14" s="180"/>
    </row>
    <row r="15" customFormat="false" ht="15" hidden="false" customHeight="false" outlineLevel="0" collapsed="false">
      <c r="A15" s="106" t="str">
        <f aca="false">IF(OR(B15="",C15=""),"",IFERROR(MATCH(B15,'ตั้งค่า Setup'!$C$26:$C$65,0)&amp;"."&amp;COUNTIF(B$7:B15,B15),"?"))</f>
        <v>4.1</v>
      </c>
      <c r="B15" s="35" t="s">
        <v>247</v>
      </c>
      <c r="C15" s="35" t="s">
        <v>682</v>
      </c>
      <c r="D15" s="25" t="n">
        <v>190808</v>
      </c>
      <c r="E15" s="102" t="n">
        <v>0.0426</v>
      </c>
      <c r="F15" s="104" t="n">
        <f aca="false">IF(C15="",0,IF(E15&lt;&gt;"",E15,IF(SUM($D$7:$D$66)&gt;0,N(D15)/SUM($D$7:$D$66),0)))</f>
        <v>0.0426</v>
      </c>
      <c r="G15" s="175" t="n">
        <f aca="false">IF(C15="","",F15*'ตั้งค่า Setup'!$C$9)</f>
        <v>515800.8</v>
      </c>
      <c r="H15" s="27" t="n">
        <v>46214</v>
      </c>
      <c r="I15" s="27" t="n">
        <v>46233</v>
      </c>
      <c r="J15" s="106" t="n">
        <f aca="false">IF(OR(H15="",I15=""),"",I15-H15+1)</f>
        <v>20</v>
      </c>
      <c r="K15" s="27"/>
      <c r="L15" s="27"/>
      <c r="M15" s="27"/>
      <c r="N15" s="27"/>
      <c r="O15" s="102"/>
      <c r="P15" s="104" t="n">
        <f aca="false">IF(OR(C15="",H15="",I15=""),"",MAX(0,MIN(1,('ตั้งค่า Setup'!$C$15-H15+1)/(I15-H15+1))))</f>
        <v>1</v>
      </c>
      <c r="Q15" s="104" t="n">
        <f aca="false">IF(OR(C15="",Z15=0),"",MAX(0,MIN(1,('ตั้งค่า Setup'!$C$15-Z15+1)/(AA15-Z15+1))))</f>
        <v>1</v>
      </c>
      <c r="R15" s="175" t="n">
        <f aca="false">IF(P15="","",G15*P15)</f>
        <v>515800.8</v>
      </c>
      <c r="S15" s="175" t="n">
        <f aca="false">IF(C15="","",G15*N(O15))</f>
        <v>0</v>
      </c>
      <c r="T15" s="175" t="n">
        <f aca="false">IF(OR(R15="",S15=""),"",S15-R15)</f>
        <v>-515800.8</v>
      </c>
      <c r="U15" s="176" t="n">
        <f aca="false">IF(OR(R15="",S15=""),"",IF(R15=0,"",S15/R15))</f>
        <v>0</v>
      </c>
      <c r="V15" s="115" t="n">
        <f aca="false">IF(OR(C15="",Z15=0),"",IF(N15&lt;&gt;"",N15,IF(AND(N(O15)&gt;0,M15&lt;&gt;""),M15+ROUND((MAX('ตั้งค่า Setup'!$C$15,M15)-M15+1)/O15,0)-1,MAX(AA15,'ตั้งค่า Setup'!$C$15+AA15-Z15))))</f>
        <v>46312</v>
      </c>
      <c r="W15" s="177" t="n">
        <f aca="false">IF(OR(V15="",I15=""),"",V15-I15)</f>
        <v>79</v>
      </c>
      <c r="X15" s="106" t="str">
        <f aca="false">IF(OR(C15="",H15="",I15=""),"",IF(N15&lt;&gt;"",IF(N15&lt;=I15,"เสร็จ / Completed","เสร็จช้า / Completed Late"),IF(AND(M15="",'ตั้งค่า Setup'!$C$15&lt;Z15),"ยังไม่ถึงกำหนด / Not Due",IF(N(O15)&gt;=P15,"ตามแผน / On Track",IF('ตั้งค่า Setup'!$C$15&gt;I15,"เกินกำหนด / Overdue","ล่าช้า / Behind")))))</f>
        <v>เกินกำหนด / Overdue</v>
      </c>
      <c r="Y15" s="35"/>
      <c r="Z15" s="178" t="n">
        <f aca="false">IF(C15="",0,IF(K15&lt;&gt;"",K15,N(H15)))</f>
        <v>46214</v>
      </c>
      <c r="AA15" s="178" t="n">
        <f aca="false">IF(C15="",0,IF(L15&lt;&gt;"",L15,N(I15)))</f>
        <v>46233</v>
      </c>
      <c r="AB15" s="179" t="n">
        <f aca="false">IF(AND(C15&lt;&gt;"",N15="",ISNUMBER(W15)),W15+(1000-ROW())/1000000,"")</f>
        <v>79.000985</v>
      </c>
      <c r="AC15" s="179" t="n">
        <f aca="false">IF(AND(C15&lt;&gt;"",N15="",Z15&gt;0,Z15&lt;='ตั้งค่า Setup'!$C$15+'ตั้งค่า Setup'!$C$20),1,0)</f>
        <v>1</v>
      </c>
      <c r="AD15" s="179" t="n">
        <f aca="false">IF(AC15=1,SUM(AC$7:AC15),"")</f>
        <v>9</v>
      </c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80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80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80"/>
      <c r="CT15" s="180"/>
      <c r="CU15" s="180"/>
      <c r="CV15" s="180"/>
      <c r="CW15" s="180"/>
      <c r="CX15" s="180"/>
      <c r="CY15" s="180"/>
      <c r="CZ15" s="180"/>
      <c r="DA15" s="180"/>
      <c r="DB15" s="180"/>
      <c r="DC15" s="180"/>
      <c r="DD15" s="180"/>
      <c r="DE15" s="180"/>
      <c r="DF15" s="180"/>
      <c r="DG15" s="180"/>
    </row>
    <row r="16" customFormat="false" ht="25.35" hidden="false" customHeight="false" outlineLevel="0" collapsed="false">
      <c r="A16" s="106" t="str">
        <f aca="false">IF(OR(B16="",C16=""),"",IFERROR(MATCH(B16,'ตั้งค่า Setup'!$C$26:$C$65,0)&amp;"."&amp;COUNTIF(B$7:B16,B16),"?"))</f>
        <v>3.2</v>
      </c>
      <c r="B16" s="35" t="s">
        <v>245</v>
      </c>
      <c r="C16" s="35" t="s">
        <v>683</v>
      </c>
      <c r="D16" s="25" t="n">
        <v>285968</v>
      </c>
      <c r="E16" s="102" t="n">
        <v>0.095</v>
      </c>
      <c r="F16" s="104" t="n">
        <f aca="false">IF(C16="",0,IF(E16&lt;&gt;"",E16,IF(SUM($D$7:$D$66)&gt;0,N(D16)/SUM($D$7:$D$66),0)))</f>
        <v>0.095</v>
      </c>
      <c r="G16" s="175" t="n">
        <f aca="false">IF(C16="","",F16*'ตั้งค่า Setup'!$C$9)</f>
        <v>1150260</v>
      </c>
      <c r="H16" s="27" t="n">
        <v>46204</v>
      </c>
      <c r="I16" s="27" t="n">
        <v>46249</v>
      </c>
      <c r="J16" s="106" t="n">
        <f aca="false">IF(OR(H16="",I16=""),"",I16-H16+1)</f>
        <v>46</v>
      </c>
      <c r="K16" s="27"/>
      <c r="L16" s="27"/>
      <c r="M16" s="27"/>
      <c r="N16" s="27"/>
      <c r="O16" s="102"/>
      <c r="P16" s="104" t="n">
        <f aca="false">IF(OR(C16="",H16="",I16=""),"",MAX(0,MIN(1,('ตั้งค่า Setup'!$C$15-H16+1)/(I16-H16+1))))</f>
        <v>1</v>
      </c>
      <c r="Q16" s="104" t="n">
        <f aca="false">IF(OR(C16="",Z16=0),"",MAX(0,MIN(1,('ตั้งค่า Setup'!$C$15-Z16+1)/(AA16-Z16+1))))</f>
        <v>1</v>
      </c>
      <c r="R16" s="175" t="n">
        <f aca="false">IF(P16="","",G16*P16)</f>
        <v>1150260</v>
      </c>
      <c r="S16" s="175" t="n">
        <f aca="false">IF(C16="","",G16*N(O16))</f>
        <v>0</v>
      </c>
      <c r="T16" s="175" t="n">
        <f aca="false">IF(OR(R16="",S16=""),"",S16-R16)</f>
        <v>-1150260</v>
      </c>
      <c r="U16" s="176" t="n">
        <f aca="false">IF(OR(R16="",S16=""),"",IF(R16=0,"",S16/R16))</f>
        <v>0</v>
      </c>
      <c r="V16" s="115" t="n">
        <f aca="false">IF(OR(C16="",Z16=0),"",IF(N16&lt;&gt;"",N16,IF(AND(N(O16)&gt;0,M16&lt;&gt;""),M16+ROUND((MAX('ตั้งค่า Setup'!$C$15,M16)-M16+1)/O16,0)-1,MAX(AA16,'ตั้งค่า Setup'!$C$15+AA16-Z16))))</f>
        <v>46338</v>
      </c>
      <c r="W16" s="177" t="n">
        <f aca="false">IF(OR(V16="",I16=""),"",V16-I16)</f>
        <v>89</v>
      </c>
      <c r="X16" s="106" t="str">
        <f aca="false">IF(OR(C16="",H16="",I16=""),"",IF(N16&lt;&gt;"",IF(N16&lt;=I16,"เสร็จ / Completed","เสร็จช้า / Completed Late"),IF(AND(M16="",'ตั้งค่า Setup'!$C$15&lt;Z16),"ยังไม่ถึงกำหนด / Not Due",IF(N(O16)&gt;=P16,"ตามแผน / On Track",IF('ตั้งค่า Setup'!$C$15&gt;I16,"เกินกำหนด / Overdue","ล่าช้า / Behind")))))</f>
        <v>เกินกำหนด / Overdue</v>
      </c>
      <c r="Y16" s="35"/>
      <c r="Z16" s="178" t="n">
        <f aca="false">IF(C16="",0,IF(K16&lt;&gt;"",K16,N(H16)))</f>
        <v>46204</v>
      </c>
      <c r="AA16" s="178" t="n">
        <f aca="false">IF(C16="",0,IF(L16&lt;&gt;"",L16,N(I16)))</f>
        <v>46249</v>
      </c>
      <c r="AB16" s="179" t="n">
        <f aca="false">IF(AND(C16&lt;&gt;"",N16="",ISNUMBER(W16)),W16+(1000-ROW())/1000000,"")</f>
        <v>89.000984</v>
      </c>
      <c r="AC16" s="179" t="n">
        <f aca="false">IF(AND(C16&lt;&gt;"",N16="",Z16&gt;0,Z16&lt;='ตั้งค่า Setup'!$C$15+'ตั้งค่า Setup'!$C$20),1,0)</f>
        <v>1</v>
      </c>
      <c r="AD16" s="179" t="n">
        <f aca="false">IF(AC16=1,SUM(AC$7:AC16),"")</f>
        <v>10</v>
      </c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80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80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80"/>
      <c r="CT16" s="180"/>
      <c r="CU16" s="180"/>
      <c r="CV16" s="180"/>
      <c r="CW16" s="180"/>
      <c r="CX16" s="180"/>
      <c r="CY16" s="180"/>
      <c r="CZ16" s="180"/>
      <c r="DA16" s="180"/>
      <c r="DB16" s="180"/>
      <c r="DC16" s="180"/>
      <c r="DD16" s="180"/>
      <c r="DE16" s="180"/>
      <c r="DF16" s="180"/>
      <c r="DG16" s="180"/>
    </row>
    <row r="17" customFormat="false" ht="25.35" hidden="false" customHeight="false" outlineLevel="0" collapsed="false">
      <c r="A17" s="106" t="str">
        <f aca="false">IF(OR(B17="",C17=""),"",IFERROR(MATCH(B17,'ตั้งค่า Setup'!$C$26:$C$65,0)&amp;"."&amp;COUNTIF(B$7:B17,B17),"?"))</f>
        <v>3.3</v>
      </c>
      <c r="B17" s="35" t="s">
        <v>245</v>
      </c>
      <c r="C17" s="35" t="s">
        <v>684</v>
      </c>
      <c r="D17" s="25" t="n">
        <v>762744</v>
      </c>
      <c r="E17" s="102" t="n">
        <v>0.0213</v>
      </c>
      <c r="F17" s="104" t="n">
        <f aca="false">IF(C17="",0,IF(E17&lt;&gt;"",E17,IF(SUM($D$7:$D$66)&gt;0,N(D17)/SUM($D$7:$D$66),0)))</f>
        <v>0.0213</v>
      </c>
      <c r="G17" s="175" t="n">
        <f aca="false">IF(C17="","",F17*'ตั้งค่า Setup'!$C$9)</f>
        <v>257900.4</v>
      </c>
      <c r="H17" s="27" t="n">
        <v>46214</v>
      </c>
      <c r="I17" s="27" t="n">
        <v>46223</v>
      </c>
      <c r="J17" s="106" t="n">
        <f aca="false">IF(OR(H17="",I17=""),"",I17-H17+1)</f>
        <v>10</v>
      </c>
      <c r="K17" s="27"/>
      <c r="L17" s="27"/>
      <c r="M17" s="27"/>
      <c r="N17" s="27"/>
      <c r="O17" s="102"/>
      <c r="P17" s="104" t="n">
        <f aca="false">IF(OR(C17="",H17="",I17=""),"",MAX(0,MIN(1,('ตั้งค่า Setup'!$C$15-H17+1)/(I17-H17+1))))</f>
        <v>1</v>
      </c>
      <c r="Q17" s="104" t="n">
        <f aca="false">IF(OR(C17="",Z17=0),"",MAX(0,MIN(1,('ตั้งค่า Setup'!$C$15-Z17+1)/(AA17-Z17+1))))</f>
        <v>1</v>
      </c>
      <c r="R17" s="175" t="n">
        <f aca="false">IF(P17="","",G17*P17)</f>
        <v>257900.4</v>
      </c>
      <c r="S17" s="175" t="n">
        <f aca="false">IF(C17="","",G17*N(O17))</f>
        <v>0</v>
      </c>
      <c r="T17" s="175" t="n">
        <f aca="false">IF(OR(R17="",S17=""),"",S17-R17)</f>
        <v>-257900.4</v>
      </c>
      <c r="U17" s="176" t="n">
        <f aca="false">IF(OR(R17="",S17=""),"",IF(R17=0,"",S17/R17))</f>
        <v>0</v>
      </c>
      <c r="V17" s="115" t="n">
        <f aca="false">IF(OR(C17="",Z17=0),"",IF(N17&lt;&gt;"",N17,IF(AND(N(O17)&gt;0,M17&lt;&gt;""),M17+ROUND((MAX('ตั้งค่า Setup'!$C$15,M17)-M17+1)/O17,0)-1,MAX(AA17,'ตั้งค่า Setup'!$C$15+AA17-Z17))))</f>
        <v>46302</v>
      </c>
      <c r="W17" s="177" t="n">
        <f aca="false">IF(OR(V17="",I17=""),"",V17-I17)</f>
        <v>79</v>
      </c>
      <c r="X17" s="106" t="str">
        <f aca="false">IF(OR(C17="",H17="",I17=""),"",IF(N17&lt;&gt;"",IF(N17&lt;=I17,"เสร็จ / Completed","เสร็จช้า / Completed Late"),IF(AND(M17="",'ตั้งค่า Setup'!$C$15&lt;Z17),"ยังไม่ถึงกำหนด / Not Due",IF(N(O17)&gt;=P17,"ตามแผน / On Track",IF('ตั้งค่า Setup'!$C$15&gt;I17,"เกินกำหนด / Overdue","ล่าช้า / Behind")))))</f>
        <v>เกินกำหนด / Overdue</v>
      </c>
      <c r="Y17" s="35"/>
      <c r="Z17" s="178" t="n">
        <f aca="false">IF(C17="",0,IF(K17&lt;&gt;"",K17,N(H17)))</f>
        <v>46214</v>
      </c>
      <c r="AA17" s="178" t="n">
        <f aca="false">IF(C17="",0,IF(L17&lt;&gt;"",L17,N(I17)))</f>
        <v>46223</v>
      </c>
      <c r="AB17" s="179" t="n">
        <f aca="false">IF(AND(C17&lt;&gt;"",N17="",ISNUMBER(W17)),W17+(1000-ROW())/1000000,"")</f>
        <v>79.000983</v>
      </c>
      <c r="AC17" s="179" t="n">
        <f aca="false">IF(AND(C17&lt;&gt;"",N17="",Z17&gt;0,Z17&lt;='ตั้งค่า Setup'!$C$15+'ตั้งค่า Setup'!$C$20),1,0)</f>
        <v>1</v>
      </c>
      <c r="AD17" s="179" t="n">
        <f aca="false">IF(AC17=1,SUM(AC$7:AC17),"")</f>
        <v>11</v>
      </c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80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80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80"/>
      <c r="CT17" s="180"/>
      <c r="CU17" s="180"/>
      <c r="CV17" s="180"/>
      <c r="CW17" s="180"/>
      <c r="CX17" s="180"/>
      <c r="CY17" s="180"/>
      <c r="CZ17" s="180"/>
      <c r="DA17" s="180"/>
      <c r="DB17" s="180"/>
      <c r="DC17" s="180"/>
      <c r="DD17" s="180"/>
      <c r="DE17" s="180"/>
      <c r="DF17" s="180"/>
      <c r="DG17" s="180"/>
    </row>
    <row r="18" customFormat="false" ht="25.35" hidden="false" customHeight="false" outlineLevel="0" collapsed="false">
      <c r="A18" s="106" t="str">
        <f aca="false">IF(OR(B18="",C18=""),"",IFERROR(MATCH(B18,'ตั้งค่า Setup'!$C$26:$C$65,0)&amp;"."&amp;COUNTIF(B$7:B18,B18),"?"))</f>
        <v>3.4</v>
      </c>
      <c r="B18" s="35" t="s">
        <v>245</v>
      </c>
      <c r="C18" s="35" t="s">
        <v>685</v>
      </c>
      <c r="D18" s="25" t="n">
        <v>571936</v>
      </c>
      <c r="E18" s="102" t="n">
        <v>0.0622</v>
      </c>
      <c r="F18" s="104" t="n">
        <f aca="false">IF(C18="",0,IF(E18&lt;&gt;"",E18,IF(SUM($D$7:$D$66)&gt;0,N(D18)/SUM($D$7:$D$66),0)))</f>
        <v>0.0622</v>
      </c>
      <c r="G18" s="175" t="n">
        <f aca="false">IF(C18="","",F18*'ตั้งค่า Setup'!$C$9)</f>
        <v>753117.6</v>
      </c>
      <c r="H18" s="27" t="n">
        <v>46218</v>
      </c>
      <c r="I18" s="27" t="n">
        <v>46249</v>
      </c>
      <c r="J18" s="106" t="n">
        <f aca="false">IF(OR(H18="",I18=""),"",I18-H18+1)</f>
        <v>32</v>
      </c>
      <c r="K18" s="27"/>
      <c r="L18" s="27"/>
      <c r="M18" s="27"/>
      <c r="N18" s="27"/>
      <c r="O18" s="102"/>
      <c r="P18" s="104" t="n">
        <f aca="false">IF(OR(C18="",H18="",I18=""),"",MAX(0,MIN(1,('ตั้งค่า Setup'!$C$15-H18+1)/(I18-H18+1))))</f>
        <v>1</v>
      </c>
      <c r="Q18" s="104" t="n">
        <f aca="false">IF(OR(C18="",Z18=0),"",MAX(0,MIN(1,('ตั้งค่า Setup'!$C$15-Z18+1)/(AA18-Z18+1))))</f>
        <v>1</v>
      </c>
      <c r="R18" s="175" t="n">
        <f aca="false">IF(P18="","",G18*P18)</f>
        <v>753117.6</v>
      </c>
      <c r="S18" s="175" t="n">
        <f aca="false">IF(C18="","",G18*N(O18))</f>
        <v>0</v>
      </c>
      <c r="T18" s="175" t="n">
        <f aca="false">IF(OR(R18="",S18=""),"",S18-R18)</f>
        <v>-753117.6</v>
      </c>
      <c r="U18" s="176" t="n">
        <f aca="false">IF(OR(R18="",S18=""),"",IF(R18=0,"",S18/R18))</f>
        <v>0</v>
      </c>
      <c r="V18" s="115" t="n">
        <f aca="false">IF(OR(C18="",Z18=0),"",IF(N18&lt;&gt;"",N18,IF(AND(N(O18)&gt;0,M18&lt;&gt;""),M18+ROUND((MAX('ตั้งค่า Setup'!$C$15,M18)-M18+1)/O18,0)-1,MAX(AA18,'ตั้งค่า Setup'!$C$15+AA18-Z18))))</f>
        <v>46324</v>
      </c>
      <c r="W18" s="177" t="n">
        <f aca="false">IF(OR(V18="",I18=""),"",V18-I18)</f>
        <v>75</v>
      </c>
      <c r="X18" s="106" t="str">
        <f aca="false">IF(OR(C18="",H18="",I18=""),"",IF(N18&lt;&gt;"",IF(N18&lt;=I18,"เสร็จ / Completed","เสร็จช้า / Completed Late"),IF(AND(M18="",'ตั้งค่า Setup'!$C$15&lt;Z18),"ยังไม่ถึงกำหนด / Not Due",IF(N(O18)&gt;=P18,"ตามแผน / On Track",IF('ตั้งค่า Setup'!$C$15&gt;I18,"เกินกำหนด / Overdue","ล่าช้า / Behind")))))</f>
        <v>เกินกำหนด / Overdue</v>
      </c>
      <c r="Y18" s="35"/>
      <c r="Z18" s="178" t="n">
        <f aca="false">IF(C18="",0,IF(K18&lt;&gt;"",K18,N(H18)))</f>
        <v>46218</v>
      </c>
      <c r="AA18" s="178" t="n">
        <f aca="false">IF(C18="",0,IF(L18&lt;&gt;"",L18,N(I18)))</f>
        <v>46249</v>
      </c>
      <c r="AB18" s="179" t="n">
        <f aca="false">IF(AND(C18&lt;&gt;"",N18="",ISNUMBER(W18)),W18+(1000-ROW())/1000000,"")</f>
        <v>75.000982</v>
      </c>
      <c r="AC18" s="179" t="n">
        <f aca="false">IF(AND(C18&lt;&gt;"",N18="",Z18&gt;0,Z18&lt;='ตั้งค่า Setup'!$C$15+'ตั้งค่า Setup'!$C$20),1,0)</f>
        <v>1</v>
      </c>
      <c r="AD18" s="179" t="n">
        <f aca="false">IF(AC18=1,SUM(AC$7:AC18),"")</f>
        <v>12</v>
      </c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80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80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80"/>
      <c r="CT18" s="180"/>
      <c r="CU18" s="180"/>
      <c r="CV18" s="180"/>
      <c r="CW18" s="180"/>
      <c r="CX18" s="180"/>
      <c r="CY18" s="180"/>
      <c r="CZ18" s="180"/>
      <c r="DA18" s="180"/>
      <c r="DB18" s="180"/>
      <c r="DC18" s="180"/>
      <c r="DD18" s="180"/>
      <c r="DE18" s="180"/>
      <c r="DF18" s="180"/>
      <c r="DG18" s="180"/>
    </row>
    <row r="19" customFormat="false" ht="15" hidden="false" customHeight="false" outlineLevel="0" collapsed="false">
      <c r="A19" s="106" t="str">
        <f aca="false">IF(OR(B19="",C19=""),"",IFERROR(MATCH(B19,'ตั้งค่า Setup'!$C$26:$C$65,0)&amp;"."&amp;COUNTIF(B$7:B19,B19),"?"))</f>
        <v>4.2</v>
      </c>
      <c r="B19" s="35" t="s">
        <v>247</v>
      </c>
      <c r="C19" s="35" t="s">
        <v>686</v>
      </c>
      <c r="D19" s="25" t="n">
        <v>428952</v>
      </c>
      <c r="E19" s="102" t="n">
        <v>0.0852</v>
      </c>
      <c r="F19" s="104" t="n">
        <f aca="false">IF(C19="",0,IF(E19&lt;&gt;"",E19,IF(SUM($D$7:$D$66)&gt;0,N(D19)/SUM($D$7:$D$66),0)))</f>
        <v>0.0852</v>
      </c>
      <c r="G19" s="175" t="n">
        <f aca="false">IF(C19="","",F19*'ตั้งค่า Setup'!$C$9)</f>
        <v>1031601.6</v>
      </c>
      <c r="H19" s="27" t="n">
        <v>46224</v>
      </c>
      <c r="I19" s="27" t="n">
        <v>46264</v>
      </c>
      <c r="J19" s="106" t="n">
        <f aca="false">IF(OR(H19="",I19=""),"",I19-H19+1)</f>
        <v>41</v>
      </c>
      <c r="K19" s="27"/>
      <c r="L19" s="27"/>
      <c r="M19" s="27"/>
      <c r="N19" s="27"/>
      <c r="O19" s="102"/>
      <c r="P19" s="104" t="n">
        <f aca="false">IF(OR(C19="",H19="",I19=""),"",MAX(0,MIN(1,('ตั้งค่า Setup'!$C$15-H19+1)/(I19-H19+1))))</f>
        <v>1</v>
      </c>
      <c r="Q19" s="104" t="n">
        <f aca="false">IF(OR(C19="",Z19=0),"",MAX(0,MIN(1,('ตั้งค่า Setup'!$C$15-Z19+1)/(AA19-Z19+1))))</f>
        <v>1</v>
      </c>
      <c r="R19" s="175" t="n">
        <f aca="false">IF(P19="","",G19*P19)</f>
        <v>1031601.6</v>
      </c>
      <c r="S19" s="175" t="n">
        <f aca="false">IF(C19="","",G19*N(O19))</f>
        <v>0</v>
      </c>
      <c r="T19" s="175" t="n">
        <f aca="false">IF(OR(R19="",S19=""),"",S19-R19)</f>
        <v>-1031601.6</v>
      </c>
      <c r="U19" s="176" t="n">
        <f aca="false">IF(OR(R19="",S19=""),"",IF(R19=0,"",S19/R19))</f>
        <v>0</v>
      </c>
      <c r="V19" s="115" t="n">
        <f aca="false">IF(OR(C19="",Z19=0),"",IF(N19&lt;&gt;"",N19,IF(AND(N(O19)&gt;0,M19&lt;&gt;""),M19+ROUND((MAX('ตั้งค่า Setup'!$C$15,M19)-M19+1)/O19,0)-1,MAX(AA19,'ตั้งค่า Setup'!$C$15+AA19-Z19))))</f>
        <v>46333</v>
      </c>
      <c r="W19" s="177" t="n">
        <f aca="false">IF(OR(V19="",I19=""),"",V19-I19)</f>
        <v>69</v>
      </c>
      <c r="X19" s="106" t="str">
        <f aca="false">IF(OR(C19="",H19="",I19=""),"",IF(N19&lt;&gt;"",IF(N19&lt;=I19,"เสร็จ / Completed","เสร็จช้า / Completed Late"),IF(AND(M19="",'ตั้งค่า Setup'!$C$15&lt;Z19),"ยังไม่ถึงกำหนด / Not Due",IF(N(O19)&gt;=P19,"ตามแผน / On Track",IF('ตั้งค่า Setup'!$C$15&gt;I19,"เกินกำหนด / Overdue","ล่าช้า / Behind")))))</f>
        <v>เกินกำหนด / Overdue</v>
      </c>
      <c r="Y19" s="35"/>
      <c r="Z19" s="178" t="n">
        <f aca="false">IF(C19="",0,IF(K19&lt;&gt;"",K19,N(H19)))</f>
        <v>46224</v>
      </c>
      <c r="AA19" s="178" t="n">
        <f aca="false">IF(C19="",0,IF(L19&lt;&gt;"",L19,N(I19)))</f>
        <v>46264</v>
      </c>
      <c r="AB19" s="179" t="n">
        <f aca="false">IF(AND(C19&lt;&gt;"",N19="",ISNUMBER(W19)),W19+(1000-ROW())/1000000,"")</f>
        <v>69.000981</v>
      </c>
      <c r="AC19" s="179" t="n">
        <f aca="false">IF(AND(C19&lt;&gt;"",N19="",Z19&gt;0,Z19&lt;='ตั้งค่า Setup'!$C$15+'ตั้งค่า Setup'!$C$20),1,0)</f>
        <v>1</v>
      </c>
      <c r="AD19" s="179" t="n">
        <f aca="false">IF(AC19=1,SUM(AC$7:AC19),"")</f>
        <v>13</v>
      </c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  <c r="BO19" s="180"/>
      <c r="BP19" s="180"/>
      <c r="BQ19" s="180"/>
      <c r="BR19" s="180"/>
      <c r="BS19" s="180"/>
      <c r="BT19" s="180"/>
      <c r="BU19" s="180"/>
      <c r="BV19" s="180"/>
      <c r="BW19" s="180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80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  <c r="CS19" s="180"/>
      <c r="CT19" s="180"/>
      <c r="CU19" s="180"/>
      <c r="CV19" s="180"/>
      <c r="CW19" s="180"/>
      <c r="CX19" s="180"/>
      <c r="CY19" s="180"/>
      <c r="CZ19" s="180"/>
      <c r="DA19" s="180"/>
      <c r="DB19" s="180"/>
      <c r="DC19" s="180"/>
      <c r="DD19" s="180"/>
      <c r="DE19" s="180"/>
      <c r="DF19" s="180"/>
      <c r="DG19" s="180"/>
    </row>
    <row r="20" customFormat="false" ht="15" hidden="false" customHeight="false" outlineLevel="0" collapsed="false">
      <c r="A20" s="106" t="str">
        <f aca="false">IF(OR(B20="",C20=""),"",IFERROR(MATCH(B20,'ตั้งค่า Setup'!$C$26:$C$65,0)&amp;"."&amp;COUNTIF(B$7:B20,B20),"?"))</f>
        <v>4.3</v>
      </c>
      <c r="B20" s="35" t="s">
        <v>247</v>
      </c>
      <c r="C20" s="35" t="s">
        <v>687</v>
      </c>
      <c r="D20" s="25" t="n">
        <v>381128</v>
      </c>
      <c r="E20" s="102" t="n">
        <v>0.0639</v>
      </c>
      <c r="F20" s="104" t="n">
        <f aca="false">IF(C20="",0,IF(E20&lt;&gt;"",E20,IF(SUM($D$7:$D$66)&gt;0,N(D20)/SUM($D$7:$D$66),0)))</f>
        <v>0.0639</v>
      </c>
      <c r="G20" s="175" t="n">
        <f aca="false">IF(C20="","",F20*'ตั้งค่า Setup'!$C$9)</f>
        <v>773701.2</v>
      </c>
      <c r="H20" s="27" t="n">
        <v>46254</v>
      </c>
      <c r="I20" s="27" t="n">
        <v>46275</v>
      </c>
      <c r="J20" s="106" t="n">
        <f aca="false">IF(OR(H20="",I20=""),"",I20-H20+1)</f>
        <v>22</v>
      </c>
      <c r="K20" s="27"/>
      <c r="L20" s="27"/>
      <c r="M20" s="27"/>
      <c r="N20" s="27"/>
      <c r="O20" s="102"/>
      <c r="P20" s="104" t="n">
        <f aca="false">IF(OR(C20="",H20="",I20=""),"",MAX(0,MIN(1,('ตั้งค่า Setup'!$C$15-H20+1)/(I20-H20+1))))</f>
        <v>1</v>
      </c>
      <c r="Q20" s="104" t="n">
        <f aca="false">IF(OR(C20="",Z20=0),"",MAX(0,MIN(1,('ตั้งค่า Setup'!$C$15-Z20+1)/(AA20-Z20+1))))</f>
        <v>1</v>
      </c>
      <c r="R20" s="175" t="n">
        <f aca="false">IF(P20="","",G20*P20)</f>
        <v>773701.2</v>
      </c>
      <c r="S20" s="175" t="n">
        <f aca="false">IF(C20="","",G20*N(O20))</f>
        <v>0</v>
      </c>
      <c r="T20" s="175" t="n">
        <f aca="false">IF(OR(R20="",S20=""),"",S20-R20)</f>
        <v>-773701.2</v>
      </c>
      <c r="U20" s="176" t="n">
        <f aca="false">IF(OR(R20="",S20=""),"",IF(R20=0,"",S20/R20))</f>
        <v>0</v>
      </c>
      <c r="V20" s="115" t="n">
        <f aca="false">IF(OR(C20="",Z20=0),"",IF(N20&lt;&gt;"",N20,IF(AND(N(O20)&gt;0,M20&lt;&gt;""),M20+ROUND((MAX('ตั้งค่า Setup'!$C$15,M20)-M20+1)/O20,0)-1,MAX(AA20,'ตั้งค่า Setup'!$C$15+AA20-Z20))))</f>
        <v>46314</v>
      </c>
      <c r="W20" s="177" t="n">
        <f aca="false">IF(OR(V20="",I20=""),"",V20-I20)</f>
        <v>39</v>
      </c>
      <c r="X20" s="106" t="str">
        <f aca="false">IF(OR(C20="",H20="",I20=""),"",IF(N20&lt;&gt;"",IF(N20&lt;=I20,"เสร็จ / Completed","เสร็จช้า / Completed Late"),IF(AND(M20="",'ตั้งค่า Setup'!$C$15&lt;Z20),"ยังไม่ถึงกำหนด / Not Due",IF(N(O20)&gt;=P20,"ตามแผน / On Track",IF('ตั้งค่า Setup'!$C$15&gt;I20,"เกินกำหนด / Overdue","ล่าช้า / Behind")))))</f>
        <v>เกินกำหนด / Overdue</v>
      </c>
      <c r="Y20" s="35"/>
      <c r="Z20" s="178" t="n">
        <f aca="false">IF(C20="",0,IF(K20&lt;&gt;"",K20,N(H20)))</f>
        <v>46254</v>
      </c>
      <c r="AA20" s="178" t="n">
        <f aca="false">IF(C20="",0,IF(L20&lt;&gt;"",L20,N(I20)))</f>
        <v>46275</v>
      </c>
      <c r="AB20" s="179" t="n">
        <f aca="false">IF(AND(C20&lt;&gt;"",N20="",ISNUMBER(W20)),W20+(1000-ROW())/1000000,"")</f>
        <v>39.00098</v>
      </c>
      <c r="AC20" s="179" t="n">
        <f aca="false">IF(AND(C20&lt;&gt;"",N20="",Z20&gt;0,Z20&lt;='ตั้งค่า Setup'!$C$15+'ตั้งค่า Setup'!$C$20),1,0)</f>
        <v>1</v>
      </c>
      <c r="AD20" s="179" t="n">
        <f aca="false">IF(AC20=1,SUM(AC$7:AC20),"")</f>
        <v>14</v>
      </c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80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80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80"/>
      <c r="CT20" s="180"/>
      <c r="CU20" s="180"/>
      <c r="CV20" s="180"/>
      <c r="CW20" s="180"/>
      <c r="CX20" s="180"/>
      <c r="CY20" s="180"/>
      <c r="CZ20" s="180"/>
      <c r="DA20" s="180"/>
      <c r="DB20" s="180"/>
      <c r="DC20" s="180"/>
      <c r="DD20" s="180"/>
      <c r="DE20" s="180"/>
      <c r="DF20" s="180"/>
      <c r="DG20" s="180"/>
    </row>
    <row r="21" customFormat="false" ht="15" hidden="false" customHeight="false" outlineLevel="0" collapsed="false">
      <c r="A21" s="106" t="str">
        <f aca="false">IF(OR(B21="",C21=""),"",IFERROR(MATCH(B21,'ตั้งค่า Setup'!$C$26:$C$65,0)&amp;"."&amp;COUNTIF(B$7:B21,B21),"?"))</f>
        <v>4.4</v>
      </c>
      <c r="B21" s="35" t="s">
        <v>247</v>
      </c>
      <c r="C21" s="35" t="s">
        <v>688</v>
      </c>
      <c r="D21" s="25" t="n">
        <v>285968</v>
      </c>
      <c r="E21" s="102" t="n">
        <v>0.0852</v>
      </c>
      <c r="F21" s="104" t="n">
        <f aca="false">IF(C21="",0,IF(E21&lt;&gt;"",E21,IF(SUM($D$7:$D$66)&gt;0,N(D21)/SUM($D$7:$D$66),0)))</f>
        <v>0.0852</v>
      </c>
      <c r="G21" s="175" t="n">
        <f aca="false">IF(C21="","",F21*'ตั้งค่า Setup'!$C$9)</f>
        <v>1031601.6</v>
      </c>
      <c r="H21" s="27" t="n">
        <v>46266</v>
      </c>
      <c r="I21" s="27" t="n">
        <v>46305</v>
      </c>
      <c r="J21" s="106" t="n">
        <f aca="false">IF(OR(H21="",I21=""),"",I21-H21+1)</f>
        <v>40</v>
      </c>
      <c r="K21" s="27"/>
      <c r="L21" s="27"/>
      <c r="M21" s="27"/>
      <c r="N21" s="27"/>
      <c r="O21" s="102"/>
      <c r="P21" s="104" t="n">
        <f aca="false">IF(OR(C21="",H21="",I21=""),"",MAX(0,MIN(1,('ตั้งค่า Setup'!$C$15-H21+1)/(I21-H21+1))))</f>
        <v>0.7</v>
      </c>
      <c r="Q21" s="104" t="n">
        <f aca="false">IF(OR(C21="",Z21=0),"",MAX(0,MIN(1,('ตั้งค่า Setup'!$C$15-Z21+1)/(AA21-Z21+1))))</f>
        <v>0.7</v>
      </c>
      <c r="R21" s="175" t="n">
        <f aca="false">IF(P21="","",G21*P21)</f>
        <v>722121.12</v>
      </c>
      <c r="S21" s="175" t="n">
        <f aca="false">IF(C21="","",G21*N(O21))</f>
        <v>0</v>
      </c>
      <c r="T21" s="175" t="n">
        <f aca="false">IF(OR(R21="",S21=""),"",S21-R21)</f>
        <v>-722121.12</v>
      </c>
      <c r="U21" s="176" t="n">
        <f aca="false">IF(OR(R21="",S21=""),"",IF(R21=0,"",S21/R21))</f>
        <v>0</v>
      </c>
      <c r="V21" s="115" t="n">
        <f aca="false">IF(OR(C21="",Z21=0),"",IF(N21&lt;&gt;"",N21,IF(AND(N(O21)&gt;0,M21&lt;&gt;""),M21+ROUND((MAX('ตั้งค่า Setup'!$C$15,M21)-M21+1)/O21,0)-1,MAX(AA21,'ตั้งค่า Setup'!$C$15+AA21-Z21))))</f>
        <v>46332</v>
      </c>
      <c r="W21" s="177" t="n">
        <f aca="false">IF(OR(V21="",I21=""),"",V21-I21)</f>
        <v>27</v>
      </c>
      <c r="X21" s="106" t="str">
        <f aca="false">IF(OR(C21="",H21="",I21=""),"",IF(N21&lt;&gt;"",IF(N21&lt;=I21,"เสร็จ / Completed","เสร็จช้า / Completed Late"),IF(AND(M21="",'ตั้งค่า Setup'!$C$15&lt;Z21),"ยังไม่ถึงกำหนด / Not Due",IF(N(O21)&gt;=P21,"ตามแผน / On Track",IF('ตั้งค่า Setup'!$C$15&gt;I21,"เกินกำหนด / Overdue","ล่าช้า / Behind")))))</f>
        <v>ล่าช้า / Behind</v>
      </c>
      <c r="Y21" s="35"/>
      <c r="Z21" s="178" t="n">
        <f aca="false">IF(C21="",0,IF(K21&lt;&gt;"",K21,N(H21)))</f>
        <v>46266</v>
      </c>
      <c r="AA21" s="178" t="n">
        <f aca="false">IF(C21="",0,IF(L21&lt;&gt;"",L21,N(I21)))</f>
        <v>46305</v>
      </c>
      <c r="AB21" s="179" t="n">
        <f aca="false">IF(AND(C21&lt;&gt;"",N21="",ISNUMBER(W21)),W21+(1000-ROW())/1000000,"")</f>
        <v>27.000979</v>
      </c>
      <c r="AC21" s="179" t="n">
        <f aca="false">IF(AND(C21&lt;&gt;"",N21="",Z21&gt;0,Z21&lt;='ตั้งค่า Setup'!$C$15+'ตั้งค่า Setup'!$C$20),1,0)</f>
        <v>1</v>
      </c>
      <c r="AD21" s="179" t="n">
        <f aca="false">IF(AC21=1,SUM(AC$7:AC21),"")</f>
        <v>15</v>
      </c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  <c r="BP21" s="180"/>
      <c r="BQ21" s="180"/>
      <c r="BR21" s="180"/>
      <c r="BS21" s="180"/>
      <c r="BT21" s="180"/>
      <c r="BU21" s="180"/>
      <c r="BV21" s="180"/>
      <c r="BW21" s="180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80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  <c r="CS21" s="180"/>
      <c r="CT21" s="180"/>
      <c r="CU21" s="180"/>
      <c r="CV21" s="180"/>
      <c r="CW21" s="180"/>
      <c r="CX21" s="180"/>
      <c r="CY21" s="180"/>
      <c r="CZ21" s="180"/>
      <c r="DA21" s="180"/>
      <c r="DB21" s="180"/>
      <c r="DC21" s="180"/>
      <c r="DD21" s="180"/>
      <c r="DE21" s="180"/>
      <c r="DF21" s="180"/>
      <c r="DG21" s="180"/>
    </row>
    <row r="22" customFormat="false" ht="37.3" hidden="false" customHeight="false" outlineLevel="0" collapsed="false">
      <c r="A22" s="106" t="str">
        <f aca="false">IF(OR(B22="",C22=""),"",IFERROR(MATCH(B22,'ตั้งค่า Setup'!$C$26:$C$65,0)&amp;"."&amp;COUNTIF(B$7:B22,B22),"?"))</f>
        <v>5.1</v>
      </c>
      <c r="B22" s="35" t="s">
        <v>249</v>
      </c>
      <c r="C22" s="35" t="s">
        <v>689</v>
      </c>
      <c r="D22" s="25" t="n">
        <v>428952</v>
      </c>
      <c r="E22" s="102" t="n">
        <v>0.0852</v>
      </c>
      <c r="F22" s="104" t="n">
        <f aca="false">IF(C22="",0,IF(E22&lt;&gt;"",E22,IF(SUM($D$7:$D$66)&gt;0,N(D22)/SUM($D$7:$D$66),0)))</f>
        <v>0.0852</v>
      </c>
      <c r="G22" s="175" t="n">
        <f aca="false">IF(C22="","",F22*'ตั้งค่า Setup'!$C$9)</f>
        <v>1031601.6</v>
      </c>
      <c r="H22" s="27" t="n">
        <v>46310</v>
      </c>
      <c r="I22" s="27" t="n">
        <v>46346</v>
      </c>
      <c r="J22" s="106" t="n">
        <f aca="false">IF(OR(H22="",I22=""),"",I22-H22+1)</f>
        <v>37</v>
      </c>
      <c r="K22" s="27"/>
      <c r="L22" s="27"/>
      <c r="M22" s="27"/>
      <c r="N22" s="27"/>
      <c r="O22" s="102"/>
      <c r="P22" s="104" t="n">
        <f aca="false">IF(OR(C22="",H22="",I22=""),"",MAX(0,MIN(1,('ตั้งค่า Setup'!$C$15-H22+1)/(I22-H22+1))))</f>
        <v>0</v>
      </c>
      <c r="Q22" s="104" t="n">
        <f aca="false">IF(OR(C22="",Z22=0),"",MAX(0,MIN(1,('ตั้งค่า Setup'!$C$15-Z22+1)/(AA22-Z22+1))))</f>
        <v>0</v>
      </c>
      <c r="R22" s="175" t="n">
        <f aca="false">IF(P22="","",G22*P22)</f>
        <v>0</v>
      </c>
      <c r="S22" s="175" t="n">
        <f aca="false">IF(C22="","",G22*N(O22))</f>
        <v>0</v>
      </c>
      <c r="T22" s="175" t="n">
        <f aca="false">IF(OR(R22="",S22=""),"",S22-R22)</f>
        <v>0</v>
      </c>
      <c r="U22" s="176" t="str">
        <f aca="false">IF(OR(R22="",S22=""),"",IF(R22=0,"",S22/R22))</f>
        <v/>
      </c>
      <c r="V22" s="115" t="n">
        <f aca="false">IF(OR(C22="",Z22=0),"",IF(N22&lt;&gt;"",N22,IF(AND(N(O22)&gt;0,M22&lt;&gt;""),M22+ROUND((MAX('ตั้งค่า Setup'!$C$15,M22)-M22+1)/O22,0)-1,MAX(AA22,'ตั้งค่า Setup'!$C$15+AA22-Z22))))</f>
        <v>46346</v>
      </c>
      <c r="W22" s="177" t="n">
        <f aca="false">IF(OR(V22="",I22=""),"",V22-I22)</f>
        <v>0</v>
      </c>
      <c r="X22" s="106" t="str">
        <f aca="false">IF(OR(C22="",H22="",I22=""),"",IF(N22&lt;&gt;"",IF(N22&lt;=I22,"เสร็จ / Completed","เสร็จช้า / Completed Late"),IF(AND(M22="",'ตั้งค่า Setup'!$C$15&lt;Z22),"ยังไม่ถึงกำหนด / Not Due",IF(N(O22)&gt;=P22,"ตามแผน / On Track",IF('ตั้งค่า Setup'!$C$15&gt;I22,"เกินกำหนด / Overdue","ล่าช้า / Behind")))))</f>
        <v>ยังไม่ถึงกำหนด / Not Due</v>
      </c>
      <c r="Y22" s="35"/>
      <c r="Z22" s="178" t="n">
        <f aca="false">IF(C22="",0,IF(K22&lt;&gt;"",K22,N(H22)))</f>
        <v>46310</v>
      </c>
      <c r="AA22" s="178" t="n">
        <f aca="false">IF(C22="",0,IF(L22&lt;&gt;"",L22,N(I22)))</f>
        <v>46346</v>
      </c>
      <c r="AB22" s="179" t="n">
        <f aca="false">IF(AND(C22&lt;&gt;"",N22="",ISNUMBER(W22)),W22+(1000-ROW())/1000000,"")</f>
        <v>0.000978</v>
      </c>
      <c r="AC22" s="179" t="n">
        <f aca="false">IF(AND(C22&lt;&gt;"",N22="",Z22&gt;0,Z22&lt;='ตั้งค่า Setup'!$C$15+'ตั้งค่า Setup'!$C$20),1,0)</f>
        <v>1</v>
      </c>
      <c r="AD22" s="179" t="n">
        <f aca="false">IF(AC22=1,SUM(AC$7:AC22),"")</f>
        <v>16</v>
      </c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  <c r="BP22" s="180"/>
      <c r="BQ22" s="180"/>
      <c r="BR22" s="180"/>
      <c r="BS22" s="180"/>
      <c r="BT22" s="180"/>
      <c r="BU22" s="180"/>
      <c r="BV22" s="180"/>
      <c r="BW22" s="180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80"/>
      <c r="CI22" s="180"/>
      <c r="CJ22" s="180"/>
      <c r="CK22" s="180"/>
      <c r="CL22" s="180"/>
      <c r="CM22" s="180"/>
      <c r="CN22" s="180"/>
      <c r="CO22" s="180"/>
      <c r="CP22" s="180"/>
      <c r="CQ22" s="180"/>
      <c r="CR22" s="180"/>
      <c r="CS22" s="180"/>
      <c r="CT22" s="180"/>
      <c r="CU22" s="180"/>
      <c r="CV22" s="180"/>
      <c r="CW22" s="180"/>
      <c r="CX22" s="180"/>
      <c r="CY22" s="180"/>
      <c r="CZ22" s="180"/>
      <c r="DA22" s="180"/>
      <c r="DB22" s="180"/>
      <c r="DC22" s="180"/>
      <c r="DD22" s="180"/>
      <c r="DE22" s="180"/>
      <c r="DF22" s="180"/>
      <c r="DG22" s="180"/>
    </row>
    <row r="23" customFormat="false" ht="37.3" hidden="false" customHeight="false" outlineLevel="0" collapsed="false">
      <c r="A23" s="106" t="str">
        <f aca="false">IF(OR(B23="",C23=""),"",IFERROR(MATCH(B23,'ตั้งค่า Setup'!$C$26:$C$65,0)&amp;"."&amp;COUNTIF(B$7:B23,B23),"?"))</f>
        <v>5.2</v>
      </c>
      <c r="B23" s="35" t="s">
        <v>249</v>
      </c>
      <c r="C23" s="35" t="s">
        <v>690</v>
      </c>
      <c r="D23" s="25" t="n">
        <v>257176</v>
      </c>
      <c r="E23" s="102" t="n">
        <v>0.0311</v>
      </c>
      <c r="F23" s="104" t="n">
        <f aca="false">IF(C23="",0,IF(E23&lt;&gt;"",E23,IF(SUM($D$7:$D$66)&gt;0,N(D23)/SUM($D$7:$D$66),0)))</f>
        <v>0.0311</v>
      </c>
      <c r="G23" s="175" t="n">
        <f aca="false">IF(C23="","",F23*'ตั้งค่า Setup'!$C$9)</f>
        <v>376558.8</v>
      </c>
      <c r="H23" s="27" t="n">
        <v>46327</v>
      </c>
      <c r="I23" s="27" t="n">
        <v>46342</v>
      </c>
      <c r="J23" s="106" t="n">
        <f aca="false">IF(OR(H23="",I23=""),"",I23-H23+1)</f>
        <v>16</v>
      </c>
      <c r="K23" s="27"/>
      <c r="L23" s="27"/>
      <c r="M23" s="27"/>
      <c r="N23" s="27"/>
      <c r="O23" s="102"/>
      <c r="P23" s="104" t="n">
        <f aca="false">IF(OR(C23="",H23="",I23=""),"",MAX(0,MIN(1,('ตั้งค่า Setup'!$C$15-H23+1)/(I23-H23+1))))</f>
        <v>0</v>
      </c>
      <c r="Q23" s="104" t="n">
        <f aca="false">IF(OR(C23="",Z23=0),"",MAX(0,MIN(1,('ตั้งค่า Setup'!$C$15-Z23+1)/(AA23-Z23+1))))</f>
        <v>0</v>
      </c>
      <c r="R23" s="175" t="n">
        <f aca="false">IF(P23="","",G23*P23)</f>
        <v>0</v>
      </c>
      <c r="S23" s="175" t="n">
        <f aca="false">IF(C23="","",G23*N(O23))</f>
        <v>0</v>
      </c>
      <c r="T23" s="175" t="n">
        <f aca="false">IF(OR(R23="",S23=""),"",S23-R23)</f>
        <v>0</v>
      </c>
      <c r="U23" s="176" t="str">
        <f aca="false">IF(OR(R23="",S23=""),"",IF(R23=0,"",S23/R23))</f>
        <v/>
      </c>
      <c r="V23" s="115" t="n">
        <f aca="false">IF(OR(C23="",Z23=0),"",IF(N23&lt;&gt;"",N23,IF(AND(N(O23)&gt;0,M23&lt;&gt;""),M23+ROUND((MAX('ตั้งค่า Setup'!$C$15,M23)-M23+1)/O23,0)-1,MAX(AA23,'ตั้งค่า Setup'!$C$15+AA23-Z23))))</f>
        <v>46342</v>
      </c>
      <c r="W23" s="177" t="n">
        <f aca="false">IF(OR(V23="",I23=""),"",V23-I23)</f>
        <v>0</v>
      </c>
      <c r="X23" s="106" t="str">
        <f aca="false">IF(OR(C23="",H23="",I23=""),"",IF(N23&lt;&gt;"",IF(N23&lt;=I23,"เสร็จ / Completed","เสร็จช้า / Completed Late"),IF(AND(M23="",'ตั้งค่า Setup'!$C$15&lt;Z23),"ยังไม่ถึงกำหนด / Not Due",IF(N(O23)&gt;=P23,"ตามแผน / On Track",IF('ตั้งค่า Setup'!$C$15&gt;I23,"เกินกำหนด / Overdue","ล่าช้า / Behind")))))</f>
        <v>ยังไม่ถึงกำหนด / Not Due</v>
      </c>
      <c r="Y23" s="35"/>
      <c r="Z23" s="178" t="n">
        <f aca="false">IF(C23="",0,IF(K23&lt;&gt;"",K23,N(H23)))</f>
        <v>46327</v>
      </c>
      <c r="AA23" s="178" t="n">
        <f aca="false">IF(C23="",0,IF(L23&lt;&gt;"",L23,N(I23)))</f>
        <v>46342</v>
      </c>
      <c r="AB23" s="179" t="n">
        <f aca="false">IF(AND(C23&lt;&gt;"",N23="",ISNUMBER(W23)),W23+(1000-ROW())/1000000,"")</f>
        <v>0.000977</v>
      </c>
      <c r="AC23" s="179" t="n">
        <f aca="false">IF(AND(C23&lt;&gt;"",N23="",Z23&gt;0,Z23&lt;='ตั้งค่า Setup'!$C$15+'ตั้งค่า Setup'!$C$20),1,0)</f>
        <v>0</v>
      </c>
      <c r="AD23" s="179" t="str">
        <f aca="false">IF(AC23=1,SUM(AC$7:AC23),"")</f>
        <v/>
      </c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180"/>
      <c r="BY23" s="180"/>
      <c r="BZ23" s="180"/>
      <c r="CA23" s="180"/>
      <c r="CB23" s="180"/>
      <c r="CC23" s="180"/>
      <c r="CD23" s="180"/>
      <c r="CE23" s="180"/>
      <c r="CF23" s="180"/>
      <c r="CG23" s="180"/>
      <c r="CH23" s="180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  <c r="CS23" s="180"/>
      <c r="CT23" s="180"/>
      <c r="CU23" s="180"/>
      <c r="CV23" s="180"/>
      <c r="CW23" s="180"/>
      <c r="CX23" s="180"/>
      <c r="CY23" s="180"/>
      <c r="CZ23" s="180"/>
      <c r="DA23" s="180"/>
      <c r="DB23" s="180"/>
      <c r="DC23" s="180"/>
      <c r="DD23" s="180"/>
      <c r="DE23" s="180"/>
      <c r="DF23" s="180"/>
      <c r="DG23" s="180"/>
    </row>
    <row r="24" customFormat="false" ht="15" hidden="false" customHeight="false" outlineLevel="0" collapsed="false">
      <c r="A24" s="106" t="str">
        <f aca="false">IF(OR(B24="",C24=""),"",IFERROR(MATCH(B24,'ตั้งค่า Setup'!$C$26:$C$65,0)&amp;"."&amp;COUNTIF(B$7:B24,B24),"?"))</f>
        <v/>
      </c>
      <c r="B24" s="35"/>
      <c r="C24" s="35"/>
      <c r="D24" s="25"/>
      <c r="E24" s="102"/>
      <c r="F24" s="104" t="n">
        <f aca="false">IF(C24="",0,IF(E24&lt;&gt;"",E24,IF(SUM($D$7:$D$66)&gt;0,N(D24)/SUM($D$7:$D$66),0)))</f>
        <v>0</v>
      </c>
      <c r="G24" s="175" t="str">
        <f aca="false">IF(C24="","",F24*'ตั้งค่า Setup'!$C$9)</f>
        <v/>
      </c>
      <c r="H24" s="27"/>
      <c r="I24" s="27"/>
      <c r="J24" s="106" t="str">
        <f aca="false">IF(OR(H24="",I24=""),"",I24-H24+1)</f>
        <v/>
      </c>
      <c r="K24" s="27"/>
      <c r="L24" s="27"/>
      <c r="M24" s="27"/>
      <c r="N24" s="27"/>
      <c r="O24" s="102"/>
      <c r="P24" s="104" t="str">
        <f aca="false">IF(OR(C24="",H24="",I24=""),"",MAX(0,MIN(1,('ตั้งค่า Setup'!$C$15-H24+1)/(I24-H24+1))))</f>
        <v/>
      </c>
      <c r="Q24" s="104" t="str">
        <f aca="false">IF(OR(C24="",Z24=0),"",MAX(0,MIN(1,('ตั้งค่า Setup'!$C$15-Z24+1)/(AA24-Z24+1))))</f>
        <v/>
      </c>
      <c r="R24" s="175" t="str">
        <f aca="false">IF(P24="","",G24*P24)</f>
        <v/>
      </c>
      <c r="S24" s="175" t="str">
        <f aca="false">IF(C24="","",G24*N(O24))</f>
        <v/>
      </c>
      <c r="T24" s="175" t="str">
        <f aca="false">IF(OR(R24="",S24=""),"",S24-R24)</f>
        <v/>
      </c>
      <c r="U24" s="176" t="str">
        <f aca="false">IF(OR(R24="",S24=""),"",IF(R24=0,"",S24/R24))</f>
        <v/>
      </c>
      <c r="V24" s="115" t="str">
        <f aca="false">IF(OR(C24="",Z24=0),"",IF(N24&lt;&gt;"",N24,IF(AND(N(O24)&gt;0,M24&lt;&gt;""),M24+ROUND((MAX('ตั้งค่า Setup'!$C$15,M24)-M24+1)/O24,0)-1,MAX(AA24,'ตั้งค่า Setup'!$C$15+AA24-Z24))))</f>
        <v/>
      </c>
      <c r="W24" s="177" t="str">
        <f aca="false">IF(OR(V24="",I24=""),"",V24-I24)</f>
        <v/>
      </c>
      <c r="X24" s="106" t="str">
        <f aca="false">IF(OR(C24="",H24="",I24=""),"",IF(N24&lt;&gt;"",IF(N24&lt;=I24,"เสร็จ / Completed","เสร็จช้า / Completed Late"),IF(AND(M24="",'ตั้งค่า Setup'!$C$15&lt;Z24),"ยังไม่ถึงกำหนด / Not Due",IF(N(O24)&gt;=P24,"ตามแผน / On Track",IF('ตั้งค่า Setup'!$C$15&gt;I24,"เกินกำหนด / Overdue","ล่าช้า / Behind")))))</f>
        <v/>
      </c>
      <c r="Y24" s="35"/>
      <c r="Z24" s="178" t="n">
        <f aca="false">IF(C24="",0,IF(K24&lt;&gt;"",K24,N(H24)))</f>
        <v>0</v>
      </c>
      <c r="AA24" s="178" t="n">
        <f aca="false">IF(C24="",0,IF(L24&lt;&gt;"",L24,N(I24)))</f>
        <v>0</v>
      </c>
      <c r="AB24" s="179" t="str">
        <f aca="false">IF(AND(C24&lt;&gt;"",N24="",ISNUMBER(W24)),W24+(1000-ROW())/1000000,"")</f>
        <v/>
      </c>
      <c r="AC24" s="179" t="n">
        <f aca="false">IF(AND(C24&lt;&gt;"",N24="",Z24&gt;0,Z24&lt;='ตั้งค่า Setup'!$C$15+'ตั้งค่า Setup'!$C$20),1,0)</f>
        <v>0</v>
      </c>
      <c r="AD24" s="179" t="str">
        <f aca="false">IF(AC24=1,SUM(AC$7:AC24),"")</f>
        <v/>
      </c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0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180"/>
      <c r="BY24" s="180"/>
      <c r="BZ24" s="180"/>
      <c r="CA24" s="180"/>
      <c r="CB24" s="180"/>
      <c r="CC24" s="180"/>
      <c r="CD24" s="180"/>
      <c r="CE24" s="180"/>
      <c r="CF24" s="180"/>
      <c r="CG24" s="180"/>
      <c r="CH24" s="180"/>
      <c r="CI24" s="180"/>
      <c r="CJ24" s="180"/>
      <c r="CK24" s="180"/>
      <c r="CL24" s="180"/>
      <c r="CM24" s="180"/>
      <c r="CN24" s="180"/>
      <c r="CO24" s="180"/>
      <c r="CP24" s="180"/>
      <c r="CQ24" s="180"/>
      <c r="CR24" s="180"/>
      <c r="CS24" s="180"/>
      <c r="CT24" s="180"/>
      <c r="CU24" s="180"/>
      <c r="CV24" s="180"/>
      <c r="CW24" s="180"/>
      <c r="CX24" s="180"/>
      <c r="CY24" s="180"/>
      <c r="CZ24" s="180"/>
      <c r="DA24" s="180"/>
      <c r="DB24" s="180"/>
      <c r="DC24" s="180"/>
      <c r="DD24" s="180"/>
      <c r="DE24" s="180"/>
      <c r="DF24" s="180"/>
      <c r="DG24" s="180"/>
    </row>
    <row r="25" customFormat="false" ht="15" hidden="false" customHeight="false" outlineLevel="0" collapsed="false">
      <c r="A25" s="106" t="str">
        <f aca="false">IF(OR(B25="",C25=""),"",IFERROR(MATCH(B25,'ตั้งค่า Setup'!$C$26:$C$65,0)&amp;"."&amp;COUNTIF(B$7:B25,B25),"?"))</f>
        <v/>
      </c>
      <c r="B25" s="35"/>
      <c r="C25" s="35"/>
      <c r="D25" s="25"/>
      <c r="E25" s="102"/>
      <c r="F25" s="104" t="n">
        <f aca="false">IF(C25="",0,IF(E25&lt;&gt;"",E25,IF(SUM($D$7:$D$66)&gt;0,N(D25)/SUM($D$7:$D$66),0)))</f>
        <v>0</v>
      </c>
      <c r="G25" s="175" t="str">
        <f aca="false">IF(C25="","",F25*'ตั้งค่า Setup'!$C$9)</f>
        <v/>
      </c>
      <c r="H25" s="27"/>
      <c r="I25" s="27"/>
      <c r="J25" s="106" t="str">
        <f aca="false">IF(OR(H25="",I25=""),"",I25-H25+1)</f>
        <v/>
      </c>
      <c r="K25" s="27"/>
      <c r="L25" s="27"/>
      <c r="M25" s="27"/>
      <c r="N25" s="27"/>
      <c r="O25" s="102"/>
      <c r="P25" s="104" t="str">
        <f aca="false">IF(OR(C25="",H25="",I25=""),"",MAX(0,MIN(1,('ตั้งค่า Setup'!$C$15-H25+1)/(I25-H25+1))))</f>
        <v/>
      </c>
      <c r="Q25" s="104" t="str">
        <f aca="false">IF(OR(C25="",Z25=0),"",MAX(0,MIN(1,('ตั้งค่า Setup'!$C$15-Z25+1)/(AA25-Z25+1))))</f>
        <v/>
      </c>
      <c r="R25" s="175" t="str">
        <f aca="false">IF(P25="","",G25*P25)</f>
        <v/>
      </c>
      <c r="S25" s="175" t="str">
        <f aca="false">IF(C25="","",G25*N(O25))</f>
        <v/>
      </c>
      <c r="T25" s="175" t="str">
        <f aca="false">IF(OR(R25="",S25=""),"",S25-R25)</f>
        <v/>
      </c>
      <c r="U25" s="176" t="str">
        <f aca="false">IF(OR(R25="",S25=""),"",IF(R25=0,"",S25/R25))</f>
        <v/>
      </c>
      <c r="V25" s="115" t="str">
        <f aca="false">IF(OR(C25="",Z25=0),"",IF(N25&lt;&gt;"",N25,IF(AND(N(O25)&gt;0,M25&lt;&gt;""),M25+ROUND((MAX('ตั้งค่า Setup'!$C$15,M25)-M25+1)/O25,0)-1,MAX(AA25,'ตั้งค่า Setup'!$C$15+AA25-Z25))))</f>
        <v/>
      </c>
      <c r="W25" s="177" t="str">
        <f aca="false">IF(OR(V25="",I25=""),"",V25-I25)</f>
        <v/>
      </c>
      <c r="X25" s="106" t="str">
        <f aca="false">IF(OR(C25="",H25="",I25=""),"",IF(N25&lt;&gt;"",IF(N25&lt;=I25,"เสร็จ / Completed","เสร็จช้า / Completed Late"),IF(AND(M25="",'ตั้งค่า Setup'!$C$15&lt;Z25),"ยังไม่ถึงกำหนด / Not Due",IF(N(O25)&gt;=P25,"ตามแผน / On Track",IF('ตั้งค่า Setup'!$C$15&gt;I25,"เกินกำหนด / Overdue","ล่าช้า / Behind")))))</f>
        <v/>
      </c>
      <c r="Y25" s="35"/>
      <c r="Z25" s="178" t="n">
        <f aca="false">IF(C25="",0,IF(K25&lt;&gt;"",K25,N(H25)))</f>
        <v>0</v>
      </c>
      <c r="AA25" s="178" t="n">
        <f aca="false">IF(C25="",0,IF(L25&lt;&gt;"",L25,N(I25)))</f>
        <v>0</v>
      </c>
      <c r="AB25" s="179" t="str">
        <f aca="false">IF(AND(C25&lt;&gt;"",N25="",ISNUMBER(W25)),W25+(1000-ROW())/1000000,"")</f>
        <v/>
      </c>
      <c r="AC25" s="179" t="n">
        <f aca="false">IF(AND(C25&lt;&gt;"",N25="",Z25&gt;0,Z25&lt;='ตั้งค่า Setup'!$C$15+'ตั้งค่า Setup'!$C$20),1,0)</f>
        <v>0</v>
      </c>
      <c r="AD25" s="179" t="str">
        <f aca="false">IF(AC25=1,SUM(AC$7:AC25),"")</f>
        <v/>
      </c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80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80"/>
      <c r="CT25" s="180"/>
      <c r="CU25" s="180"/>
      <c r="CV25" s="180"/>
      <c r="CW25" s="180"/>
      <c r="CX25" s="180"/>
      <c r="CY25" s="180"/>
      <c r="CZ25" s="180"/>
      <c r="DA25" s="180"/>
      <c r="DB25" s="180"/>
      <c r="DC25" s="180"/>
      <c r="DD25" s="180"/>
      <c r="DE25" s="180"/>
      <c r="DF25" s="180"/>
      <c r="DG25" s="180"/>
    </row>
    <row r="26" customFormat="false" ht="15" hidden="false" customHeight="false" outlineLevel="0" collapsed="false">
      <c r="A26" s="106" t="str">
        <f aca="false">IF(OR(B26="",C26=""),"",IFERROR(MATCH(B26,'ตั้งค่า Setup'!$C$26:$C$65,0)&amp;"."&amp;COUNTIF(B$7:B26,B26),"?"))</f>
        <v/>
      </c>
      <c r="B26" s="35"/>
      <c r="C26" s="35"/>
      <c r="D26" s="25"/>
      <c r="E26" s="102"/>
      <c r="F26" s="104" t="n">
        <f aca="false">IF(C26="",0,IF(E26&lt;&gt;"",E26,IF(SUM($D$7:$D$66)&gt;0,N(D26)/SUM($D$7:$D$66),0)))</f>
        <v>0</v>
      </c>
      <c r="G26" s="175" t="str">
        <f aca="false">IF(C26="","",F26*'ตั้งค่า Setup'!$C$9)</f>
        <v/>
      </c>
      <c r="H26" s="27"/>
      <c r="I26" s="27"/>
      <c r="J26" s="106" t="str">
        <f aca="false">IF(OR(H26="",I26=""),"",I26-H26+1)</f>
        <v/>
      </c>
      <c r="K26" s="27"/>
      <c r="L26" s="27"/>
      <c r="M26" s="27"/>
      <c r="N26" s="27"/>
      <c r="O26" s="102"/>
      <c r="P26" s="104" t="str">
        <f aca="false">IF(OR(C26="",H26="",I26=""),"",MAX(0,MIN(1,('ตั้งค่า Setup'!$C$15-H26+1)/(I26-H26+1))))</f>
        <v/>
      </c>
      <c r="Q26" s="104" t="str">
        <f aca="false">IF(OR(C26="",Z26=0),"",MAX(0,MIN(1,('ตั้งค่า Setup'!$C$15-Z26+1)/(AA26-Z26+1))))</f>
        <v/>
      </c>
      <c r="R26" s="175" t="str">
        <f aca="false">IF(P26="","",G26*P26)</f>
        <v/>
      </c>
      <c r="S26" s="175" t="str">
        <f aca="false">IF(C26="","",G26*N(O26))</f>
        <v/>
      </c>
      <c r="T26" s="175" t="str">
        <f aca="false">IF(OR(R26="",S26=""),"",S26-R26)</f>
        <v/>
      </c>
      <c r="U26" s="176" t="str">
        <f aca="false">IF(OR(R26="",S26=""),"",IF(R26=0,"",S26/R26))</f>
        <v/>
      </c>
      <c r="V26" s="115" t="str">
        <f aca="false">IF(OR(C26="",Z26=0),"",IF(N26&lt;&gt;"",N26,IF(AND(N(O26)&gt;0,M26&lt;&gt;""),M26+ROUND((MAX('ตั้งค่า Setup'!$C$15,M26)-M26+1)/O26,0)-1,MAX(AA26,'ตั้งค่า Setup'!$C$15+AA26-Z26))))</f>
        <v/>
      </c>
      <c r="W26" s="177" t="str">
        <f aca="false">IF(OR(V26="",I26=""),"",V26-I26)</f>
        <v/>
      </c>
      <c r="X26" s="106" t="str">
        <f aca="false">IF(OR(C26="",H26="",I26=""),"",IF(N26&lt;&gt;"",IF(N26&lt;=I26,"เสร็จ / Completed","เสร็จช้า / Completed Late"),IF(AND(M26="",'ตั้งค่า Setup'!$C$15&lt;Z26),"ยังไม่ถึงกำหนด / Not Due",IF(N(O26)&gt;=P26,"ตามแผน / On Track",IF('ตั้งค่า Setup'!$C$15&gt;I26,"เกินกำหนด / Overdue","ล่าช้า / Behind")))))</f>
        <v/>
      </c>
      <c r="Y26" s="35"/>
      <c r="Z26" s="178" t="n">
        <f aca="false">IF(C26="",0,IF(K26&lt;&gt;"",K26,N(H26)))</f>
        <v>0</v>
      </c>
      <c r="AA26" s="178" t="n">
        <f aca="false">IF(C26="",0,IF(L26&lt;&gt;"",L26,N(I26)))</f>
        <v>0</v>
      </c>
      <c r="AB26" s="179" t="str">
        <f aca="false">IF(AND(C26&lt;&gt;"",N26="",ISNUMBER(W26)),W26+(1000-ROW())/1000000,"")</f>
        <v/>
      </c>
      <c r="AC26" s="179" t="n">
        <f aca="false">IF(AND(C26&lt;&gt;"",N26="",Z26&gt;0,Z26&lt;='ตั้งค่า Setup'!$C$15+'ตั้งค่า Setup'!$C$20),1,0)</f>
        <v>0</v>
      </c>
      <c r="AD26" s="179" t="str">
        <f aca="false">IF(AC26=1,SUM(AC$7:AC26),"")</f>
        <v/>
      </c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/>
      <c r="BO26" s="180"/>
      <c r="BP26" s="180"/>
      <c r="BQ26" s="180"/>
      <c r="BR26" s="180"/>
      <c r="BS26" s="180"/>
      <c r="BT26" s="180"/>
      <c r="BU26" s="180"/>
      <c r="BV26" s="180"/>
      <c r="BW26" s="180"/>
      <c r="BX26" s="180"/>
      <c r="BY26" s="180"/>
      <c r="BZ26" s="180"/>
      <c r="CA26" s="180"/>
      <c r="CB26" s="180"/>
      <c r="CC26" s="180"/>
      <c r="CD26" s="180"/>
      <c r="CE26" s="180"/>
      <c r="CF26" s="180"/>
      <c r="CG26" s="180"/>
      <c r="CH26" s="180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  <c r="CS26" s="180"/>
      <c r="CT26" s="180"/>
      <c r="CU26" s="180"/>
      <c r="CV26" s="180"/>
      <c r="CW26" s="180"/>
      <c r="CX26" s="180"/>
      <c r="CY26" s="180"/>
      <c r="CZ26" s="180"/>
      <c r="DA26" s="180"/>
      <c r="DB26" s="180"/>
      <c r="DC26" s="180"/>
      <c r="DD26" s="180"/>
      <c r="DE26" s="180"/>
      <c r="DF26" s="180"/>
      <c r="DG26" s="180"/>
    </row>
    <row r="27" customFormat="false" ht="15" hidden="false" customHeight="false" outlineLevel="0" collapsed="false">
      <c r="A27" s="106" t="str">
        <f aca="false">IF(OR(B27="",C27=""),"",IFERROR(MATCH(B27,'ตั้งค่า Setup'!$C$26:$C$65,0)&amp;"."&amp;COUNTIF(B$7:B27,B27),"?"))</f>
        <v/>
      </c>
      <c r="B27" s="35"/>
      <c r="C27" s="35"/>
      <c r="D27" s="25"/>
      <c r="E27" s="102"/>
      <c r="F27" s="104" t="n">
        <f aca="false">IF(C27="",0,IF(E27&lt;&gt;"",E27,IF(SUM($D$7:$D$66)&gt;0,N(D27)/SUM($D$7:$D$66),0)))</f>
        <v>0</v>
      </c>
      <c r="G27" s="175" t="str">
        <f aca="false">IF(C27="","",F27*'ตั้งค่า Setup'!$C$9)</f>
        <v/>
      </c>
      <c r="H27" s="27"/>
      <c r="I27" s="27"/>
      <c r="J27" s="106" t="str">
        <f aca="false">IF(OR(H27="",I27=""),"",I27-H27+1)</f>
        <v/>
      </c>
      <c r="K27" s="27"/>
      <c r="L27" s="27"/>
      <c r="M27" s="27"/>
      <c r="N27" s="27"/>
      <c r="O27" s="102"/>
      <c r="P27" s="104" t="str">
        <f aca="false">IF(OR(C27="",H27="",I27=""),"",MAX(0,MIN(1,('ตั้งค่า Setup'!$C$15-H27+1)/(I27-H27+1))))</f>
        <v/>
      </c>
      <c r="Q27" s="104" t="str">
        <f aca="false">IF(OR(C27="",Z27=0),"",MAX(0,MIN(1,('ตั้งค่า Setup'!$C$15-Z27+1)/(AA27-Z27+1))))</f>
        <v/>
      </c>
      <c r="R27" s="175" t="str">
        <f aca="false">IF(P27="","",G27*P27)</f>
        <v/>
      </c>
      <c r="S27" s="175" t="str">
        <f aca="false">IF(C27="","",G27*N(O27))</f>
        <v/>
      </c>
      <c r="T27" s="175" t="str">
        <f aca="false">IF(OR(R27="",S27=""),"",S27-R27)</f>
        <v/>
      </c>
      <c r="U27" s="176" t="str">
        <f aca="false">IF(OR(R27="",S27=""),"",IF(R27=0,"",S27/R27))</f>
        <v/>
      </c>
      <c r="V27" s="115" t="str">
        <f aca="false">IF(OR(C27="",Z27=0),"",IF(N27&lt;&gt;"",N27,IF(AND(N(O27)&gt;0,M27&lt;&gt;""),M27+ROUND((MAX('ตั้งค่า Setup'!$C$15,M27)-M27+1)/O27,0)-1,MAX(AA27,'ตั้งค่า Setup'!$C$15+AA27-Z27))))</f>
        <v/>
      </c>
      <c r="W27" s="177" t="str">
        <f aca="false">IF(OR(V27="",I27=""),"",V27-I27)</f>
        <v/>
      </c>
      <c r="X27" s="106" t="str">
        <f aca="false">IF(OR(C27="",H27="",I27=""),"",IF(N27&lt;&gt;"",IF(N27&lt;=I27,"เสร็จ / Completed","เสร็จช้า / Completed Late"),IF(AND(M27="",'ตั้งค่า Setup'!$C$15&lt;Z27),"ยังไม่ถึงกำหนด / Not Due",IF(N(O27)&gt;=P27,"ตามแผน / On Track",IF('ตั้งค่า Setup'!$C$15&gt;I27,"เกินกำหนด / Overdue","ล่าช้า / Behind")))))</f>
        <v/>
      </c>
      <c r="Y27" s="35"/>
      <c r="Z27" s="178" t="n">
        <f aca="false">IF(C27="",0,IF(K27&lt;&gt;"",K27,N(H27)))</f>
        <v>0</v>
      </c>
      <c r="AA27" s="178" t="n">
        <f aca="false">IF(C27="",0,IF(L27&lt;&gt;"",L27,N(I27)))</f>
        <v>0</v>
      </c>
      <c r="AB27" s="179" t="str">
        <f aca="false">IF(AND(C27&lt;&gt;"",N27="",ISNUMBER(W27)),W27+(1000-ROW())/1000000,"")</f>
        <v/>
      </c>
      <c r="AC27" s="179" t="n">
        <f aca="false">IF(AND(C27&lt;&gt;"",N27="",Z27&gt;0,Z27&lt;='ตั้งค่า Setup'!$C$15+'ตั้งค่า Setup'!$C$20),1,0)</f>
        <v>0</v>
      </c>
      <c r="AD27" s="179" t="str">
        <f aca="false">IF(AC27=1,SUM(AC$7:AC27),"")</f>
        <v/>
      </c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  <c r="BO27" s="180"/>
      <c r="BP27" s="180"/>
      <c r="BQ27" s="180"/>
      <c r="BR27" s="180"/>
      <c r="BS27" s="180"/>
      <c r="BT27" s="180"/>
      <c r="BU27" s="180"/>
      <c r="BV27" s="180"/>
      <c r="BW27" s="180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80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  <c r="CS27" s="180"/>
      <c r="CT27" s="180"/>
      <c r="CU27" s="180"/>
      <c r="CV27" s="180"/>
      <c r="CW27" s="180"/>
      <c r="CX27" s="180"/>
      <c r="CY27" s="180"/>
      <c r="CZ27" s="180"/>
      <c r="DA27" s="180"/>
      <c r="DB27" s="180"/>
      <c r="DC27" s="180"/>
      <c r="DD27" s="180"/>
      <c r="DE27" s="180"/>
      <c r="DF27" s="180"/>
      <c r="DG27" s="180"/>
    </row>
    <row r="28" customFormat="false" ht="15" hidden="false" customHeight="false" outlineLevel="0" collapsed="false">
      <c r="A28" s="106" t="str">
        <f aca="false">IF(OR(B28="",C28=""),"",IFERROR(MATCH(B28,'ตั้งค่า Setup'!$C$26:$C$65,0)&amp;"."&amp;COUNTIF(B$7:B28,B28),"?"))</f>
        <v/>
      </c>
      <c r="B28" s="35"/>
      <c r="C28" s="35"/>
      <c r="D28" s="25"/>
      <c r="E28" s="102"/>
      <c r="F28" s="104" t="n">
        <f aca="false">IF(C28="",0,IF(E28&lt;&gt;"",E28,IF(SUM($D$7:$D$66)&gt;0,N(D28)/SUM($D$7:$D$66),0)))</f>
        <v>0</v>
      </c>
      <c r="G28" s="175" t="str">
        <f aca="false">IF(C28="","",F28*'ตั้งค่า Setup'!$C$9)</f>
        <v/>
      </c>
      <c r="H28" s="27"/>
      <c r="I28" s="27"/>
      <c r="J28" s="106" t="str">
        <f aca="false">IF(OR(H28="",I28=""),"",I28-H28+1)</f>
        <v/>
      </c>
      <c r="K28" s="27"/>
      <c r="L28" s="27"/>
      <c r="M28" s="27"/>
      <c r="N28" s="27"/>
      <c r="O28" s="102"/>
      <c r="P28" s="104" t="str">
        <f aca="false">IF(OR(C28="",H28="",I28=""),"",MAX(0,MIN(1,('ตั้งค่า Setup'!$C$15-H28+1)/(I28-H28+1))))</f>
        <v/>
      </c>
      <c r="Q28" s="104" t="str">
        <f aca="false">IF(OR(C28="",Z28=0),"",MAX(0,MIN(1,('ตั้งค่า Setup'!$C$15-Z28+1)/(AA28-Z28+1))))</f>
        <v/>
      </c>
      <c r="R28" s="175" t="str">
        <f aca="false">IF(P28="","",G28*P28)</f>
        <v/>
      </c>
      <c r="S28" s="175" t="str">
        <f aca="false">IF(C28="","",G28*N(O28))</f>
        <v/>
      </c>
      <c r="T28" s="175" t="str">
        <f aca="false">IF(OR(R28="",S28=""),"",S28-R28)</f>
        <v/>
      </c>
      <c r="U28" s="176" t="str">
        <f aca="false">IF(OR(R28="",S28=""),"",IF(R28=0,"",S28/R28))</f>
        <v/>
      </c>
      <c r="V28" s="115" t="str">
        <f aca="false">IF(OR(C28="",Z28=0),"",IF(N28&lt;&gt;"",N28,IF(AND(N(O28)&gt;0,M28&lt;&gt;""),M28+ROUND((MAX('ตั้งค่า Setup'!$C$15,M28)-M28+1)/O28,0)-1,MAX(AA28,'ตั้งค่า Setup'!$C$15+AA28-Z28))))</f>
        <v/>
      </c>
      <c r="W28" s="177" t="str">
        <f aca="false">IF(OR(V28="",I28=""),"",V28-I28)</f>
        <v/>
      </c>
      <c r="X28" s="106" t="str">
        <f aca="false">IF(OR(C28="",H28="",I28=""),"",IF(N28&lt;&gt;"",IF(N28&lt;=I28,"เสร็จ / Completed","เสร็จช้า / Completed Late"),IF(AND(M28="",'ตั้งค่า Setup'!$C$15&lt;Z28),"ยังไม่ถึงกำหนด / Not Due",IF(N(O28)&gt;=P28,"ตามแผน / On Track",IF('ตั้งค่า Setup'!$C$15&gt;I28,"เกินกำหนด / Overdue","ล่าช้า / Behind")))))</f>
        <v/>
      </c>
      <c r="Y28" s="35"/>
      <c r="Z28" s="178" t="n">
        <f aca="false">IF(C28="",0,IF(K28&lt;&gt;"",K28,N(H28)))</f>
        <v>0</v>
      </c>
      <c r="AA28" s="178" t="n">
        <f aca="false">IF(C28="",0,IF(L28&lt;&gt;"",L28,N(I28)))</f>
        <v>0</v>
      </c>
      <c r="AB28" s="179" t="str">
        <f aca="false">IF(AND(C28&lt;&gt;"",N28="",ISNUMBER(W28)),W28+(1000-ROW())/1000000,"")</f>
        <v/>
      </c>
      <c r="AC28" s="179" t="n">
        <f aca="false">IF(AND(C28&lt;&gt;"",N28="",Z28&gt;0,Z28&lt;='ตั้งค่า Setup'!$C$15+'ตั้งค่า Setup'!$C$20),1,0)</f>
        <v>0</v>
      </c>
      <c r="AD28" s="179" t="str">
        <f aca="false">IF(AC28=1,SUM(AC$7:AC28),"")</f>
        <v/>
      </c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80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80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80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80"/>
      <c r="CT28" s="180"/>
      <c r="CU28" s="180"/>
      <c r="CV28" s="180"/>
      <c r="CW28" s="180"/>
      <c r="CX28" s="180"/>
      <c r="CY28" s="180"/>
      <c r="CZ28" s="180"/>
      <c r="DA28" s="180"/>
      <c r="DB28" s="180"/>
      <c r="DC28" s="180"/>
      <c r="DD28" s="180"/>
      <c r="DE28" s="180"/>
      <c r="DF28" s="180"/>
      <c r="DG28" s="180"/>
    </row>
    <row r="29" customFormat="false" ht="15" hidden="false" customHeight="false" outlineLevel="0" collapsed="false">
      <c r="A29" s="106" t="str">
        <f aca="false">IF(OR(B29="",C29=""),"",IFERROR(MATCH(B29,'ตั้งค่า Setup'!$C$26:$C$65,0)&amp;"."&amp;COUNTIF(B$7:B29,B29),"?"))</f>
        <v/>
      </c>
      <c r="B29" s="35"/>
      <c r="C29" s="35"/>
      <c r="D29" s="25"/>
      <c r="E29" s="102"/>
      <c r="F29" s="104" t="n">
        <f aca="false">IF(C29="",0,IF(E29&lt;&gt;"",E29,IF(SUM($D$7:$D$66)&gt;0,N(D29)/SUM($D$7:$D$66),0)))</f>
        <v>0</v>
      </c>
      <c r="G29" s="175" t="str">
        <f aca="false">IF(C29="","",F29*'ตั้งค่า Setup'!$C$9)</f>
        <v/>
      </c>
      <c r="H29" s="27"/>
      <c r="I29" s="27"/>
      <c r="J29" s="106" t="str">
        <f aca="false">IF(OR(H29="",I29=""),"",I29-H29+1)</f>
        <v/>
      </c>
      <c r="K29" s="27"/>
      <c r="L29" s="27"/>
      <c r="M29" s="27"/>
      <c r="N29" s="27"/>
      <c r="O29" s="102"/>
      <c r="P29" s="104" t="str">
        <f aca="false">IF(OR(C29="",H29="",I29=""),"",MAX(0,MIN(1,('ตั้งค่า Setup'!$C$15-H29+1)/(I29-H29+1))))</f>
        <v/>
      </c>
      <c r="Q29" s="104" t="str">
        <f aca="false">IF(OR(C29="",Z29=0),"",MAX(0,MIN(1,('ตั้งค่า Setup'!$C$15-Z29+1)/(AA29-Z29+1))))</f>
        <v/>
      </c>
      <c r="R29" s="175" t="str">
        <f aca="false">IF(P29="","",G29*P29)</f>
        <v/>
      </c>
      <c r="S29" s="175" t="str">
        <f aca="false">IF(C29="","",G29*N(O29))</f>
        <v/>
      </c>
      <c r="T29" s="175" t="str">
        <f aca="false">IF(OR(R29="",S29=""),"",S29-R29)</f>
        <v/>
      </c>
      <c r="U29" s="176" t="str">
        <f aca="false">IF(OR(R29="",S29=""),"",IF(R29=0,"",S29/R29))</f>
        <v/>
      </c>
      <c r="V29" s="115" t="str">
        <f aca="false">IF(OR(C29="",Z29=0),"",IF(N29&lt;&gt;"",N29,IF(AND(N(O29)&gt;0,M29&lt;&gt;""),M29+ROUND((MAX('ตั้งค่า Setup'!$C$15,M29)-M29+1)/O29,0)-1,MAX(AA29,'ตั้งค่า Setup'!$C$15+AA29-Z29))))</f>
        <v/>
      </c>
      <c r="W29" s="177" t="str">
        <f aca="false">IF(OR(V29="",I29=""),"",V29-I29)</f>
        <v/>
      </c>
      <c r="X29" s="106" t="str">
        <f aca="false">IF(OR(C29="",H29="",I29=""),"",IF(N29&lt;&gt;"",IF(N29&lt;=I29,"เสร็จ / Completed","เสร็จช้า / Completed Late"),IF(AND(M29="",'ตั้งค่า Setup'!$C$15&lt;Z29),"ยังไม่ถึงกำหนด / Not Due",IF(N(O29)&gt;=P29,"ตามแผน / On Track",IF('ตั้งค่า Setup'!$C$15&gt;I29,"เกินกำหนด / Overdue","ล่าช้า / Behind")))))</f>
        <v/>
      </c>
      <c r="Y29" s="35"/>
      <c r="Z29" s="178" t="n">
        <f aca="false">IF(C29="",0,IF(K29&lt;&gt;"",K29,N(H29)))</f>
        <v>0</v>
      </c>
      <c r="AA29" s="178" t="n">
        <f aca="false">IF(C29="",0,IF(L29&lt;&gt;"",L29,N(I29)))</f>
        <v>0</v>
      </c>
      <c r="AB29" s="179" t="str">
        <f aca="false">IF(AND(C29&lt;&gt;"",N29="",ISNUMBER(W29)),W29+(1000-ROW())/1000000,"")</f>
        <v/>
      </c>
      <c r="AC29" s="179" t="n">
        <f aca="false">IF(AND(C29&lt;&gt;"",N29="",Z29&gt;0,Z29&lt;='ตั้งค่า Setup'!$C$15+'ตั้งค่า Setup'!$C$20),1,0)</f>
        <v>0</v>
      </c>
      <c r="AD29" s="179" t="str">
        <f aca="false">IF(AC29=1,SUM(AC$7:AC29),"")</f>
        <v/>
      </c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180"/>
      <c r="BY29" s="180"/>
      <c r="BZ29" s="180"/>
      <c r="CA29" s="180"/>
      <c r="CB29" s="180"/>
      <c r="CC29" s="180"/>
      <c r="CD29" s="180"/>
      <c r="CE29" s="180"/>
      <c r="CF29" s="180"/>
      <c r="CG29" s="180"/>
      <c r="CH29" s="180"/>
      <c r="CI29" s="180"/>
      <c r="CJ29" s="180"/>
      <c r="CK29" s="180"/>
      <c r="CL29" s="180"/>
      <c r="CM29" s="180"/>
      <c r="CN29" s="180"/>
      <c r="CO29" s="180"/>
      <c r="CP29" s="180"/>
      <c r="CQ29" s="180"/>
      <c r="CR29" s="180"/>
      <c r="CS29" s="180"/>
      <c r="CT29" s="180"/>
      <c r="CU29" s="180"/>
      <c r="CV29" s="180"/>
      <c r="CW29" s="180"/>
      <c r="CX29" s="180"/>
      <c r="CY29" s="180"/>
      <c r="CZ29" s="180"/>
      <c r="DA29" s="180"/>
      <c r="DB29" s="180"/>
      <c r="DC29" s="180"/>
      <c r="DD29" s="180"/>
      <c r="DE29" s="180"/>
      <c r="DF29" s="180"/>
      <c r="DG29" s="180"/>
    </row>
    <row r="30" customFormat="false" ht="15" hidden="false" customHeight="false" outlineLevel="0" collapsed="false">
      <c r="A30" s="106" t="str">
        <f aca="false">IF(OR(B30="",C30=""),"",IFERROR(MATCH(B30,'ตั้งค่า Setup'!$C$26:$C$65,0)&amp;"."&amp;COUNTIF(B$7:B30,B30),"?"))</f>
        <v/>
      </c>
      <c r="B30" s="35"/>
      <c r="C30" s="35"/>
      <c r="D30" s="25"/>
      <c r="E30" s="102"/>
      <c r="F30" s="104" t="n">
        <f aca="false">IF(C30="",0,IF(E30&lt;&gt;"",E30,IF(SUM($D$7:$D$66)&gt;0,N(D30)/SUM($D$7:$D$66),0)))</f>
        <v>0</v>
      </c>
      <c r="G30" s="175" t="str">
        <f aca="false">IF(C30="","",F30*'ตั้งค่า Setup'!$C$9)</f>
        <v/>
      </c>
      <c r="H30" s="27"/>
      <c r="I30" s="27"/>
      <c r="J30" s="106" t="str">
        <f aca="false">IF(OR(H30="",I30=""),"",I30-H30+1)</f>
        <v/>
      </c>
      <c r="K30" s="27"/>
      <c r="L30" s="27"/>
      <c r="M30" s="27"/>
      <c r="N30" s="27"/>
      <c r="O30" s="102"/>
      <c r="P30" s="104" t="str">
        <f aca="false">IF(OR(C30="",H30="",I30=""),"",MAX(0,MIN(1,('ตั้งค่า Setup'!$C$15-H30+1)/(I30-H30+1))))</f>
        <v/>
      </c>
      <c r="Q30" s="104" t="str">
        <f aca="false">IF(OR(C30="",Z30=0),"",MAX(0,MIN(1,('ตั้งค่า Setup'!$C$15-Z30+1)/(AA30-Z30+1))))</f>
        <v/>
      </c>
      <c r="R30" s="175" t="str">
        <f aca="false">IF(P30="","",G30*P30)</f>
        <v/>
      </c>
      <c r="S30" s="175" t="str">
        <f aca="false">IF(C30="","",G30*N(O30))</f>
        <v/>
      </c>
      <c r="T30" s="175" t="str">
        <f aca="false">IF(OR(R30="",S30=""),"",S30-R30)</f>
        <v/>
      </c>
      <c r="U30" s="176" t="str">
        <f aca="false">IF(OR(R30="",S30=""),"",IF(R30=0,"",S30/R30))</f>
        <v/>
      </c>
      <c r="V30" s="115" t="str">
        <f aca="false">IF(OR(C30="",Z30=0),"",IF(N30&lt;&gt;"",N30,IF(AND(N(O30)&gt;0,M30&lt;&gt;""),M30+ROUND((MAX('ตั้งค่า Setup'!$C$15,M30)-M30+1)/O30,0)-1,MAX(AA30,'ตั้งค่า Setup'!$C$15+AA30-Z30))))</f>
        <v/>
      </c>
      <c r="W30" s="177" t="str">
        <f aca="false">IF(OR(V30="",I30=""),"",V30-I30)</f>
        <v/>
      </c>
      <c r="X30" s="106" t="str">
        <f aca="false">IF(OR(C30="",H30="",I30=""),"",IF(N30&lt;&gt;"",IF(N30&lt;=I30,"เสร็จ / Completed","เสร็จช้า / Completed Late"),IF(AND(M30="",'ตั้งค่า Setup'!$C$15&lt;Z30),"ยังไม่ถึงกำหนด / Not Due",IF(N(O30)&gt;=P30,"ตามแผน / On Track",IF('ตั้งค่า Setup'!$C$15&gt;I30,"เกินกำหนด / Overdue","ล่าช้า / Behind")))))</f>
        <v/>
      </c>
      <c r="Y30" s="35"/>
      <c r="Z30" s="178" t="n">
        <f aca="false">IF(C30="",0,IF(K30&lt;&gt;"",K30,N(H30)))</f>
        <v>0</v>
      </c>
      <c r="AA30" s="178" t="n">
        <f aca="false">IF(C30="",0,IF(L30&lt;&gt;"",L30,N(I30)))</f>
        <v>0</v>
      </c>
      <c r="AB30" s="179" t="str">
        <f aca="false">IF(AND(C30&lt;&gt;"",N30="",ISNUMBER(W30)),W30+(1000-ROW())/1000000,"")</f>
        <v/>
      </c>
      <c r="AC30" s="179" t="n">
        <f aca="false">IF(AND(C30&lt;&gt;"",N30="",Z30&gt;0,Z30&lt;='ตั้งค่า Setup'!$C$15+'ตั้งค่า Setup'!$C$20),1,0)</f>
        <v>0</v>
      </c>
      <c r="AD30" s="179" t="str">
        <f aca="false">IF(AC30=1,SUM(AC$7:AC30),"")</f>
        <v/>
      </c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180"/>
      <c r="BY30" s="180"/>
      <c r="BZ30" s="180"/>
      <c r="CA30" s="180"/>
      <c r="CB30" s="180"/>
      <c r="CC30" s="180"/>
      <c r="CD30" s="180"/>
      <c r="CE30" s="180"/>
      <c r="CF30" s="180"/>
      <c r="CG30" s="180"/>
      <c r="CH30" s="180"/>
      <c r="CI30" s="180"/>
      <c r="CJ30" s="180"/>
      <c r="CK30" s="180"/>
      <c r="CL30" s="180"/>
      <c r="CM30" s="180"/>
      <c r="CN30" s="180"/>
      <c r="CO30" s="180"/>
      <c r="CP30" s="180"/>
      <c r="CQ30" s="180"/>
      <c r="CR30" s="180"/>
      <c r="CS30" s="180"/>
      <c r="CT30" s="180"/>
      <c r="CU30" s="180"/>
      <c r="CV30" s="180"/>
      <c r="CW30" s="180"/>
      <c r="CX30" s="180"/>
      <c r="CY30" s="180"/>
      <c r="CZ30" s="180"/>
      <c r="DA30" s="180"/>
      <c r="DB30" s="180"/>
      <c r="DC30" s="180"/>
      <c r="DD30" s="180"/>
      <c r="DE30" s="180"/>
      <c r="DF30" s="180"/>
      <c r="DG30" s="180"/>
    </row>
    <row r="31" customFormat="false" ht="15" hidden="false" customHeight="false" outlineLevel="0" collapsed="false">
      <c r="A31" s="106" t="str">
        <f aca="false">IF(OR(B31="",C31=""),"",IFERROR(MATCH(B31,'ตั้งค่า Setup'!$C$26:$C$65,0)&amp;"."&amp;COUNTIF(B$7:B31,B31),"?"))</f>
        <v/>
      </c>
      <c r="B31" s="35"/>
      <c r="C31" s="35"/>
      <c r="D31" s="25"/>
      <c r="E31" s="102"/>
      <c r="F31" s="104" t="n">
        <f aca="false">IF(C31="",0,IF(E31&lt;&gt;"",E31,IF(SUM($D$7:$D$66)&gt;0,N(D31)/SUM($D$7:$D$66),0)))</f>
        <v>0</v>
      </c>
      <c r="G31" s="175" t="str">
        <f aca="false">IF(C31="","",F31*'ตั้งค่า Setup'!$C$9)</f>
        <v/>
      </c>
      <c r="H31" s="27"/>
      <c r="I31" s="27"/>
      <c r="J31" s="106" t="str">
        <f aca="false">IF(OR(H31="",I31=""),"",I31-H31+1)</f>
        <v/>
      </c>
      <c r="K31" s="27"/>
      <c r="L31" s="27"/>
      <c r="M31" s="27"/>
      <c r="N31" s="27"/>
      <c r="O31" s="102"/>
      <c r="P31" s="104" t="str">
        <f aca="false">IF(OR(C31="",H31="",I31=""),"",MAX(0,MIN(1,('ตั้งค่า Setup'!$C$15-H31+1)/(I31-H31+1))))</f>
        <v/>
      </c>
      <c r="Q31" s="104" t="str">
        <f aca="false">IF(OR(C31="",Z31=0),"",MAX(0,MIN(1,('ตั้งค่า Setup'!$C$15-Z31+1)/(AA31-Z31+1))))</f>
        <v/>
      </c>
      <c r="R31" s="175" t="str">
        <f aca="false">IF(P31="","",G31*P31)</f>
        <v/>
      </c>
      <c r="S31" s="175" t="str">
        <f aca="false">IF(C31="","",G31*N(O31))</f>
        <v/>
      </c>
      <c r="T31" s="175" t="str">
        <f aca="false">IF(OR(R31="",S31=""),"",S31-R31)</f>
        <v/>
      </c>
      <c r="U31" s="176" t="str">
        <f aca="false">IF(OR(R31="",S31=""),"",IF(R31=0,"",S31/R31))</f>
        <v/>
      </c>
      <c r="V31" s="115" t="str">
        <f aca="false">IF(OR(C31="",Z31=0),"",IF(N31&lt;&gt;"",N31,IF(AND(N(O31)&gt;0,M31&lt;&gt;""),M31+ROUND((MAX('ตั้งค่า Setup'!$C$15,M31)-M31+1)/O31,0)-1,MAX(AA31,'ตั้งค่า Setup'!$C$15+AA31-Z31))))</f>
        <v/>
      </c>
      <c r="W31" s="177" t="str">
        <f aca="false">IF(OR(V31="",I31=""),"",V31-I31)</f>
        <v/>
      </c>
      <c r="X31" s="106" t="str">
        <f aca="false">IF(OR(C31="",H31="",I31=""),"",IF(N31&lt;&gt;"",IF(N31&lt;=I31,"เสร็จ / Completed","เสร็จช้า / Completed Late"),IF(AND(M31="",'ตั้งค่า Setup'!$C$15&lt;Z31),"ยังไม่ถึงกำหนด / Not Due",IF(N(O31)&gt;=P31,"ตามแผน / On Track",IF('ตั้งค่า Setup'!$C$15&gt;I31,"เกินกำหนด / Overdue","ล่าช้า / Behind")))))</f>
        <v/>
      </c>
      <c r="Y31" s="35"/>
      <c r="Z31" s="178" t="n">
        <f aca="false">IF(C31="",0,IF(K31&lt;&gt;"",K31,N(H31)))</f>
        <v>0</v>
      </c>
      <c r="AA31" s="178" t="n">
        <f aca="false">IF(C31="",0,IF(L31&lt;&gt;"",L31,N(I31)))</f>
        <v>0</v>
      </c>
      <c r="AB31" s="179" t="str">
        <f aca="false">IF(AND(C31&lt;&gt;"",N31="",ISNUMBER(W31)),W31+(1000-ROW())/1000000,"")</f>
        <v/>
      </c>
      <c r="AC31" s="179" t="n">
        <f aca="false">IF(AND(C31&lt;&gt;"",N31="",Z31&gt;0,Z31&lt;='ตั้งค่า Setup'!$C$15+'ตั้งค่า Setup'!$C$20),1,0)</f>
        <v>0</v>
      </c>
      <c r="AD31" s="179" t="str">
        <f aca="false">IF(AC31=1,SUM(AC$7:AC31),"")</f>
        <v/>
      </c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80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80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80"/>
      <c r="CT31" s="180"/>
      <c r="CU31" s="180"/>
      <c r="CV31" s="180"/>
      <c r="CW31" s="180"/>
      <c r="CX31" s="180"/>
      <c r="CY31" s="180"/>
      <c r="CZ31" s="180"/>
      <c r="DA31" s="180"/>
      <c r="DB31" s="180"/>
      <c r="DC31" s="180"/>
      <c r="DD31" s="180"/>
      <c r="DE31" s="180"/>
      <c r="DF31" s="180"/>
      <c r="DG31" s="180"/>
    </row>
    <row r="32" customFormat="false" ht="15" hidden="false" customHeight="false" outlineLevel="0" collapsed="false">
      <c r="A32" s="106" t="str">
        <f aca="false">IF(OR(B32="",C32=""),"",IFERROR(MATCH(B32,'ตั้งค่า Setup'!$C$26:$C$65,0)&amp;"."&amp;COUNTIF(B$7:B32,B32),"?"))</f>
        <v/>
      </c>
      <c r="B32" s="35"/>
      <c r="C32" s="35"/>
      <c r="D32" s="25"/>
      <c r="E32" s="102"/>
      <c r="F32" s="104" t="n">
        <f aca="false">IF(C32="",0,IF(E32&lt;&gt;"",E32,IF(SUM($D$7:$D$66)&gt;0,N(D32)/SUM($D$7:$D$66),0)))</f>
        <v>0</v>
      </c>
      <c r="G32" s="175" t="str">
        <f aca="false">IF(C32="","",F32*'ตั้งค่า Setup'!$C$9)</f>
        <v/>
      </c>
      <c r="H32" s="27"/>
      <c r="I32" s="27"/>
      <c r="J32" s="106" t="str">
        <f aca="false">IF(OR(H32="",I32=""),"",I32-H32+1)</f>
        <v/>
      </c>
      <c r="K32" s="27"/>
      <c r="L32" s="27"/>
      <c r="M32" s="27"/>
      <c r="N32" s="27"/>
      <c r="O32" s="102"/>
      <c r="P32" s="104" t="str">
        <f aca="false">IF(OR(C32="",H32="",I32=""),"",MAX(0,MIN(1,('ตั้งค่า Setup'!$C$15-H32+1)/(I32-H32+1))))</f>
        <v/>
      </c>
      <c r="Q32" s="104" t="str">
        <f aca="false">IF(OR(C32="",Z32=0),"",MAX(0,MIN(1,('ตั้งค่า Setup'!$C$15-Z32+1)/(AA32-Z32+1))))</f>
        <v/>
      </c>
      <c r="R32" s="175" t="str">
        <f aca="false">IF(P32="","",G32*P32)</f>
        <v/>
      </c>
      <c r="S32" s="175" t="str">
        <f aca="false">IF(C32="","",G32*N(O32))</f>
        <v/>
      </c>
      <c r="T32" s="175" t="str">
        <f aca="false">IF(OR(R32="",S32=""),"",S32-R32)</f>
        <v/>
      </c>
      <c r="U32" s="176" t="str">
        <f aca="false">IF(OR(R32="",S32=""),"",IF(R32=0,"",S32/R32))</f>
        <v/>
      </c>
      <c r="V32" s="115" t="str">
        <f aca="false">IF(OR(C32="",Z32=0),"",IF(N32&lt;&gt;"",N32,IF(AND(N(O32)&gt;0,M32&lt;&gt;""),M32+ROUND((MAX('ตั้งค่า Setup'!$C$15,M32)-M32+1)/O32,0)-1,MAX(AA32,'ตั้งค่า Setup'!$C$15+AA32-Z32))))</f>
        <v/>
      </c>
      <c r="W32" s="177" t="str">
        <f aca="false">IF(OR(V32="",I32=""),"",V32-I32)</f>
        <v/>
      </c>
      <c r="X32" s="106" t="str">
        <f aca="false">IF(OR(C32="",H32="",I32=""),"",IF(N32&lt;&gt;"",IF(N32&lt;=I32,"เสร็จ / Completed","เสร็จช้า / Completed Late"),IF(AND(M32="",'ตั้งค่า Setup'!$C$15&lt;Z32),"ยังไม่ถึงกำหนด / Not Due",IF(N(O32)&gt;=P32,"ตามแผน / On Track",IF('ตั้งค่า Setup'!$C$15&gt;I32,"เกินกำหนด / Overdue","ล่าช้า / Behind")))))</f>
        <v/>
      </c>
      <c r="Y32" s="35"/>
      <c r="Z32" s="178" t="n">
        <f aca="false">IF(C32="",0,IF(K32&lt;&gt;"",K32,N(H32)))</f>
        <v>0</v>
      </c>
      <c r="AA32" s="178" t="n">
        <f aca="false">IF(C32="",0,IF(L32&lt;&gt;"",L32,N(I32)))</f>
        <v>0</v>
      </c>
      <c r="AB32" s="179" t="str">
        <f aca="false">IF(AND(C32&lt;&gt;"",N32="",ISNUMBER(W32)),W32+(1000-ROW())/1000000,"")</f>
        <v/>
      </c>
      <c r="AC32" s="179" t="n">
        <f aca="false">IF(AND(C32&lt;&gt;"",N32="",Z32&gt;0,Z32&lt;='ตั้งค่า Setup'!$C$15+'ตั้งค่า Setup'!$C$20),1,0)</f>
        <v>0</v>
      </c>
      <c r="AD32" s="179" t="str">
        <f aca="false">IF(AC32=1,SUM(AC$7:AC32),"")</f>
        <v/>
      </c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80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80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  <c r="CS32" s="180"/>
      <c r="CT32" s="180"/>
      <c r="CU32" s="180"/>
      <c r="CV32" s="180"/>
      <c r="CW32" s="180"/>
      <c r="CX32" s="180"/>
      <c r="CY32" s="180"/>
      <c r="CZ32" s="180"/>
      <c r="DA32" s="180"/>
      <c r="DB32" s="180"/>
      <c r="DC32" s="180"/>
      <c r="DD32" s="180"/>
      <c r="DE32" s="180"/>
      <c r="DF32" s="180"/>
      <c r="DG32" s="180"/>
    </row>
    <row r="33" customFormat="false" ht="15" hidden="false" customHeight="false" outlineLevel="0" collapsed="false">
      <c r="A33" s="106" t="str">
        <f aca="false">IF(OR(B33="",C33=""),"",IFERROR(MATCH(B33,'ตั้งค่า Setup'!$C$26:$C$65,0)&amp;"."&amp;COUNTIF(B$7:B33,B33),"?"))</f>
        <v/>
      </c>
      <c r="B33" s="35"/>
      <c r="C33" s="35"/>
      <c r="D33" s="25"/>
      <c r="E33" s="102"/>
      <c r="F33" s="104" t="n">
        <f aca="false">IF(C33="",0,IF(E33&lt;&gt;"",E33,IF(SUM($D$7:$D$66)&gt;0,N(D33)/SUM($D$7:$D$66),0)))</f>
        <v>0</v>
      </c>
      <c r="G33" s="175" t="str">
        <f aca="false">IF(C33="","",F33*'ตั้งค่า Setup'!$C$9)</f>
        <v/>
      </c>
      <c r="H33" s="27"/>
      <c r="I33" s="27"/>
      <c r="J33" s="106" t="str">
        <f aca="false">IF(OR(H33="",I33=""),"",I33-H33+1)</f>
        <v/>
      </c>
      <c r="K33" s="27"/>
      <c r="L33" s="27"/>
      <c r="M33" s="27"/>
      <c r="N33" s="27"/>
      <c r="O33" s="102"/>
      <c r="P33" s="104" t="str">
        <f aca="false">IF(OR(C33="",H33="",I33=""),"",MAX(0,MIN(1,('ตั้งค่า Setup'!$C$15-H33+1)/(I33-H33+1))))</f>
        <v/>
      </c>
      <c r="Q33" s="104" t="str">
        <f aca="false">IF(OR(C33="",Z33=0),"",MAX(0,MIN(1,('ตั้งค่า Setup'!$C$15-Z33+1)/(AA33-Z33+1))))</f>
        <v/>
      </c>
      <c r="R33" s="175" t="str">
        <f aca="false">IF(P33="","",G33*P33)</f>
        <v/>
      </c>
      <c r="S33" s="175" t="str">
        <f aca="false">IF(C33="","",G33*N(O33))</f>
        <v/>
      </c>
      <c r="T33" s="175" t="str">
        <f aca="false">IF(OR(R33="",S33=""),"",S33-R33)</f>
        <v/>
      </c>
      <c r="U33" s="176" t="str">
        <f aca="false">IF(OR(R33="",S33=""),"",IF(R33=0,"",S33/R33))</f>
        <v/>
      </c>
      <c r="V33" s="115" t="str">
        <f aca="false">IF(OR(C33="",Z33=0),"",IF(N33&lt;&gt;"",N33,IF(AND(N(O33)&gt;0,M33&lt;&gt;""),M33+ROUND((MAX('ตั้งค่า Setup'!$C$15,M33)-M33+1)/O33,0)-1,MAX(AA33,'ตั้งค่า Setup'!$C$15+AA33-Z33))))</f>
        <v/>
      </c>
      <c r="W33" s="177" t="str">
        <f aca="false">IF(OR(V33="",I33=""),"",V33-I33)</f>
        <v/>
      </c>
      <c r="X33" s="106" t="str">
        <f aca="false">IF(OR(C33="",H33="",I33=""),"",IF(N33&lt;&gt;"",IF(N33&lt;=I33,"เสร็จ / Completed","เสร็จช้า / Completed Late"),IF(AND(M33="",'ตั้งค่า Setup'!$C$15&lt;Z33),"ยังไม่ถึงกำหนด / Not Due",IF(N(O33)&gt;=P33,"ตามแผน / On Track",IF('ตั้งค่า Setup'!$C$15&gt;I33,"เกินกำหนด / Overdue","ล่าช้า / Behind")))))</f>
        <v/>
      </c>
      <c r="Y33" s="35"/>
      <c r="Z33" s="178" t="n">
        <f aca="false">IF(C33="",0,IF(K33&lt;&gt;"",K33,N(H33)))</f>
        <v>0</v>
      </c>
      <c r="AA33" s="178" t="n">
        <f aca="false">IF(C33="",0,IF(L33&lt;&gt;"",L33,N(I33)))</f>
        <v>0</v>
      </c>
      <c r="AB33" s="179" t="str">
        <f aca="false">IF(AND(C33&lt;&gt;"",N33="",ISNUMBER(W33)),W33+(1000-ROW())/1000000,"")</f>
        <v/>
      </c>
      <c r="AC33" s="179" t="n">
        <f aca="false">IF(AND(C33&lt;&gt;"",N33="",Z33&gt;0,Z33&lt;='ตั้งค่า Setup'!$C$15+'ตั้งค่า Setup'!$C$20),1,0)</f>
        <v>0</v>
      </c>
      <c r="AD33" s="179" t="str">
        <f aca="false">IF(AC33=1,SUM(AC$7:AC33),"")</f>
        <v/>
      </c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0"/>
      <c r="BN33" s="180"/>
      <c r="BO33" s="180"/>
      <c r="BP33" s="180"/>
      <c r="BQ33" s="180"/>
      <c r="BR33" s="180"/>
      <c r="BS33" s="180"/>
      <c r="BT33" s="180"/>
      <c r="BU33" s="180"/>
      <c r="BV33" s="180"/>
      <c r="BW33" s="180"/>
      <c r="BX33" s="180"/>
      <c r="BY33" s="180"/>
      <c r="BZ33" s="180"/>
      <c r="CA33" s="180"/>
      <c r="CB33" s="180"/>
      <c r="CC33" s="180"/>
      <c r="CD33" s="180"/>
      <c r="CE33" s="180"/>
      <c r="CF33" s="180"/>
      <c r="CG33" s="180"/>
      <c r="CH33" s="180"/>
      <c r="CI33" s="180"/>
      <c r="CJ33" s="180"/>
      <c r="CK33" s="180"/>
      <c r="CL33" s="180"/>
      <c r="CM33" s="180"/>
      <c r="CN33" s="180"/>
      <c r="CO33" s="180"/>
      <c r="CP33" s="180"/>
      <c r="CQ33" s="180"/>
      <c r="CR33" s="180"/>
      <c r="CS33" s="180"/>
      <c r="CT33" s="180"/>
      <c r="CU33" s="180"/>
      <c r="CV33" s="180"/>
      <c r="CW33" s="180"/>
      <c r="CX33" s="180"/>
      <c r="CY33" s="180"/>
      <c r="CZ33" s="180"/>
      <c r="DA33" s="180"/>
      <c r="DB33" s="180"/>
      <c r="DC33" s="180"/>
      <c r="DD33" s="180"/>
      <c r="DE33" s="180"/>
      <c r="DF33" s="180"/>
      <c r="DG33" s="180"/>
    </row>
    <row r="34" customFormat="false" ht="15" hidden="false" customHeight="false" outlineLevel="0" collapsed="false">
      <c r="A34" s="106" t="str">
        <f aca="false">IF(OR(B34="",C34=""),"",IFERROR(MATCH(B34,'ตั้งค่า Setup'!$C$26:$C$65,0)&amp;"."&amp;COUNTIF(B$7:B34,B34),"?"))</f>
        <v/>
      </c>
      <c r="B34" s="35"/>
      <c r="C34" s="35"/>
      <c r="D34" s="25"/>
      <c r="E34" s="102"/>
      <c r="F34" s="104" t="n">
        <f aca="false">IF(C34="",0,IF(E34&lt;&gt;"",E34,IF(SUM($D$7:$D$66)&gt;0,N(D34)/SUM($D$7:$D$66),0)))</f>
        <v>0</v>
      </c>
      <c r="G34" s="175" t="str">
        <f aca="false">IF(C34="","",F34*'ตั้งค่า Setup'!$C$9)</f>
        <v/>
      </c>
      <c r="H34" s="27"/>
      <c r="I34" s="27"/>
      <c r="J34" s="106" t="str">
        <f aca="false">IF(OR(H34="",I34=""),"",I34-H34+1)</f>
        <v/>
      </c>
      <c r="K34" s="27"/>
      <c r="L34" s="27"/>
      <c r="M34" s="27"/>
      <c r="N34" s="27"/>
      <c r="O34" s="102"/>
      <c r="P34" s="104" t="str">
        <f aca="false">IF(OR(C34="",H34="",I34=""),"",MAX(0,MIN(1,('ตั้งค่า Setup'!$C$15-H34+1)/(I34-H34+1))))</f>
        <v/>
      </c>
      <c r="Q34" s="104" t="str">
        <f aca="false">IF(OR(C34="",Z34=0),"",MAX(0,MIN(1,('ตั้งค่า Setup'!$C$15-Z34+1)/(AA34-Z34+1))))</f>
        <v/>
      </c>
      <c r="R34" s="175" t="str">
        <f aca="false">IF(P34="","",G34*P34)</f>
        <v/>
      </c>
      <c r="S34" s="175" t="str">
        <f aca="false">IF(C34="","",G34*N(O34))</f>
        <v/>
      </c>
      <c r="T34" s="175" t="str">
        <f aca="false">IF(OR(R34="",S34=""),"",S34-R34)</f>
        <v/>
      </c>
      <c r="U34" s="176" t="str">
        <f aca="false">IF(OR(R34="",S34=""),"",IF(R34=0,"",S34/R34))</f>
        <v/>
      </c>
      <c r="V34" s="115" t="str">
        <f aca="false">IF(OR(C34="",Z34=0),"",IF(N34&lt;&gt;"",N34,IF(AND(N(O34)&gt;0,M34&lt;&gt;""),M34+ROUND((MAX('ตั้งค่า Setup'!$C$15,M34)-M34+1)/O34,0)-1,MAX(AA34,'ตั้งค่า Setup'!$C$15+AA34-Z34))))</f>
        <v/>
      </c>
      <c r="W34" s="177" t="str">
        <f aca="false">IF(OR(V34="",I34=""),"",V34-I34)</f>
        <v/>
      </c>
      <c r="X34" s="106" t="str">
        <f aca="false">IF(OR(C34="",H34="",I34=""),"",IF(N34&lt;&gt;"",IF(N34&lt;=I34,"เสร็จ / Completed","เสร็จช้า / Completed Late"),IF(AND(M34="",'ตั้งค่า Setup'!$C$15&lt;Z34),"ยังไม่ถึงกำหนด / Not Due",IF(N(O34)&gt;=P34,"ตามแผน / On Track",IF('ตั้งค่า Setup'!$C$15&gt;I34,"เกินกำหนด / Overdue","ล่าช้า / Behind")))))</f>
        <v/>
      </c>
      <c r="Y34" s="35"/>
      <c r="Z34" s="178" t="n">
        <f aca="false">IF(C34="",0,IF(K34&lt;&gt;"",K34,N(H34)))</f>
        <v>0</v>
      </c>
      <c r="AA34" s="178" t="n">
        <f aca="false">IF(C34="",0,IF(L34&lt;&gt;"",L34,N(I34)))</f>
        <v>0</v>
      </c>
      <c r="AB34" s="179" t="str">
        <f aca="false">IF(AND(C34&lt;&gt;"",N34="",ISNUMBER(W34)),W34+(1000-ROW())/1000000,"")</f>
        <v/>
      </c>
      <c r="AC34" s="179" t="n">
        <f aca="false">IF(AND(C34&lt;&gt;"",N34="",Z34&gt;0,Z34&lt;='ตั้งค่า Setup'!$C$15+'ตั้งค่า Setup'!$C$20),1,0)</f>
        <v>0</v>
      </c>
      <c r="AD34" s="179" t="str">
        <f aca="false">IF(AC34=1,SUM(AC$7:AC34),"")</f>
        <v/>
      </c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0"/>
      <c r="BN34" s="180"/>
      <c r="BO34" s="180"/>
      <c r="BP34" s="180"/>
      <c r="BQ34" s="180"/>
      <c r="BR34" s="180"/>
      <c r="BS34" s="180"/>
      <c r="BT34" s="180"/>
      <c r="BU34" s="180"/>
      <c r="BV34" s="180"/>
      <c r="BW34" s="180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80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  <c r="CS34" s="180"/>
      <c r="CT34" s="180"/>
      <c r="CU34" s="180"/>
      <c r="CV34" s="180"/>
      <c r="CW34" s="180"/>
      <c r="CX34" s="180"/>
      <c r="CY34" s="180"/>
      <c r="CZ34" s="180"/>
      <c r="DA34" s="180"/>
      <c r="DB34" s="180"/>
      <c r="DC34" s="180"/>
      <c r="DD34" s="180"/>
      <c r="DE34" s="180"/>
      <c r="DF34" s="180"/>
      <c r="DG34" s="180"/>
    </row>
    <row r="35" customFormat="false" ht="15" hidden="false" customHeight="false" outlineLevel="0" collapsed="false">
      <c r="A35" s="106" t="str">
        <f aca="false">IF(OR(B35="",C35=""),"",IFERROR(MATCH(B35,'ตั้งค่า Setup'!$C$26:$C$65,0)&amp;"."&amp;COUNTIF(B$7:B35,B35),"?"))</f>
        <v/>
      </c>
      <c r="B35" s="35"/>
      <c r="C35" s="35"/>
      <c r="D35" s="25"/>
      <c r="E35" s="102"/>
      <c r="F35" s="104" t="n">
        <f aca="false">IF(C35="",0,IF(E35&lt;&gt;"",E35,IF(SUM($D$7:$D$66)&gt;0,N(D35)/SUM($D$7:$D$66),0)))</f>
        <v>0</v>
      </c>
      <c r="G35" s="175" t="str">
        <f aca="false">IF(C35="","",F35*'ตั้งค่า Setup'!$C$9)</f>
        <v/>
      </c>
      <c r="H35" s="27"/>
      <c r="I35" s="27"/>
      <c r="J35" s="106" t="str">
        <f aca="false">IF(OR(H35="",I35=""),"",I35-H35+1)</f>
        <v/>
      </c>
      <c r="K35" s="27"/>
      <c r="L35" s="27"/>
      <c r="M35" s="27"/>
      <c r="N35" s="27"/>
      <c r="O35" s="102"/>
      <c r="P35" s="104" t="str">
        <f aca="false">IF(OR(C35="",H35="",I35=""),"",MAX(0,MIN(1,('ตั้งค่า Setup'!$C$15-H35+1)/(I35-H35+1))))</f>
        <v/>
      </c>
      <c r="Q35" s="104" t="str">
        <f aca="false">IF(OR(C35="",Z35=0),"",MAX(0,MIN(1,('ตั้งค่า Setup'!$C$15-Z35+1)/(AA35-Z35+1))))</f>
        <v/>
      </c>
      <c r="R35" s="175" t="str">
        <f aca="false">IF(P35="","",G35*P35)</f>
        <v/>
      </c>
      <c r="S35" s="175" t="str">
        <f aca="false">IF(C35="","",G35*N(O35))</f>
        <v/>
      </c>
      <c r="T35" s="175" t="str">
        <f aca="false">IF(OR(R35="",S35=""),"",S35-R35)</f>
        <v/>
      </c>
      <c r="U35" s="176" t="str">
        <f aca="false">IF(OR(R35="",S35=""),"",IF(R35=0,"",S35/R35))</f>
        <v/>
      </c>
      <c r="V35" s="115" t="str">
        <f aca="false">IF(OR(C35="",Z35=0),"",IF(N35&lt;&gt;"",N35,IF(AND(N(O35)&gt;0,M35&lt;&gt;""),M35+ROUND((MAX('ตั้งค่า Setup'!$C$15,M35)-M35+1)/O35,0)-1,MAX(AA35,'ตั้งค่า Setup'!$C$15+AA35-Z35))))</f>
        <v/>
      </c>
      <c r="W35" s="177" t="str">
        <f aca="false">IF(OR(V35="",I35=""),"",V35-I35)</f>
        <v/>
      </c>
      <c r="X35" s="106" t="str">
        <f aca="false">IF(OR(C35="",H35="",I35=""),"",IF(N35&lt;&gt;"",IF(N35&lt;=I35,"เสร็จ / Completed","เสร็จช้า / Completed Late"),IF(AND(M35="",'ตั้งค่า Setup'!$C$15&lt;Z35),"ยังไม่ถึงกำหนด / Not Due",IF(N(O35)&gt;=P35,"ตามแผน / On Track",IF('ตั้งค่า Setup'!$C$15&gt;I35,"เกินกำหนด / Overdue","ล่าช้า / Behind")))))</f>
        <v/>
      </c>
      <c r="Y35" s="35"/>
      <c r="Z35" s="178" t="n">
        <f aca="false">IF(C35="",0,IF(K35&lt;&gt;"",K35,N(H35)))</f>
        <v>0</v>
      </c>
      <c r="AA35" s="178" t="n">
        <f aca="false">IF(C35="",0,IF(L35&lt;&gt;"",L35,N(I35)))</f>
        <v>0</v>
      </c>
      <c r="AB35" s="179" t="str">
        <f aca="false">IF(AND(C35&lt;&gt;"",N35="",ISNUMBER(W35)),W35+(1000-ROW())/1000000,"")</f>
        <v/>
      </c>
      <c r="AC35" s="179" t="n">
        <f aca="false">IF(AND(C35&lt;&gt;"",N35="",Z35&gt;0,Z35&lt;='ตั้งค่า Setup'!$C$15+'ตั้งค่า Setup'!$C$20),1,0)</f>
        <v>0</v>
      </c>
      <c r="AD35" s="179" t="str">
        <f aca="false">IF(AC35=1,SUM(AC$7:AC35),"")</f>
        <v/>
      </c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80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80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80"/>
      <c r="CT35" s="180"/>
      <c r="CU35" s="180"/>
      <c r="CV35" s="180"/>
      <c r="CW35" s="180"/>
      <c r="CX35" s="180"/>
      <c r="CY35" s="180"/>
      <c r="CZ35" s="180"/>
      <c r="DA35" s="180"/>
      <c r="DB35" s="180"/>
      <c r="DC35" s="180"/>
      <c r="DD35" s="180"/>
      <c r="DE35" s="180"/>
      <c r="DF35" s="180"/>
      <c r="DG35" s="180"/>
    </row>
    <row r="36" customFormat="false" ht="15" hidden="false" customHeight="false" outlineLevel="0" collapsed="false">
      <c r="A36" s="106" t="str">
        <f aca="false">IF(OR(B36="",C36=""),"",IFERROR(MATCH(B36,'ตั้งค่า Setup'!$C$26:$C$65,0)&amp;"."&amp;COUNTIF(B$7:B36,B36),"?"))</f>
        <v/>
      </c>
      <c r="B36" s="35"/>
      <c r="C36" s="35"/>
      <c r="D36" s="25"/>
      <c r="E36" s="102"/>
      <c r="F36" s="104" t="n">
        <f aca="false">IF(C36="",0,IF(E36&lt;&gt;"",E36,IF(SUM($D$7:$D$66)&gt;0,N(D36)/SUM($D$7:$D$66),0)))</f>
        <v>0</v>
      </c>
      <c r="G36" s="175" t="str">
        <f aca="false">IF(C36="","",F36*'ตั้งค่า Setup'!$C$9)</f>
        <v/>
      </c>
      <c r="H36" s="27"/>
      <c r="I36" s="27"/>
      <c r="J36" s="106" t="str">
        <f aca="false">IF(OR(H36="",I36=""),"",I36-H36+1)</f>
        <v/>
      </c>
      <c r="K36" s="27"/>
      <c r="L36" s="27"/>
      <c r="M36" s="27"/>
      <c r="N36" s="27"/>
      <c r="O36" s="102"/>
      <c r="P36" s="104" t="str">
        <f aca="false">IF(OR(C36="",H36="",I36=""),"",MAX(0,MIN(1,('ตั้งค่า Setup'!$C$15-H36+1)/(I36-H36+1))))</f>
        <v/>
      </c>
      <c r="Q36" s="104" t="str">
        <f aca="false">IF(OR(C36="",Z36=0),"",MAX(0,MIN(1,('ตั้งค่า Setup'!$C$15-Z36+1)/(AA36-Z36+1))))</f>
        <v/>
      </c>
      <c r="R36" s="175" t="str">
        <f aca="false">IF(P36="","",G36*P36)</f>
        <v/>
      </c>
      <c r="S36" s="175" t="str">
        <f aca="false">IF(C36="","",G36*N(O36))</f>
        <v/>
      </c>
      <c r="T36" s="175" t="str">
        <f aca="false">IF(OR(R36="",S36=""),"",S36-R36)</f>
        <v/>
      </c>
      <c r="U36" s="176" t="str">
        <f aca="false">IF(OR(R36="",S36=""),"",IF(R36=0,"",S36/R36))</f>
        <v/>
      </c>
      <c r="V36" s="115" t="str">
        <f aca="false">IF(OR(C36="",Z36=0),"",IF(N36&lt;&gt;"",N36,IF(AND(N(O36)&gt;0,M36&lt;&gt;""),M36+ROUND((MAX('ตั้งค่า Setup'!$C$15,M36)-M36+1)/O36,0)-1,MAX(AA36,'ตั้งค่า Setup'!$C$15+AA36-Z36))))</f>
        <v/>
      </c>
      <c r="W36" s="177" t="str">
        <f aca="false">IF(OR(V36="",I36=""),"",V36-I36)</f>
        <v/>
      </c>
      <c r="X36" s="106" t="str">
        <f aca="false">IF(OR(C36="",H36="",I36=""),"",IF(N36&lt;&gt;"",IF(N36&lt;=I36,"เสร็จ / Completed","เสร็จช้า / Completed Late"),IF(AND(M36="",'ตั้งค่า Setup'!$C$15&lt;Z36),"ยังไม่ถึงกำหนด / Not Due",IF(N(O36)&gt;=P36,"ตามแผน / On Track",IF('ตั้งค่า Setup'!$C$15&gt;I36,"เกินกำหนด / Overdue","ล่าช้า / Behind")))))</f>
        <v/>
      </c>
      <c r="Y36" s="35"/>
      <c r="Z36" s="178" t="n">
        <f aca="false">IF(C36="",0,IF(K36&lt;&gt;"",K36,N(H36)))</f>
        <v>0</v>
      </c>
      <c r="AA36" s="178" t="n">
        <f aca="false">IF(C36="",0,IF(L36&lt;&gt;"",L36,N(I36)))</f>
        <v>0</v>
      </c>
      <c r="AB36" s="179" t="str">
        <f aca="false">IF(AND(C36&lt;&gt;"",N36="",ISNUMBER(W36)),W36+(1000-ROW())/1000000,"")</f>
        <v/>
      </c>
      <c r="AC36" s="179" t="n">
        <f aca="false">IF(AND(C36&lt;&gt;"",N36="",Z36&gt;0,Z36&lt;='ตั้งค่า Setup'!$C$15+'ตั้งค่า Setup'!$C$20),1,0)</f>
        <v>0</v>
      </c>
      <c r="AD36" s="179" t="str">
        <f aca="false">IF(AC36=1,SUM(AC$7:AC36),"")</f>
        <v/>
      </c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  <c r="BN36" s="180"/>
      <c r="BO36" s="180"/>
      <c r="BP36" s="180"/>
      <c r="BQ36" s="180"/>
      <c r="BR36" s="180"/>
      <c r="BS36" s="180"/>
      <c r="BT36" s="180"/>
      <c r="BU36" s="180"/>
      <c r="BV36" s="180"/>
      <c r="BW36" s="180"/>
      <c r="BX36" s="180"/>
      <c r="BY36" s="180"/>
      <c r="BZ36" s="180"/>
      <c r="CA36" s="180"/>
      <c r="CB36" s="180"/>
      <c r="CC36" s="180"/>
      <c r="CD36" s="180"/>
      <c r="CE36" s="180"/>
      <c r="CF36" s="180"/>
      <c r="CG36" s="180"/>
      <c r="CH36" s="180"/>
      <c r="CI36" s="180"/>
      <c r="CJ36" s="180"/>
      <c r="CK36" s="180"/>
      <c r="CL36" s="180"/>
      <c r="CM36" s="180"/>
      <c r="CN36" s="180"/>
      <c r="CO36" s="180"/>
      <c r="CP36" s="180"/>
      <c r="CQ36" s="180"/>
      <c r="CR36" s="180"/>
      <c r="CS36" s="180"/>
      <c r="CT36" s="180"/>
      <c r="CU36" s="180"/>
      <c r="CV36" s="180"/>
      <c r="CW36" s="180"/>
      <c r="CX36" s="180"/>
      <c r="CY36" s="180"/>
      <c r="CZ36" s="180"/>
      <c r="DA36" s="180"/>
      <c r="DB36" s="180"/>
      <c r="DC36" s="180"/>
      <c r="DD36" s="180"/>
      <c r="DE36" s="180"/>
      <c r="DF36" s="180"/>
      <c r="DG36" s="180"/>
    </row>
    <row r="37" customFormat="false" ht="15" hidden="false" customHeight="false" outlineLevel="0" collapsed="false">
      <c r="A37" s="106" t="str">
        <f aca="false">IF(OR(B37="",C37=""),"",IFERROR(MATCH(B37,'ตั้งค่า Setup'!$C$26:$C$65,0)&amp;"."&amp;COUNTIF(B$7:B37,B37),"?"))</f>
        <v/>
      </c>
      <c r="B37" s="35"/>
      <c r="C37" s="35"/>
      <c r="D37" s="25"/>
      <c r="E37" s="102"/>
      <c r="F37" s="104" t="n">
        <f aca="false">IF(C37="",0,IF(E37&lt;&gt;"",E37,IF(SUM($D$7:$D$66)&gt;0,N(D37)/SUM($D$7:$D$66),0)))</f>
        <v>0</v>
      </c>
      <c r="G37" s="175" t="str">
        <f aca="false">IF(C37="","",F37*'ตั้งค่า Setup'!$C$9)</f>
        <v/>
      </c>
      <c r="H37" s="27"/>
      <c r="I37" s="27"/>
      <c r="J37" s="106" t="str">
        <f aca="false">IF(OR(H37="",I37=""),"",I37-H37+1)</f>
        <v/>
      </c>
      <c r="K37" s="27"/>
      <c r="L37" s="27"/>
      <c r="M37" s="27"/>
      <c r="N37" s="27"/>
      <c r="O37" s="102"/>
      <c r="P37" s="104" t="str">
        <f aca="false">IF(OR(C37="",H37="",I37=""),"",MAX(0,MIN(1,('ตั้งค่า Setup'!$C$15-H37+1)/(I37-H37+1))))</f>
        <v/>
      </c>
      <c r="Q37" s="104" t="str">
        <f aca="false">IF(OR(C37="",Z37=0),"",MAX(0,MIN(1,('ตั้งค่า Setup'!$C$15-Z37+1)/(AA37-Z37+1))))</f>
        <v/>
      </c>
      <c r="R37" s="175" t="str">
        <f aca="false">IF(P37="","",G37*P37)</f>
        <v/>
      </c>
      <c r="S37" s="175" t="str">
        <f aca="false">IF(C37="","",G37*N(O37))</f>
        <v/>
      </c>
      <c r="T37" s="175" t="str">
        <f aca="false">IF(OR(R37="",S37=""),"",S37-R37)</f>
        <v/>
      </c>
      <c r="U37" s="176" t="str">
        <f aca="false">IF(OR(R37="",S37=""),"",IF(R37=0,"",S37/R37))</f>
        <v/>
      </c>
      <c r="V37" s="115" t="str">
        <f aca="false">IF(OR(C37="",Z37=0),"",IF(N37&lt;&gt;"",N37,IF(AND(N(O37)&gt;0,M37&lt;&gt;""),M37+ROUND((MAX('ตั้งค่า Setup'!$C$15,M37)-M37+1)/O37,0)-1,MAX(AA37,'ตั้งค่า Setup'!$C$15+AA37-Z37))))</f>
        <v/>
      </c>
      <c r="W37" s="177" t="str">
        <f aca="false">IF(OR(V37="",I37=""),"",V37-I37)</f>
        <v/>
      </c>
      <c r="X37" s="106" t="str">
        <f aca="false">IF(OR(C37="",H37="",I37=""),"",IF(N37&lt;&gt;"",IF(N37&lt;=I37,"เสร็จ / Completed","เสร็จช้า / Completed Late"),IF(AND(M37="",'ตั้งค่า Setup'!$C$15&lt;Z37),"ยังไม่ถึงกำหนด / Not Due",IF(N(O37)&gt;=P37,"ตามแผน / On Track",IF('ตั้งค่า Setup'!$C$15&gt;I37,"เกินกำหนด / Overdue","ล่าช้า / Behind")))))</f>
        <v/>
      </c>
      <c r="Y37" s="35"/>
      <c r="Z37" s="178" t="n">
        <f aca="false">IF(C37="",0,IF(K37&lt;&gt;"",K37,N(H37)))</f>
        <v>0</v>
      </c>
      <c r="AA37" s="178" t="n">
        <f aca="false">IF(C37="",0,IF(L37&lt;&gt;"",L37,N(I37)))</f>
        <v>0</v>
      </c>
      <c r="AB37" s="179" t="str">
        <f aca="false">IF(AND(C37&lt;&gt;"",N37="",ISNUMBER(W37)),W37+(1000-ROW())/1000000,"")</f>
        <v/>
      </c>
      <c r="AC37" s="179" t="n">
        <f aca="false">IF(AND(C37&lt;&gt;"",N37="",Z37&gt;0,Z37&lt;='ตั้งค่า Setup'!$C$15+'ตั้งค่า Setup'!$C$20),1,0)</f>
        <v>0</v>
      </c>
      <c r="AD37" s="179" t="str">
        <f aca="false">IF(AC37=1,SUM(AC$7:AC37),"")</f>
        <v/>
      </c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0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80"/>
      <c r="BM37" s="180"/>
      <c r="BN37" s="180"/>
      <c r="BO37" s="180"/>
      <c r="BP37" s="180"/>
      <c r="BQ37" s="180"/>
      <c r="BR37" s="180"/>
      <c r="BS37" s="180"/>
      <c r="BT37" s="180"/>
      <c r="BU37" s="180"/>
      <c r="BV37" s="180"/>
      <c r="BW37" s="180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80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  <c r="CS37" s="180"/>
      <c r="CT37" s="180"/>
      <c r="CU37" s="180"/>
      <c r="CV37" s="180"/>
      <c r="CW37" s="180"/>
      <c r="CX37" s="180"/>
      <c r="CY37" s="180"/>
      <c r="CZ37" s="180"/>
      <c r="DA37" s="180"/>
      <c r="DB37" s="180"/>
      <c r="DC37" s="180"/>
      <c r="DD37" s="180"/>
      <c r="DE37" s="180"/>
      <c r="DF37" s="180"/>
      <c r="DG37" s="180"/>
    </row>
    <row r="38" customFormat="false" ht="15" hidden="false" customHeight="false" outlineLevel="0" collapsed="false">
      <c r="A38" s="106" t="str">
        <f aca="false">IF(OR(B38="",C38=""),"",IFERROR(MATCH(B38,'ตั้งค่า Setup'!$C$26:$C$65,0)&amp;"."&amp;COUNTIF(B$7:B38,B38),"?"))</f>
        <v/>
      </c>
      <c r="B38" s="35"/>
      <c r="C38" s="35"/>
      <c r="D38" s="25"/>
      <c r="E38" s="102"/>
      <c r="F38" s="104" t="n">
        <f aca="false">IF(C38="",0,IF(E38&lt;&gt;"",E38,IF(SUM($D$7:$D$66)&gt;0,N(D38)/SUM($D$7:$D$66),0)))</f>
        <v>0</v>
      </c>
      <c r="G38" s="175" t="str">
        <f aca="false">IF(C38="","",F38*'ตั้งค่า Setup'!$C$9)</f>
        <v/>
      </c>
      <c r="H38" s="27"/>
      <c r="I38" s="27"/>
      <c r="J38" s="106" t="str">
        <f aca="false">IF(OR(H38="",I38=""),"",I38-H38+1)</f>
        <v/>
      </c>
      <c r="K38" s="27"/>
      <c r="L38" s="27"/>
      <c r="M38" s="27"/>
      <c r="N38" s="27"/>
      <c r="O38" s="102"/>
      <c r="P38" s="104" t="str">
        <f aca="false">IF(OR(C38="",H38="",I38=""),"",MAX(0,MIN(1,('ตั้งค่า Setup'!$C$15-H38+1)/(I38-H38+1))))</f>
        <v/>
      </c>
      <c r="Q38" s="104" t="str">
        <f aca="false">IF(OR(C38="",Z38=0),"",MAX(0,MIN(1,('ตั้งค่า Setup'!$C$15-Z38+1)/(AA38-Z38+1))))</f>
        <v/>
      </c>
      <c r="R38" s="175" t="str">
        <f aca="false">IF(P38="","",G38*P38)</f>
        <v/>
      </c>
      <c r="S38" s="175" t="str">
        <f aca="false">IF(C38="","",G38*N(O38))</f>
        <v/>
      </c>
      <c r="T38" s="175" t="str">
        <f aca="false">IF(OR(R38="",S38=""),"",S38-R38)</f>
        <v/>
      </c>
      <c r="U38" s="176" t="str">
        <f aca="false">IF(OR(R38="",S38=""),"",IF(R38=0,"",S38/R38))</f>
        <v/>
      </c>
      <c r="V38" s="115" t="str">
        <f aca="false">IF(OR(C38="",Z38=0),"",IF(N38&lt;&gt;"",N38,IF(AND(N(O38)&gt;0,M38&lt;&gt;""),M38+ROUND((MAX('ตั้งค่า Setup'!$C$15,M38)-M38+1)/O38,0)-1,MAX(AA38,'ตั้งค่า Setup'!$C$15+AA38-Z38))))</f>
        <v/>
      </c>
      <c r="W38" s="177" t="str">
        <f aca="false">IF(OR(V38="",I38=""),"",V38-I38)</f>
        <v/>
      </c>
      <c r="X38" s="106" t="str">
        <f aca="false">IF(OR(C38="",H38="",I38=""),"",IF(N38&lt;&gt;"",IF(N38&lt;=I38,"เสร็จ / Completed","เสร็จช้า / Completed Late"),IF(AND(M38="",'ตั้งค่า Setup'!$C$15&lt;Z38),"ยังไม่ถึงกำหนด / Not Due",IF(N(O38)&gt;=P38,"ตามแผน / On Track",IF('ตั้งค่า Setup'!$C$15&gt;I38,"เกินกำหนด / Overdue","ล่าช้า / Behind")))))</f>
        <v/>
      </c>
      <c r="Y38" s="35"/>
      <c r="Z38" s="178" t="n">
        <f aca="false">IF(C38="",0,IF(K38&lt;&gt;"",K38,N(H38)))</f>
        <v>0</v>
      </c>
      <c r="AA38" s="178" t="n">
        <f aca="false">IF(C38="",0,IF(L38&lt;&gt;"",L38,N(I38)))</f>
        <v>0</v>
      </c>
      <c r="AB38" s="179" t="str">
        <f aca="false">IF(AND(C38&lt;&gt;"",N38="",ISNUMBER(W38)),W38+(1000-ROW())/1000000,"")</f>
        <v/>
      </c>
      <c r="AC38" s="179" t="n">
        <f aca="false">IF(AND(C38&lt;&gt;"",N38="",Z38&gt;0,Z38&lt;='ตั้งค่า Setup'!$C$15+'ตั้งค่า Setup'!$C$20),1,0)</f>
        <v>0</v>
      </c>
      <c r="AD38" s="179" t="str">
        <f aca="false">IF(AC38=1,SUM(AC$7:AC38),"")</f>
        <v/>
      </c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  <c r="BN38" s="180"/>
      <c r="BO38" s="180"/>
      <c r="BP38" s="180"/>
      <c r="BQ38" s="180"/>
      <c r="BR38" s="180"/>
      <c r="BS38" s="180"/>
      <c r="BT38" s="180"/>
      <c r="BU38" s="180"/>
      <c r="BV38" s="180"/>
      <c r="BW38" s="180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  <c r="CH38" s="180"/>
      <c r="CI38" s="180"/>
      <c r="CJ38" s="180"/>
      <c r="CK38" s="180"/>
      <c r="CL38" s="180"/>
      <c r="CM38" s="180"/>
      <c r="CN38" s="180"/>
      <c r="CO38" s="180"/>
      <c r="CP38" s="180"/>
      <c r="CQ38" s="180"/>
      <c r="CR38" s="180"/>
      <c r="CS38" s="180"/>
      <c r="CT38" s="180"/>
      <c r="CU38" s="180"/>
      <c r="CV38" s="180"/>
      <c r="CW38" s="180"/>
      <c r="CX38" s="180"/>
      <c r="CY38" s="180"/>
      <c r="CZ38" s="180"/>
      <c r="DA38" s="180"/>
      <c r="DB38" s="180"/>
      <c r="DC38" s="180"/>
      <c r="DD38" s="180"/>
      <c r="DE38" s="180"/>
      <c r="DF38" s="180"/>
      <c r="DG38" s="180"/>
    </row>
    <row r="39" customFormat="false" ht="15" hidden="false" customHeight="false" outlineLevel="0" collapsed="false">
      <c r="A39" s="106" t="str">
        <f aca="false">IF(OR(B39="",C39=""),"",IFERROR(MATCH(B39,'ตั้งค่า Setup'!$C$26:$C$65,0)&amp;"."&amp;COUNTIF(B$7:B39,B39),"?"))</f>
        <v/>
      </c>
      <c r="B39" s="35"/>
      <c r="C39" s="35"/>
      <c r="D39" s="25"/>
      <c r="E39" s="102"/>
      <c r="F39" s="104" t="n">
        <f aca="false">IF(C39="",0,IF(E39&lt;&gt;"",E39,IF(SUM($D$7:$D$66)&gt;0,N(D39)/SUM($D$7:$D$66),0)))</f>
        <v>0</v>
      </c>
      <c r="G39" s="175" t="str">
        <f aca="false">IF(C39="","",F39*'ตั้งค่า Setup'!$C$9)</f>
        <v/>
      </c>
      <c r="H39" s="27"/>
      <c r="I39" s="27"/>
      <c r="J39" s="106" t="str">
        <f aca="false">IF(OR(H39="",I39=""),"",I39-H39+1)</f>
        <v/>
      </c>
      <c r="K39" s="27"/>
      <c r="L39" s="27"/>
      <c r="M39" s="27"/>
      <c r="N39" s="27"/>
      <c r="O39" s="102"/>
      <c r="P39" s="104" t="str">
        <f aca="false">IF(OR(C39="",H39="",I39=""),"",MAX(0,MIN(1,('ตั้งค่า Setup'!$C$15-H39+1)/(I39-H39+1))))</f>
        <v/>
      </c>
      <c r="Q39" s="104" t="str">
        <f aca="false">IF(OR(C39="",Z39=0),"",MAX(0,MIN(1,('ตั้งค่า Setup'!$C$15-Z39+1)/(AA39-Z39+1))))</f>
        <v/>
      </c>
      <c r="R39" s="175" t="str">
        <f aca="false">IF(P39="","",G39*P39)</f>
        <v/>
      </c>
      <c r="S39" s="175" t="str">
        <f aca="false">IF(C39="","",G39*N(O39))</f>
        <v/>
      </c>
      <c r="T39" s="175" t="str">
        <f aca="false">IF(OR(R39="",S39=""),"",S39-R39)</f>
        <v/>
      </c>
      <c r="U39" s="176" t="str">
        <f aca="false">IF(OR(R39="",S39=""),"",IF(R39=0,"",S39/R39))</f>
        <v/>
      </c>
      <c r="V39" s="115" t="str">
        <f aca="false">IF(OR(C39="",Z39=0),"",IF(N39&lt;&gt;"",N39,IF(AND(N(O39)&gt;0,M39&lt;&gt;""),M39+ROUND((MAX('ตั้งค่า Setup'!$C$15,M39)-M39+1)/O39,0)-1,MAX(AA39,'ตั้งค่า Setup'!$C$15+AA39-Z39))))</f>
        <v/>
      </c>
      <c r="W39" s="177" t="str">
        <f aca="false">IF(OR(V39="",I39=""),"",V39-I39)</f>
        <v/>
      </c>
      <c r="X39" s="106" t="str">
        <f aca="false">IF(OR(C39="",H39="",I39=""),"",IF(N39&lt;&gt;"",IF(N39&lt;=I39,"เสร็จ / Completed","เสร็จช้า / Completed Late"),IF(AND(M39="",'ตั้งค่า Setup'!$C$15&lt;Z39),"ยังไม่ถึงกำหนด / Not Due",IF(N(O39)&gt;=P39,"ตามแผน / On Track",IF('ตั้งค่า Setup'!$C$15&gt;I39,"เกินกำหนด / Overdue","ล่าช้า / Behind")))))</f>
        <v/>
      </c>
      <c r="Y39" s="35"/>
      <c r="Z39" s="178" t="n">
        <f aca="false">IF(C39="",0,IF(K39&lt;&gt;"",K39,N(H39)))</f>
        <v>0</v>
      </c>
      <c r="AA39" s="178" t="n">
        <f aca="false">IF(C39="",0,IF(L39&lt;&gt;"",L39,N(I39)))</f>
        <v>0</v>
      </c>
      <c r="AB39" s="179" t="str">
        <f aca="false">IF(AND(C39&lt;&gt;"",N39="",ISNUMBER(W39)),W39+(1000-ROW())/1000000,"")</f>
        <v/>
      </c>
      <c r="AC39" s="179" t="n">
        <f aca="false">IF(AND(C39&lt;&gt;"",N39="",Z39&gt;0,Z39&lt;='ตั้งค่า Setup'!$C$15+'ตั้งค่า Setup'!$C$20),1,0)</f>
        <v>0</v>
      </c>
      <c r="AD39" s="179" t="str">
        <f aca="false">IF(AC39=1,SUM(AC$7:AC39),"")</f>
        <v/>
      </c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  <c r="BN39" s="180"/>
      <c r="BO39" s="180"/>
      <c r="BP39" s="180"/>
      <c r="BQ39" s="180"/>
      <c r="BR39" s="180"/>
      <c r="BS39" s="180"/>
      <c r="BT39" s="180"/>
      <c r="BU39" s="180"/>
      <c r="BV39" s="180"/>
      <c r="BW39" s="180"/>
      <c r="BX39" s="180"/>
      <c r="BY39" s="180"/>
      <c r="BZ39" s="180"/>
      <c r="CA39" s="180"/>
      <c r="CB39" s="180"/>
      <c r="CC39" s="180"/>
      <c r="CD39" s="180"/>
      <c r="CE39" s="180"/>
      <c r="CF39" s="180"/>
      <c r="CG39" s="180"/>
      <c r="CH39" s="180"/>
      <c r="CI39" s="180"/>
      <c r="CJ39" s="180"/>
      <c r="CK39" s="180"/>
      <c r="CL39" s="180"/>
      <c r="CM39" s="180"/>
      <c r="CN39" s="180"/>
      <c r="CO39" s="180"/>
      <c r="CP39" s="180"/>
      <c r="CQ39" s="180"/>
      <c r="CR39" s="180"/>
      <c r="CS39" s="180"/>
      <c r="CT39" s="180"/>
      <c r="CU39" s="180"/>
      <c r="CV39" s="180"/>
      <c r="CW39" s="180"/>
      <c r="CX39" s="180"/>
      <c r="CY39" s="180"/>
      <c r="CZ39" s="180"/>
      <c r="DA39" s="180"/>
      <c r="DB39" s="180"/>
      <c r="DC39" s="180"/>
      <c r="DD39" s="180"/>
      <c r="DE39" s="180"/>
      <c r="DF39" s="180"/>
      <c r="DG39" s="180"/>
    </row>
    <row r="40" customFormat="false" ht="15" hidden="false" customHeight="false" outlineLevel="0" collapsed="false">
      <c r="A40" s="106" t="str">
        <f aca="false">IF(OR(B40="",C40=""),"",IFERROR(MATCH(B40,'ตั้งค่า Setup'!$C$26:$C$65,0)&amp;"."&amp;COUNTIF(B$7:B40,B40),"?"))</f>
        <v/>
      </c>
      <c r="B40" s="35"/>
      <c r="C40" s="35"/>
      <c r="D40" s="25"/>
      <c r="E40" s="102"/>
      <c r="F40" s="104" t="n">
        <f aca="false">IF(C40="",0,IF(E40&lt;&gt;"",E40,IF(SUM($D$7:$D$66)&gt;0,N(D40)/SUM($D$7:$D$66),0)))</f>
        <v>0</v>
      </c>
      <c r="G40" s="175" t="str">
        <f aca="false">IF(C40="","",F40*'ตั้งค่า Setup'!$C$9)</f>
        <v/>
      </c>
      <c r="H40" s="27"/>
      <c r="I40" s="27"/>
      <c r="J40" s="106" t="str">
        <f aca="false">IF(OR(H40="",I40=""),"",I40-H40+1)</f>
        <v/>
      </c>
      <c r="K40" s="27"/>
      <c r="L40" s="27"/>
      <c r="M40" s="27"/>
      <c r="N40" s="27"/>
      <c r="O40" s="102"/>
      <c r="P40" s="104" t="str">
        <f aca="false">IF(OR(C40="",H40="",I40=""),"",MAX(0,MIN(1,('ตั้งค่า Setup'!$C$15-H40+1)/(I40-H40+1))))</f>
        <v/>
      </c>
      <c r="Q40" s="104" t="str">
        <f aca="false">IF(OR(C40="",Z40=0),"",MAX(0,MIN(1,('ตั้งค่า Setup'!$C$15-Z40+1)/(AA40-Z40+1))))</f>
        <v/>
      </c>
      <c r="R40" s="175" t="str">
        <f aca="false">IF(P40="","",G40*P40)</f>
        <v/>
      </c>
      <c r="S40" s="175" t="str">
        <f aca="false">IF(C40="","",G40*N(O40))</f>
        <v/>
      </c>
      <c r="T40" s="175" t="str">
        <f aca="false">IF(OR(R40="",S40=""),"",S40-R40)</f>
        <v/>
      </c>
      <c r="U40" s="176" t="str">
        <f aca="false">IF(OR(R40="",S40=""),"",IF(R40=0,"",S40/R40))</f>
        <v/>
      </c>
      <c r="V40" s="115" t="str">
        <f aca="false">IF(OR(C40="",Z40=0),"",IF(N40&lt;&gt;"",N40,IF(AND(N(O40)&gt;0,M40&lt;&gt;""),M40+ROUND((MAX('ตั้งค่า Setup'!$C$15,M40)-M40+1)/O40,0)-1,MAX(AA40,'ตั้งค่า Setup'!$C$15+AA40-Z40))))</f>
        <v/>
      </c>
      <c r="W40" s="177" t="str">
        <f aca="false">IF(OR(V40="",I40=""),"",V40-I40)</f>
        <v/>
      </c>
      <c r="X40" s="106" t="str">
        <f aca="false">IF(OR(C40="",H40="",I40=""),"",IF(N40&lt;&gt;"",IF(N40&lt;=I40,"เสร็จ / Completed","เสร็จช้า / Completed Late"),IF(AND(M40="",'ตั้งค่า Setup'!$C$15&lt;Z40),"ยังไม่ถึงกำหนด / Not Due",IF(N(O40)&gt;=P40,"ตามแผน / On Track",IF('ตั้งค่า Setup'!$C$15&gt;I40,"เกินกำหนด / Overdue","ล่าช้า / Behind")))))</f>
        <v/>
      </c>
      <c r="Y40" s="35"/>
      <c r="Z40" s="178" t="n">
        <f aca="false">IF(C40="",0,IF(K40&lt;&gt;"",K40,N(H40)))</f>
        <v>0</v>
      </c>
      <c r="AA40" s="178" t="n">
        <f aca="false">IF(C40="",0,IF(L40&lt;&gt;"",L40,N(I40)))</f>
        <v>0</v>
      </c>
      <c r="AB40" s="179" t="str">
        <f aca="false">IF(AND(C40&lt;&gt;"",N40="",ISNUMBER(W40)),W40+(1000-ROW())/1000000,"")</f>
        <v/>
      </c>
      <c r="AC40" s="179" t="n">
        <f aca="false">IF(AND(C40&lt;&gt;"",N40="",Z40&gt;0,Z40&lt;='ตั้งค่า Setup'!$C$15+'ตั้งค่า Setup'!$C$20),1,0)</f>
        <v>0</v>
      </c>
      <c r="AD40" s="179" t="str">
        <f aca="false">IF(AC40=1,SUM(AC$7:AC40),"")</f>
        <v/>
      </c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80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80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80"/>
      <c r="CT40" s="180"/>
      <c r="CU40" s="180"/>
      <c r="CV40" s="180"/>
      <c r="CW40" s="180"/>
      <c r="CX40" s="180"/>
      <c r="CY40" s="180"/>
      <c r="CZ40" s="180"/>
      <c r="DA40" s="180"/>
      <c r="DB40" s="180"/>
      <c r="DC40" s="180"/>
      <c r="DD40" s="180"/>
      <c r="DE40" s="180"/>
      <c r="DF40" s="180"/>
      <c r="DG40" s="180"/>
    </row>
    <row r="41" customFormat="false" ht="15" hidden="false" customHeight="false" outlineLevel="0" collapsed="false">
      <c r="A41" s="106" t="str">
        <f aca="false">IF(OR(B41="",C41=""),"",IFERROR(MATCH(B41,'ตั้งค่า Setup'!$C$26:$C$65,0)&amp;"."&amp;COUNTIF(B$7:B41,B41),"?"))</f>
        <v/>
      </c>
      <c r="B41" s="35"/>
      <c r="C41" s="35"/>
      <c r="D41" s="25"/>
      <c r="E41" s="102"/>
      <c r="F41" s="104" t="n">
        <f aca="false">IF(C41="",0,IF(E41&lt;&gt;"",E41,IF(SUM($D$7:$D$66)&gt;0,N(D41)/SUM($D$7:$D$66),0)))</f>
        <v>0</v>
      </c>
      <c r="G41" s="175" t="str">
        <f aca="false">IF(C41="","",F41*'ตั้งค่า Setup'!$C$9)</f>
        <v/>
      </c>
      <c r="H41" s="27"/>
      <c r="I41" s="27"/>
      <c r="J41" s="106" t="str">
        <f aca="false">IF(OR(H41="",I41=""),"",I41-H41+1)</f>
        <v/>
      </c>
      <c r="K41" s="27"/>
      <c r="L41" s="27"/>
      <c r="M41" s="27"/>
      <c r="N41" s="27"/>
      <c r="O41" s="102"/>
      <c r="P41" s="104" t="str">
        <f aca="false">IF(OR(C41="",H41="",I41=""),"",MAX(0,MIN(1,('ตั้งค่า Setup'!$C$15-H41+1)/(I41-H41+1))))</f>
        <v/>
      </c>
      <c r="Q41" s="104" t="str">
        <f aca="false">IF(OR(C41="",Z41=0),"",MAX(0,MIN(1,('ตั้งค่า Setup'!$C$15-Z41+1)/(AA41-Z41+1))))</f>
        <v/>
      </c>
      <c r="R41" s="175" t="str">
        <f aca="false">IF(P41="","",G41*P41)</f>
        <v/>
      </c>
      <c r="S41" s="175" t="str">
        <f aca="false">IF(C41="","",G41*N(O41))</f>
        <v/>
      </c>
      <c r="T41" s="175" t="str">
        <f aca="false">IF(OR(R41="",S41=""),"",S41-R41)</f>
        <v/>
      </c>
      <c r="U41" s="176" t="str">
        <f aca="false">IF(OR(R41="",S41=""),"",IF(R41=0,"",S41/R41))</f>
        <v/>
      </c>
      <c r="V41" s="115" t="str">
        <f aca="false">IF(OR(C41="",Z41=0),"",IF(N41&lt;&gt;"",N41,IF(AND(N(O41)&gt;0,M41&lt;&gt;""),M41+ROUND((MAX('ตั้งค่า Setup'!$C$15,M41)-M41+1)/O41,0)-1,MAX(AA41,'ตั้งค่า Setup'!$C$15+AA41-Z41))))</f>
        <v/>
      </c>
      <c r="W41" s="177" t="str">
        <f aca="false">IF(OR(V41="",I41=""),"",V41-I41)</f>
        <v/>
      </c>
      <c r="X41" s="106" t="str">
        <f aca="false">IF(OR(C41="",H41="",I41=""),"",IF(N41&lt;&gt;"",IF(N41&lt;=I41,"เสร็จ / Completed","เสร็จช้า / Completed Late"),IF(AND(M41="",'ตั้งค่า Setup'!$C$15&lt;Z41),"ยังไม่ถึงกำหนด / Not Due",IF(N(O41)&gt;=P41,"ตามแผน / On Track",IF('ตั้งค่า Setup'!$C$15&gt;I41,"เกินกำหนด / Overdue","ล่าช้า / Behind")))))</f>
        <v/>
      </c>
      <c r="Y41" s="35"/>
      <c r="Z41" s="178" t="n">
        <f aca="false">IF(C41="",0,IF(K41&lt;&gt;"",K41,N(H41)))</f>
        <v>0</v>
      </c>
      <c r="AA41" s="178" t="n">
        <f aca="false">IF(C41="",0,IF(L41&lt;&gt;"",L41,N(I41)))</f>
        <v>0</v>
      </c>
      <c r="AB41" s="179" t="str">
        <f aca="false">IF(AND(C41&lt;&gt;"",N41="",ISNUMBER(W41)),W41+(1000-ROW())/1000000,"")</f>
        <v/>
      </c>
      <c r="AC41" s="179" t="n">
        <f aca="false">IF(AND(C41&lt;&gt;"",N41="",Z41&gt;0,Z41&lt;='ตั้งค่า Setup'!$C$15+'ตั้งค่า Setup'!$C$20),1,0)</f>
        <v>0</v>
      </c>
      <c r="AD41" s="179" t="str">
        <f aca="false">IF(AC41=1,SUM(AC$7:AC41),"")</f>
        <v/>
      </c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80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80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80"/>
      <c r="CT41" s="180"/>
      <c r="CU41" s="180"/>
      <c r="CV41" s="180"/>
      <c r="CW41" s="180"/>
      <c r="CX41" s="180"/>
      <c r="CY41" s="180"/>
      <c r="CZ41" s="180"/>
      <c r="DA41" s="180"/>
      <c r="DB41" s="180"/>
      <c r="DC41" s="180"/>
      <c r="DD41" s="180"/>
      <c r="DE41" s="180"/>
      <c r="DF41" s="180"/>
      <c r="DG41" s="180"/>
    </row>
    <row r="42" customFormat="false" ht="15" hidden="false" customHeight="false" outlineLevel="0" collapsed="false">
      <c r="A42" s="106" t="str">
        <f aca="false">IF(OR(B42="",C42=""),"",IFERROR(MATCH(B42,'ตั้งค่า Setup'!$C$26:$C$65,0)&amp;"."&amp;COUNTIF(B$7:B42,B42),"?"))</f>
        <v/>
      </c>
      <c r="B42" s="35"/>
      <c r="C42" s="35"/>
      <c r="D42" s="25"/>
      <c r="E42" s="102"/>
      <c r="F42" s="104" t="n">
        <f aca="false">IF(C42="",0,IF(E42&lt;&gt;"",E42,IF(SUM($D$7:$D$66)&gt;0,N(D42)/SUM($D$7:$D$66),0)))</f>
        <v>0</v>
      </c>
      <c r="G42" s="175" t="str">
        <f aca="false">IF(C42="","",F42*'ตั้งค่า Setup'!$C$9)</f>
        <v/>
      </c>
      <c r="H42" s="27"/>
      <c r="I42" s="27"/>
      <c r="J42" s="106" t="str">
        <f aca="false">IF(OR(H42="",I42=""),"",I42-H42+1)</f>
        <v/>
      </c>
      <c r="K42" s="27"/>
      <c r="L42" s="27"/>
      <c r="M42" s="27"/>
      <c r="N42" s="27"/>
      <c r="O42" s="102"/>
      <c r="P42" s="104" t="str">
        <f aca="false">IF(OR(C42="",H42="",I42=""),"",MAX(0,MIN(1,('ตั้งค่า Setup'!$C$15-H42+1)/(I42-H42+1))))</f>
        <v/>
      </c>
      <c r="Q42" s="104" t="str">
        <f aca="false">IF(OR(C42="",Z42=0),"",MAX(0,MIN(1,('ตั้งค่า Setup'!$C$15-Z42+1)/(AA42-Z42+1))))</f>
        <v/>
      </c>
      <c r="R42" s="175" t="str">
        <f aca="false">IF(P42="","",G42*P42)</f>
        <v/>
      </c>
      <c r="S42" s="175" t="str">
        <f aca="false">IF(C42="","",G42*N(O42))</f>
        <v/>
      </c>
      <c r="T42" s="175" t="str">
        <f aca="false">IF(OR(R42="",S42=""),"",S42-R42)</f>
        <v/>
      </c>
      <c r="U42" s="176" t="str">
        <f aca="false">IF(OR(R42="",S42=""),"",IF(R42=0,"",S42/R42))</f>
        <v/>
      </c>
      <c r="V42" s="115" t="str">
        <f aca="false">IF(OR(C42="",Z42=0),"",IF(N42&lt;&gt;"",N42,IF(AND(N(O42)&gt;0,M42&lt;&gt;""),M42+ROUND((MAX('ตั้งค่า Setup'!$C$15,M42)-M42+1)/O42,0)-1,MAX(AA42,'ตั้งค่า Setup'!$C$15+AA42-Z42))))</f>
        <v/>
      </c>
      <c r="W42" s="177" t="str">
        <f aca="false">IF(OR(V42="",I42=""),"",V42-I42)</f>
        <v/>
      </c>
      <c r="X42" s="106" t="str">
        <f aca="false">IF(OR(C42="",H42="",I42=""),"",IF(N42&lt;&gt;"",IF(N42&lt;=I42,"เสร็จ / Completed","เสร็จช้า / Completed Late"),IF(AND(M42="",'ตั้งค่า Setup'!$C$15&lt;Z42),"ยังไม่ถึงกำหนด / Not Due",IF(N(O42)&gt;=P42,"ตามแผน / On Track",IF('ตั้งค่า Setup'!$C$15&gt;I42,"เกินกำหนด / Overdue","ล่าช้า / Behind")))))</f>
        <v/>
      </c>
      <c r="Y42" s="35"/>
      <c r="Z42" s="178" t="n">
        <f aca="false">IF(C42="",0,IF(K42&lt;&gt;"",K42,N(H42)))</f>
        <v>0</v>
      </c>
      <c r="AA42" s="178" t="n">
        <f aca="false">IF(C42="",0,IF(L42&lt;&gt;"",L42,N(I42)))</f>
        <v>0</v>
      </c>
      <c r="AB42" s="179" t="str">
        <f aca="false">IF(AND(C42&lt;&gt;"",N42="",ISNUMBER(W42)),W42+(1000-ROW())/1000000,"")</f>
        <v/>
      </c>
      <c r="AC42" s="179" t="n">
        <f aca="false">IF(AND(C42&lt;&gt;"",N42="",Z42&gt;0,Z42&lt;='ตั้งค่า Setup'!$C$15+'ตั้งค่า Setup'!$C$20),1,0)</f>
        <v>0</v>
      </c>
      <c r="AD42" s="179" t="str">
        <f aca="false">IF(AC42=1,SUM(AC$7:AC42),"")</f>
        <v/>
      </c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80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80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80"/>
      <c r="CT42" s="180"/>
      <c r="CU42" s="180"/>
      <c r="CV42" s="180"/>
      <c r="CW42" s="180"/>
      <c r="CX42" s="180"/>
      <c r="CY42" s="180"/>
      <c r="CZ42" s="180"/>
      <c r="DA42" s="180"/>
      <c r="DB42" s="180"/>
      <c r="DC42" s="180"/>
      <c r="DD42" s="180"/>
      <c r="DE42" s="180"/>
      <c r="DF42" s="180"/>
      <c r="DG42" s="180"/>
    </row>
    <row r="43" customFormat="false" ht="15" hidden="false" customHeight="false" outlineLevel="0" collapsed="false">
      <c r="A43" s="106" t="str">
        <f aca="false">IF(OR(B43="",C43=""),"",IFERROR(MATCH(B43,'ตั้งค่า Setup'!$C$26:$C$65,0)&amp;"."&amp;COUNTIF(B$7:B43,B43),"?"))</f>
        <v/>
      </c>
      <c r="B43" s="35"/>
      <c r="C43" s="35"/>
      <c r="D43" s="25"/>
      <c r="E43" s="102"/>
      <c r="F43" s="104" t="n">
        <f aca="false">IF(C43="",0,IF(E43&lt;&gt;"",E43,IF(SUM($D$7:$D$66)&gt;0,N(D43)/SUM($D$7:$D$66),0)))</f>
        <v>0</v>
      </c>
      <c r="G43" s="175" t="str">
        <f aca="false">IF(C43="","",F43*'ตั้งค่า Setup'!$C$9)</f>
        <v/>
      </c>
      <c r="H43" s="27"/>
      <c r="I43" s="27"/>
      <c r="J43" s="106" t="str">
        <f aca="false">IF(OR(H43="",I43=""),"",I43-H43+1)</f>
        <v/>
      </c>
      <c r="K43" s="27"/>
      <c r="L43" s="27"/>
      <c r="M43" s="27"/>
      <c r="N43" s="27"/>
      <c r="O43" s="102"/>
      <c r="P43" s="104" t="str">
        <f aca="false">IF(OR(C43="",H43="",I43=""),"",MAX(0,MIN(1,('ตั้งค่า Setup'!$C$15-H43+1)/(I43-H43+1))))</f>
        <v/>
      </c>
      <c r="Q43" s="104" t="str">
        <f aca="false">IF(OR(C43="",Z43=0),"",MAX(0,MIN(1,('ตั้งค่า Setup'!$C$15-Z43+1)/(AA43-Z43+1))))</f>
        <v/>
      </c>
      <c r="R43" s="175" t="str">
        <f aca="false">IF(P43="","",G43*P43)</f>
        <v/>
      </c>
      <c r="S43" s="175" t="str">
        <f aca="false">IF(C43="","",G43*N(O43))</f>
        <v/>
      </c>
      <c r="T43" s="175" t="str">
        <f aca="false">IF(OR(R43="",S43=""),"",S43-R43)</f>
        <v/>
      </c>
      <c r="U43" s="176" t="str">
        <f aca="false">IF(OR(R43="",S43=""),"",IF(R43=0,"",S43/R43))</f>
        <v/>
      </c>
      <c r="V43" s="115" t="str">
        <f aca="false">IF(OR(C43="",Z43=0),"",IF(N43&lt;&gt;"",N43,IF(AND(N(O43)&gt;0,M43&lt;&gt;""),M43+ROUND((MAX('ตั้งค่า Setup'!$C$15,M43)-M43+1)/O43,0)-1,MAX(AA43,'ตั้งค่า Setup'!$C$15+AA43-Z43))))</f>
        <v/>
      </c>
      <c r="W43" s="177" t="str">
        <f aca="false">IF(OR(V43="",I43=""),"",V43-I43)</f>
        <v/>
      </c>
      <c r="X43" s="106" t="str">
        <f aca="false">IF(OR(C43="",H43="",I43=""),"",IF(N43&lt;&gt;"",IF(N43&lt;=I43,"เสร็จ / Completed","เสร็จช้า / Completed Late"),IF(AND(M43="",'ตั้งค่า Setup'!$C$15&lt;Z43),"ยังไม่ถึงกำหนด / Not Due",IF(N(O43)&gt;=P43,"ตามแผน / On Track",IF('ตั้งค่า Setup'!$C$15&gt;I43,"เกินกำหนด / Overdue","ล่าช้า / Behind")))))</f>
        <v/>
      </c>
      <c r="Y43" s="35"/>
      <c r="Z43" s="178" t="n">
        <f aca="false">IF(C43="",0,IF(K43&lt;&gt;"",K43,N(H43)))</f>
        <v>0</v>
      </c>
      <c r="AA43" s="178" t="n">
        <f aca="false">IF(C43="",0,IF(L43&lt;&gt;"",L43,N(I43)))</f>
        <v>0</v>
      </c>
      <c r="AB43" s="179" t="str">
        <f aca="false">IF(AND(C43&lt;&gt;"",N43="",ISNUMBER(W43)),W43+(1000-ROW())/1000000,"")</f>
        <v/>
      </c>
      <c r="AC43" s="179" t="n">
        <f aca="false">IF(AND(C43&lt;&gt;"",N43="",Z43&gt;0,Z43&lt;='ตั้งค่า Setup'!$C$15+'ตั้งค่า Setup'!$C$20),1,0)</f>
        <v>0</v>
      </c>
      <c r="AD43" s="179" t="str">
        <f aca="false">IF(AC43=1,SUM(AC$7:AC43),"")</f>
        <v/>
      </c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  <c r="AV43" s="180"/>
      <c r="AW43" s="180"/>
      <c r="AX43" s="180"/>
      <c r="AY43" s="180"/>
      <c r="AZ43" s="180"/>
      <c r="BA43" s="180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80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80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  <c r="CH43" s="180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80"/>
      <c r="CT43" s="180"/>
      <c r="CU43" s="180"/>
      <c r="CV43" s="180"/>
      <c r="CW43" s="180"/>
      <c r="CX43" s="180"/>
      <c r="CY43" s="180"/>
      <c r="CZ43" s="180"/>
      <c r="DA43" s="180"/>
      <c r="DB43" s="180"/>
      <c r="DC43" s="180"/>
      <c r="DD43" s="180"/>
      <c r="DE43" s="180"/>
      <c r="DF43" s="180"/>
      <c r="DG43" s="180"/>
    </row>
    <row r="44" customFormat="false" ht="15" hidden="false" customHeight="false" outlineLevel="0" collapsed="false">
      <c r="A44" s="106" t="str">
        <f aca="false">IF(OR(B44="",C44=""),"",IFERROR(MATCH(B44,'ตั้งค่า Setup'!$C$26:$C$65,0)&amp;"."&amp;COUNTIF(B$7:B44,B44),"?"))</f>
        <v/>
      </c>
      <c r="B44" s="35"/>
      <c r="C44" s="35"/>
      <c r="D44" s="25"/>
      <c r="E44" s="102"/>
      <c r="F44" s="104" t="n">
        <f aca="false">IF(C44="",0,IF(E44&lt;&gt;"",E44,IF(SUM($D$7:$D$66)&gt;0,N(D44)/SUM($D$7:$D$66),0)))</f>
        <v>0</v>
      </c>
      <c r="G44" s="175" t="str">
        <f aca="false">IF(C44="","",F44*'ตั้งค่า Setup'!$C$9)</f>
        <v/>
      </c>
      <c r="H44" s="27"/>
      <c r="I44" s="27"/>
      <c r="J44" s="106" t="str">
        <f aca="false">IF(OR(H44="",I44=""),"",I44-H44+1)</f>
        <v/>
      </c>
      <c r="K44" s="27"/>
      <c r="L44" s="27"/>
      <c r="M44" s="27"/>
      <c r="N44" s="27"/>
      <c r="O44" s="102"/>
      <c r="P44" s="104" t="str">
        <f aca="false">IF(OR(C44="",H44="",I44=""),"",MAX(0,MIN(1,('ตั้งค่า Setup'!$C$15-H44+1)/(I44-H44+1))))</f>
        <v/>
      </c>
      <c r="Q44" s="104" t="str">
        <f aca="false">IF(OR(C44="",Z44=0),"",MAX(0,MIN(1,('ตั้งค่า Setup'!$C$15-Z44+1)/(AA44-Z44+1))))</f>
        <v/>
      </c>
      <c r="R44" s="175" t="str">
        <f aca="false">IF(P44="","",G44*P44)</f>
        <v/>
      </c>
      <c r="S44" s="175" t="str">
        <f aca="false">IF(C44="","",G44*N(O44))</f>
        <v/>
      </c>
      <c r="T44" s="175" t="str">
        <f aca="false">IF(OR(R44="",S44=""),"",S44-R44)</f>
        <v/>
      </c>
      <c r="U44" s="176" t="str">
        <f aca="false">IF(OR(R44="",S44=""),"",IF(R44=0,"",S44/R44))</f>
        <v/>
      </c>
      <c r="V44" s="115" t="str">
        <f aca="false">IF(OR(C44="",Z44=0),"",IF(N44&lt;&gt;"",N44,IF(AND(N(O44)&gt;0,M44&lt;&gt;""),M44+ROUND((MAX('ตั้งค่า Setup'!$C$15,M44)-M44+1)/O44,0)-1,MAX(AA44,'ตั้งค่า Setup'!$C$15+AA44-Z44))))</f>
        <v/>
      </c>
      <c r="W44" s="177" t="str">
        <f aca="false">IF(OR(V44="",I44=""),"",V44-I44)</f>
        <v/>
      </c>
      <c r="X44" s="106" t="str">
        <f aca="false">IF(OR(C44="",H44="",I44=""),"",IF(N44&lt;&gt;"",IF(N44&lt;=I44,"เสร็จ / Completed","เสร็จช้า / Completed Late"),IF(AND(M44="",'ตั้งค่า Setup'!$C$15&lt;Z44),"ยังไม่ถึงกำหนด / Not Due",IF(N(O44)&gt;=P44,"ตามแผน / On Track",IF('ตั้งค่า Setup'!$C$15&gt;I44,"เกินกำหนด / Overdue","ล่าช้า / Behind")))))</f>
        <v/>
      </c>
      <c r="Y44" s="35"/>
      <c r="Z44" s="178" t="n">
        <f aca="false">IF(C44="",0,IF(K44&lt;&gt;"",K44,N(H44)))</f>
        <v>0</v>
      </c>
      <c r="AA44" s="178" t="n">
        <f aca="false">IF(C44="",0,IF(L44&lt;&gt;"",L44,N(I44)))</f>
        <v>0</v>
      </c>
      <c r="AB44" s="179" t="str">
        <f aca="false">IF(AND(C44&lt;&gt;"",N44="",ISNUMBER(W44)),W44+(1000-ROW())/1000000,"")</f>
        <v/>
      </c>
      <c r="AC44" s="179" t="n">
        <f aca="false">IF(AND(C44&lt;&gt;"",N44="",Z44&gt;0,Z44&lt;='ตั้งค่า Setup'!$C$15+'ตั้งค่า Setup'!$C$20),1,0)</f>
        <v>0</v>
      </c>
      <c r="AD44" s="179" t="str">
        <f aca="false">IF(AC44=1,SUM(AC$7:AC44),"")</f>
        <v/>
      </c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80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80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80"/>
      <c r="CT44" s="180"/>
      <c r="CU44" s="180"/>
      <c r="CV44" s="180"/>
      <c r="CW44" s="180"/>
      <c r="CX44" s="180"/>
      <c r="CY44" s="180"/>
      <c r="CZ44" s="180"/>
      <c r="DA44" s="180"/>
      <c r="DB44" s="180"/>
      <c r="DC44" s="180"/>
      <c r="DD44" s="180"/>
      <c r="DE44" s="180"/>
      <c r="DF44" s="180"/>
      <c r="DG44" s="180"/>
    </row>
    <row r="45" customFormat="false" ht="15" hidden="false" customHeight="false" outlineLevel="0" collapsed="false">
      <c r="A45" s="106" t="str">
        <f aca="false">IF(OR(B45="",C45=""),"",IFERROR(MATCH(B45,'ตั้งค่า Setup'!$C$26:$C$65,0)&amp;"."&amp;COUNTIF(B$7:B45,B45),"?"))</f>
        <v/>
      </c>
      <c r="B45" s="35"/>
      <c r="C45" s="35"/>
      <c r="D45" s="25"/>
      <c r="E45" s="102"/>
      <c r="F45" s="104" t="n">
        <f aca="false">IF(C45="",0,IF(E45&lt;&gt;"",E45,IF(SUM($D$7:$D$66)&gt;0,N(D45)/SUM($D$7:$D$66),0)))</f>
        <v>0</v>
      </c>
      <c r="G45" s="175" t="str">
        <f aca="false">IF(C45="","",F45*'ตั้งค่า Setup'!$C$9)</f>
        <v/>
      </c>
      <c r="H45" s="27"/>
      <c r="I45" s="27"/>
      <c r="J45" s="106" t="str">
        <f aca="false">IF(OR(H45="",I45=""),"",I45-H45+1)</f>
        <v/>
      </c>
      <c r="K45" s="27"/>
      <c r="L45" s="27"/>
      <c r="M45" s="27"/>
      <c r="N45" s="27"/>
      <c r="O45" s="102"/>
      <c r="P45" s="104" t="str">
        <f aca="false">IF(OR(C45="",H45="",I45=""),"",MAX(0,MIN(1,('ตั้งค่า Setup'!$C$15-H45+1)/(I45-H45+1))))</f>
        <v/>
      </c>
      <c r="Q45" s="104" t="str">
        <f aca="false">IF(OR(C45="",Z45=0),"",MAX(0,MIN(1,('ตั้งค่า Setup'!$C$15-Z45+1)/(AA45-Z45+1))))</f>
        <v/>
      </c>
      <c r="R45" s="175" t="str">
        <f aca="false">IF(P45="","",G45*P45)</f>
        <v/>
      </c>
      <c r="S45" s="175" t="str">
        <f aca="false">IF(C45="","",G45*N(O45))</f>
        <v/>
      </c>
      <c r="T45" s="175" t="str">
        <f aca="false">IF(OR(R45="",S45=""),"",S45-R45)</f>
        <v/>
      </c>
      <c r="U45" s="176" t="str">
        <f aca="false">IF(OR(R45="",S45=""),"",IF(R45=0,"",S45/R45))</f>
        <v/>
      </c>
      <c r="V45" s="115" t="str">
        <f aca="false">IF(OR(C45="",Z45=0),"",IF(N45&lt;&gt;"",N45,IF(AND(N(O45)&gt;0,M45&lt;&gt;""),M45+ROUND((MAX('ตั้งค่า Setup'!$C$15,M45)-M45+1)/O45,0)-1,MAX(AA45,'ตั้งค่า Setup'!$C$15+AA45-Z45))))</f>
        <v/>
      </c>
      <c r="W45" s="177" t="str">
        <f aca="false">IF(OR(V45="",I45=""),"",V45-I45)</f>
        <v/>
      </c>
      <c r="X45" s="106" t="str">
        <f aca="false">IF(OR(C45="",H45="",I45=""),"",IF(N45&lt;&gt;"",IF(N45&lt;=I45,"เสร็จ / Completed","เสร็จช้า / Completed Late"),IF(AND(M45="",'ตั้งค่า Setup'!$C$15&lt;Z45),"ยังไม่ถึงกำหนด / Not Due",IF(N(O45)&gt;=P45,"ตามแผน / On Track",IF('ตั้งค่า Setup'!$C$15&gt;I45,"เกินกำหนด / Overdue","ล่าช้า / Behind")))))</f>
        <v/>
      </c>
      <c r="Y45" s="35"/>
      <c r="Z45" s="178" t="n">
        <f aca="false">IF(C45="",0,IF(K45&lt;&gt;"",K45,N(H45)))</f>
        <v>0</v>
      </c>
      <c r="AA45" s="178" t="n">
        <f aca="false">IF(C45="",0,IF(L45&lt;&gt;"",L45,N(I45)))</f>
        <v>0</v>
      </c>
      <c r="AB45" s="179" t="str">
        <f aca="false">IF(AND(C45&lt;&gt;"",N45="",ISNUMBER(W45)),W45+(1000-ROW())/1000000,"")</f>
        <v/>
      </c>
      <c r="AC45" s="179" t="n">
        <f aca="false">IF(AND(C45&lt;&gt;"",N45="",Z45&gt;0,Z45&lt;='ตั้งค่า Setup'!$C$15+'ตั้งค่า Setup'!$C$20),1,0)</f>
        <v>0</v>
      </c>
      <c r="AD45" s="179" t="str">
        <f aca="false">IF(AC45=1,SUM(AC$7:AC45),"")</f>
        <v/>
      </c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0"/>
      <c r="BA45" s="180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80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80"/>
      <c r="CT45" s="180"/>
      <c r="CU45" s="180"/>
      <c r="CV45" s="180"/>
      <c r="CW45" s="180"/>
      <c r="CX45" s="180"/>
      <c r="CY45" s="180"/>
      <c r="CZ45" s="180"/>
      <c r="DA45" s="180"/>
      <c r="DB45" s="180"/>
      <c r="DC45" s="180"/>
      <c r="DD45" s="180"/>
      <c r="DE45" s="180"/>
      <c r="DF45" s="180"/>
      <c r="DG45" s="180"/>
    </row>
    <row r="46" customFormat="false" ht="15" hidden="false" customHeight="false" outlineLevel="0" collapsed="false">
      <c r="A46" s="106" t="str">
        <f aca="false">IF(OR(B46="",C46=""),"",IFERROR(MATCH(B46,'ตั้งค่า Setup'!$C$26:$C$65,0)&amp;"."&amp;COUNTIF(B$7:B46,B46),"?"))</f>
        <v/>
      </c>
      <c r="B46" s="35"/>
      <c r="C46" s="35"/>
      <c r="D46" s="25"/>
      <c r="E46" s="102"/>
      <c r="F46" s="104" t="n">
        <f aca="false">IF(C46="",0,IF(E46&lt;&gt;"",E46,IF(SUM($D$7:$D$66)&gt;0,N(D46)/SUM($D$7:$D$66),0)))</f>
        <v>0</v>
      </c>
      <c r="G46" s="175" t="str">
        <f aca="false">IF(C46="","",F46*'ตั้งค่า Setup'!$C$9)</f>
        <v/>
      </c>
      <c r="H46" s="27"/>
      <c r="I46" s="27"/>
      <c r="J46" s="106" t="str">
        <f aca="false">IF(OR(H46="",I46=""),"",I46-H46+1)</f>
        <v/>
      </c>
      <c r="K46" s="27"/>
      <c r="L46" s="27"/>
      <c r="M46" s="27"/>
      <c r="N46" s="27"/>
      <c r="O46" s="102"/>
      <c r="P46" s="104" t="str">
        <f aca="false">IF(OR(C46="",H46="",I46=""),"",MAX(0,MIN(1,('ตั้งค่า Setup'!$C$15-H46+1)/(I46-H46+1))))</f>
        <v/>
      </c>
      <c r="Q46" s="104" t="str">
        <f aca="false">IF(OR(C46="",Z46=0),"",MAX(0,MIN(1,('ตั้งค่า Setup'!$C$15-Z46+1)/(AA46-Z46+1))))</f>
        <v/>
      </c>
      <c r="R46" s="175" t="str">
        <f aca="false">IF(P46="","",G46*P46)</f>
        <v/>
      </c>
      <c r="S46" s="175" t="str">
        <f aca="false">IF(C46="","",G46*N(O46))</f>
        <v/>
      </c>
      <c r="T46" s="175" t="str">
        <f aca="false">IF(OR(R46="",S46=""),"",S46-R46)</f>
        <v/>
      </c>
      <c r="U46" s="176" t="str">
        <f aca="false">IF(OR(R46="",S46=""),"",IF(R46=0,"",S46/R46))</f>
        <v/>
      </c>
      <c r="V46" s="115" t="str">
        <f aca="false">IF(OR(C46="",Z46=0),"",IF(N46&lt;&gt;"",N46,IF(AND(N(O46)&gt;0,M46&lt;&gt;""),M46+ROUND((MAX('ตั้งค่า Setup'!$C$15,M46)-M46+1)/O46,0)-1,MAX(AA46,'ตั้งค่า Setup'!$C$15+AA46-Z46))))</f>
        <v/>
      </c>
      <c r="W46" s="177" t="str">
        <f aca="false">IF(OR(V46="",I46=""),"",V46-I46)</f>
        <v/>
      </c>
      <c r="X46" s="106" t="str">
        <f aca="false">IF(OR(C46="",H46="",I46=""),"",IF(N46&lt;&gt;"",IF(N46&lt;=I46,"เสร็จ / Completed","เสร็จช้า / Completed Late"),IF(AND(M46="",'ตั้งค่า Setup'!$C$15&lt;Z46),"ยังไม่ถึงกำหนด / Not Due",IF(N(O46)&gt;=P46,"ตามแผน / On Track",IF('ตั้งค่า Setup'!$C$15&gt;I46,"เกินกำหนด / Overdue","ล่าช้า / Behind")))))</f>
        <v/>
      </c>
      <c r="Y46" s="35"/>
      <c r="Z46" s="178" t="n">
        <f aca="false">IF(C46="",0,IF(K46&lt;&gt;"",K46,N(H46)))</f>
        <v>0</v>
      </c>
      <c r="AA46" s="178" t="n">
        <f aca="false">IF(C46="",0,IF(L46&lt;&gt;"",L46,N(I46)))</f>
        <v>0</v>
      </c>
      <c r="AB46" s="179" t="str">
        <f aca="false">IF(AND(C46&lt;&gt;"",N46="",ISNUMBER(W46)),W46+(1000-ROW())/1000000,"")</f>
        <v/>
      </c>
      <c r="AC46" s="179" t="n">
        <f aca="false">IF(AND(C46&lt;&gt;"",N46="",Z46&gt;0,Z46&lt;='ตั้งค่า Setup'!$C$15+'ตั้งค่า Setup'!$C$20),1,0)</f>
        <v>0</v>
      </c>
      <c r="AD46" s="179" t="str">
        <f aca="false">IF(AC46=1,SUM(AC$7:AC46),"")</f>
        <v/>
      </c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80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  <c r="CS46" s="180"/>
      <c r="CT46" s="180"/>
      <c r="CU46" s="180"/>
      <c r="CV46" s="180"/>
      <c r="CW46" s="180"/>
      <c r="CX46" s="180"/>
      <c r="CY46" s="180"/>
      <c r="CZ46" s="180"/>
      <c r="DA46" s="180"/>
      <c r="DB46" s="180"/>
      <c r="DC46" s="180"/>
      <c r="DD46" s="180"/>
      <c r="DE46" s="180"/>
      <c r="DF46" s="180"/>
      <c r="DG46" s="180"/>
    </row>
    <row r="47" customFormat="false" ht="15" hidden="false" customHeight="false" outlineLevel="0" collapsed="false">
      <c r="A47" s="106" t="str">
        <f aca="false">IF(OR(B47="",C47=""),"",IFERROR(MATCH(B47,'ตั้งค่า Setup'!$C$26:$C$65,0)&amp;"."&amp;COUNTIF(B$7:B47,B47),"?"))</f>
        <v/>
      </c>
      <c r="B47" s="35"/>
      <c r="C47" s="35"/>
      <c r="D47" s="25"/>
      <c r="E47" s="102"/>
      <c r="F47" s="104" t="n">
        <f aca="false">IF(C47="",0,IF(E47&lt;&gt;"",E47,IF(SUM($D$7:$D$66)&gt;0,N(D47)/SUM($D$7:$D$66),0)))</f>
        <v>0</v>
      </c>
      <c r="G47" s="175" t="str">
        <f aca="false">IF(C47="","",F47*'ตั้งค่า Setup'!$C$9)</f>
        <v/>
      </c>
      <c r="H47" s="27"/>
      <c r="I47" s="27"/>
      <c r="J47" s="106" t="str">
        <f aca="false">IF(OR(H47="",I47=""),"",I47-H47+1)</f>
        <v/>
      </c>
      <c r="K47" s="27"/>
      <c r="L47" s="27"/>
      <c r="M47" s="27"/>
      <c r="N47" s="27"/>
      <c r="O47" s="102"/>
      <c r="P47" s="104" t="str">
        <f aca="false">IF(OR(C47="",H47="",I47=""),"",MAX(0,MIN(1,('ตั้งค่า Setup'!$C$15-H47+1)/(I47-H47+1))))</f>
        <v/>
      </c>
      <c r="Q47" s="104" t="str">
        <f aca="false">IF(OR(C47="",Z47=0),"",MAX(0,MIN(1,('ตั้งค่า Setup'!$C$15-Z47+1)/(AA47-Z47+1))))</f>
        <v/>
      </c>
      <c r="R47" s="175" t="str">
        <f aca="false">IF(P47="","",G47*P47)</f>
        <v/>
      </c>
      <c r="S47" s="175" t="str">
        <f aca="false">IF(C47="","",G47*N(O47))</f>
        <v/>
      </c>
      <c r="T47" s="175" t="str">
        <f aca="false">IF(OR(R47="",S47=""),"",S47-R47)</f>
        <v/>
      </c>
      <c r="U47" s="176" t="str">
        <f aca="false">IF(OR(R47="",S47=""),"",IF(R47=0,"",S47/R47))</f>
        <v/>
      </c>
      <c r="V47" s="115" t="str">
        <f aca="false">IF(OR(C47="",Z47=0),"",IF(N47&lt;&gt;"",N47,IF(AND(N(O47)&gt;0,M47&lt;&gt;""),M47+ROUND((MAX('ตั้งค่า Setup'!$C$15,M47)-M47+1)/O47,0)-1,MAX(AA47,'ตั้งค่า Setup'!$C$15+AA47-Z47))))</f>
        <v/>
      </c>
      <c r="W47" s="177" t="str">
        <f aca="false">IF(OR(V47="",I47=""),"",V47-I47)</f>
        <v/>
      </c>
      <c r="X47" s="106" t="str">
        <f aca="false">IF(OR(C47="",H47="",I47=""),"",IF(N47&lt;&gt;"",IF(N47&lt;=I47,"เสร็จ / Completed","เสร็จช้า / Completed Late"),IF(AND(M47="",'ตั้งค่า Setup'!$C$15&lt;Z47),"ยังไม่ถึงกำหนด / Not Due",IF(N(O47)&gt;=P47,"ตามแผน / On Track",IF('ตั้งค่า Setup'!$C$15&gt;I47,"เกินกำหนด / Overdue","ล่าช้า / Behind")))))</f>
        <v/>
      </c>
      <c r="Y47" s="35"/>
      <c r="Z47" s="178" t="n">
        <f aca="false">IF(C47="",0,IF(K47&lt;&gt;"",K47,N(H47)))</f>
        <v>0</v>
      </c>
      <c r="AA47" s="178" t="n">
        <f aca="false">IF(C47="",0,IF(L47&lt;&gt;"",L47,N(I47)))</f>
        <v>0</v>
      </c>
      <c r="AB47" s="179" t="str">
        <f aca="false">IF(AND(C47&lt;&gt;"",N47="",ISNUMBER(W47)),W47+(1000-ROW())/1000000,"")</f>
        <v/>
      </c>
      <c r="AC47" s="179" t="n">
        <f aca="false">IF(AND(C47&lt;&gt;"",N47="",Z47&gt;0,Z47&lt;='ตั้งค่า Setup'!$C$15+'ตั้งค่า Setup'!$C$20),1,0)</f>
        <v>0</v>
      </c>
      <c r="AD47" s="179" t="str">
        <f aca="false">IF(AC47=1,SUM(AC$7:AC47),"")</f>
        <v/>
      </c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80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  <c r="CH47" s="180"/>
      <c r="CI47" s="180"/>
      <c r="CJ47" s="180"/>
      <c r="CK47" s="180"/>
      <c r="CL47" s="180"/>
      <c r="CM47" s="180"/>
      <c r="CN47" s="180"/>
      <c r="CO47" s="180"/>
      <c r="CP47" s="180"/>
      <c r="CQ47" s="180"/>
      <c r="CR47" s="180"/>
      <c r="CS47" s="180"/>
      <c r="CT47" s="180"/>
      <c r="CU47" s="180"/>
      <c r="CV47" s="180"/>
      <c r="CW47" s="180"/>
      <c r="CX47" s="180"/>
      <c r="CY47" s="180"/>
      <c r="CZ47" s="180"/>
      <c r="DA47" s="180"/>
      <c r="DB47" s="180"/>
      <c r="DC47" s="180"/>
      <c r="DD47" s="180"/>
      <c r="DE47" s="180"/>
      <c r="DF47" s="180"/>
      <c r="DG47" s="180"/>
    </row>
    <row r="48" customFormat="false" ht="15" hidden="false" customHeight="false" outlineLevel="0" collapsed="false">
      <c r="A48" s="106" t="str">
        <f aca="false">IF(OR(B48="",C48=""),"",IFERROR(MATCH(B48,'ตั้งค่า Setup'!$C$26:$C$65,0)&amp;"."&amp;COUNTIF(B$7:B48,B48),"?"))</f>
        <v/>
      </c>
      <c r="B48" s="35"/>
      <c r="C48" s="35"/>
      <c r="D48" s="25"/>
      <c r="E48" s="102"/>
      <c r="F48" s="104" t="n">
        <f aca="false">IF(C48="",0,IF(E48&lt;&gt;"",E48,IF(SUM($D$7:$D$66)&gt;0,N(D48)/SUM($D$7:$D$66),0)))</f>
        <v>0</v>
      </c>
      <c r="G48" s="175" t="str">
        <f aca="false">IF(C48="","",F48*'ตั้งค่า Setup'!$C$9)</f>
        <v/>
      </c>
      <c r="H48" s="27"/>
      <c r="I48" s="27"/>
      <c r="J48" s="106" t="str">
        <f aca="false">IF(OR(H48="",I48=""),"",I48-H48+1)</f>
        <v/>
      </c>
      <c r="K48" s="27"/>
      <c r="L48" s="27"/>
      <c r="M48" s="27"/>
      <c r="N48" s="27"/>
      <c r="O48" s="102"/>
      <c r="P48" s="104" t="str">
        <f aca="false">IF(OR(C48="",H48="",I48=""),"",MAX(0,MIN(1,('ตั้งค่า Setup'!$C$15-H48+1)/(I48-H48+1))))</f>
        <v/>
      </c>
      <c r="Q48" s="104" t="str">
        <f aca="false">IF(OR(C48="",Z48=0),"",MAX(0,MIN(1,('ตั้งค่า Setup'!$C$15-Z48+1)/(AA48-Z48+1))))</f>
        <v/>
      </c>
      <c r="R48" s="175" t="str">
        <f aca="false">IF(P48="","",G48*P48)</f>
        <v/>
      </c>
      <c r="S48" s="175" t="str">
        <f aca="false">IF(C48="","",G48*N(O48))</f>
        <v/>
      </c>
      <c r="T48" s="175" t="str">
        <f aca="false">IF(OR(R48="",S48=""),"",S48-R48)</f>
        <v/>
      </c>
      <c r="U48" s="176" t="str">
        <f aca="false">IF(OR(R48="",S48=""),"",IF(R48=0,"",S48/R48))</f>
        <v/>
      </c>
      <c r="V48" s="115" t="str">
        <f aca="false">IF(OR(C48="",Z48=0),"",IF(N48&lt;&gt;"",N48,IF(AND(N(O48)&gt;0,M48&lt;&gt;""),M48+ROUND((MAX('ตั้งค่า Setup'!$C$15,M48)-M48+1)/O48,0)-1,MAX(AA48,'ตั้งค่า Setup'!$C$15+AA48-Z48))))</f>
        <v/>
      </c>
      <c r="W48" s="177" t="str">
        <f aca="false">IF(OR(V48="",I48=""),"",V48-I48)</f>
        <v/>
      </c>
      <c r="X48" s="106" t="str">
        <f aca="false">IF(OR(C48="",H48="",I48=""),"",IF(N48&lt;&gt;"",IF(N48&lt;=I48,"เสร็จ / Completed","เสร็จช้า / Completed Late"),IF(AND(M48="",'ตั้งค่า Setup'!$C$15&lt;Z48),"ยังไม่ถึงกำหนด / Not Due",IF(N(O48)&gt;=P48,"ตามแผน / On Track",IF('ตั้งค่า Setup'!$C$15&gt;I48,"เกินกำหนด / Overdue","ล่าช้า / Behind")))))</f>
        <v/>
      </c>
      <c r="Y48" s="35"/>
      <c r="Z48" s="178" t="n">
        <f aca="false">IF(C48="",0,IF(K48&lt;&gt;"",K48,N(H48)))</f>
        <v>0</v>
      </c>
      <c r="AA48" s="178" t="n">
        <f aca="false">IF(C48="",0,IF(L48&lt;&gt;"",L48,N(I48)))</f>
        <v>0</v>
      </c>
      <c r="AB48" s="179" t="str">
        <f aca="false">IF(AND(C48&lt;&gt;"",N48="",ISNUMBER(W48)),W48+(1000-ROW())/1000000,"")</f>
        <v/>
      </c>
      <c r="AC48" s="179" t="n">
        <f aca="false">IF(AND(C48&lt;&gt;"",N48="",Z48&gt;0,Z48&lt;='ตั้งค่า Setup'!$C$15+'ตั้งค่า Setup'!$C$20),1,0)</f>
        <v>0</v>
      </c>
      <c r="AD48" s="179" t="str">
        <f aca="false">IF(AC48=1,SUM(AC$7:AC48),"")</f>
        <v/>
      </c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80"/>
      <c r="BC48" s="180"/>
      <c r="BD48" s="180"/>
      <c r="BE48" s="180"/>
      <c r="BF48" s="180"/>
      <c r="BG48" s="180"/>
      <c r="BH48" s="180"/>
      <c r="BI48" s="180"/>
      <c r="BJ48" s="180"/>
      <c r="BK48" s="180"/>
      <c r="BL48" s="180"/>
      <c r="BM48" s="180"/>
      <c r="BN48" s="180"/>
      <c r="BO48" s="180"/>
      <c r="BP48" s="180"/>
      <c r="BQ48" s="180"/>
      <c r="BR48" s="180"/>
      <c r="BS48" s="180"/>
      <c r="BT48" s="180"/>
      <c r="BU48" s="180"/>
      <c r="BV48" s="180"/>
      <c r="BW48" s="180"/>
      <c r="BX48" s="180"/>
      <c r="BY48" s="180"/>
      <c r="BZ48" s="180"/>
      <c r="CA48" s="180"/>
      <c r="CB48" s="180"/>
      <c r="CC48" s="180"/>
      <c r="CD48" s="180"/>
      <c r="CE48" s="180"/>
      <c r="CF48" s="180"/>
      <c r="CG48" s="180"/>
      <c r="CH48" s="180"/>
      <c r="CI48" s="180"/>
      <c r="CJ48" s="180"/>
      <c r="CK48" s="180"/>
      <c r="CL48" s="180"/>
      <c r="CM48" s="180"/>
      <c r="CN48" s="180"/>
      <c r="CO48" s="180"/>
      <c r="CP48" s="180"/>
      <c r="CQ48" s="180"/>
      <c r="CR48" s="180"/>
      <c r="CS48" s="180"/>
      <c r="CT48" s="180"/>
      <c r="CU48" s="180"/>
      <c r="CV48" s="180"/>
      <c r="CW48" s="180"/>
      <c r="CX48" s="180"/>
      <c r="CY48" s="180"/>
      <c r="CZ48" s="180"/>
      <c r="DA48" s="180"/>
      <c r="DB48" s="180"/>
      <c r="DC48" s="180"/>
      <c r="DD48" s="180"/>
      <c r="DE48" s="180"/>
      <c r="DF48" s="180"/>
      <c r="DG48" s="180"/>
    </row>
    <row r="49" customFormat="false" ht="15" hidden="false" customHeight="false" outlineLevel="0" collapsed="false">
      <c r="A49" s="106" t="str">
        <f aca="false">IF(OR(B49="",C49=""),"",IFERROR(MATCH(B49,'ตั้งค่า Setup'!$C$26:$C$65,0)&amp;"."&amp;COUNTIF(B$7:B49,B49),"?"))</f>
        <v/>
      </c>
      <c r="B49" s="35"/>
      <c r="C49" s="35"/>
      <c r="D49" s="25"/>
      <c r="E49" s="102"/>
      <c r="F49" s="104" t="n">
        <f aca="false">IF(C49="",0,IF(E49&lt;&gt;"",E49,IF(SUM($D$7:$D$66)&gt;0,N(D49)/SUM($D$7:$D$66),0)))</f>
        <v>0</v>
      </c>
      <c r="G49" s="175" t="str">
        <f aca="false">IF(C49="","",F49*'ตั้งค่า Setup'!$C$9)</f>
        <v/>
      </c>
      <c r="H49" s="27"/>
      <c r="I49" s="27"/>
      <c r="J49" s="106" t="str">
        <f aca="false">IF(OR(H49="",I49=""),"",I49-H49+1)</f>
        <v/>
      </c>
      <c r="K49" s="27"/>
      <c r="L49" s="27"/>
      <c r="M49" s="27"/>
      <c r="N49" s="27"/>
      <c r="O49" s="102"/>
      <c r="P49" s="104" t="str">
        <f aca="false">IF(OR(C49="",H49="",I49=""),"",MAX(0,MIN(1,('ตั้งค่า Setup'!$C$15-H49+1)/(I49-H49+1))))</f>
        <v/>
      </c>
      <c r="Q49" s="104" t="str">
        <f aca="false">IF(OR(C49="",Z49=0),"",MAX(0,MIN(1,('ตั้งค่า Setup'!$C$15-Z49+1)/(AA49-Z49+1))))</f>
        <v/>
      </c>
      <c r="R49" s="175" t="str">
        <f aca="false">IF(P49="","",G49*P49)</f>
        <v/>
      </c>
      <c r="S49" s="175" t="str">
        <f aca="false">IF(C49="","",G49*N(O49))</f>
        <v/>
      </c>
      <c r="T49" s="175" t="str">
        <f aca="false">IF(OR(R49="",S49=""),"",S49-R49)</f>
        <v/>
      </c>
      <c r="U49" s="176" t="str">
        <f aca="false">IF(OR(R49="",S49=""),"",IF(R49=0,"",S49/R49))</f>
        <v/>
      </c>
      <c r="V49" s="115" t="str">
        <f aca="false">IF(OR(C49="",Z49=0),"",IF(N49&lt;&gt;"",N49,IF(AND(N(O49)&gt;0,M49&lt;&gt;""),M49+ROUND((MAX('ตั้งค่า Setup'!$C$15,M49)-M49+1)/O49,0)-1,MAX(AA49,'ตั้งค่า Setup'!$C$15+AA49-Z49))))</f>
        <v/>
      </c>
      <c r="W49" s="177" t="str">
        <f aca="false">IF(OR(V49="",I49=""),"",V49-I49)</f>
        <v/>
      </c>
      <c r="X49" s="106" t="str">
        <f aca="false">IF(OR(C49="",H49="",I49=""),"",IF(N49&lt;&gt;"",IF(N49&lt;=I49,"เสร็จ / Completed","เสร็จช้า / Completed Late"),IF(AND(M49="",'ตั้งค่า Setup'!$C$15&lt;Z49),"ยังไม่ถึงกำหนด / Not Due",IF(N(O49)&gt;=P49,"ตามแผน / On Track",IF('ตั้งค่า Setup'!$C$15&gt;I49,"เกินกำหนด / Overdue","ล่าช้า / Behind")))))</f>
        <v/>
      </c>
      <c r="Y49" s="35"/>
      <c r="Z49" s="178" t="n">
        <f aca="false">IF(C49="",0,IF(K49&lt;&gt;"",K49,N(H49)))</f>
        <v>0</v>
      </c>
      <c r="AA49" s="178" t="n">
        <f aca="false">IF(C49="",0,IF(L49&lt;&gt;"",L49,N(I49)))</f>
        <v>0</v>
      </c>
      <c r="AB49" s="179" t="str">
        <f aca="false">IF(AND(C49&lt;&gt;"",N49="",ISNUMBER(W49)),W49+(1000-ROW())/1000000,"")</f>
        <v/>
      </c>
      <c r="AC49" s="179" t="n">
        <f aca="false">IF(AND(C49&lt;&gt;"",N49="",Z49&gt;0,Z49&lt;='ตั้งค่า Setup'!$C$15+'ตั้งค่า Setup'!$C$20),1,0)</f>
        <v>0</v>
      </c>
      <c r="AD49" s="179" t="str">
        <f aca="false">IF(AC49=1,SUM(AC$7:AC49),"")</f>
        <v/>
      </c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  <c r="AT49" s="180"/>
      <c r="AU49" s="180"/>
      <c r="AV49" s="180"/>
      <c r="AW49" s="180"/>
      <c r="AX49" s="180"/>
      <c r="AY49" s="180"/>
      <c r="AZ49" s="180"/>
      <c r="BA49" s="180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80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80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80"/>
      <c r="CI49" s="180"/>
      <c r="CJ49" s="180"/>
      <c r="CK49" s="180"/>
      <c r="CL49" s="180"/>
      <c r="CM49" s="180"/>
      <c r="CN49" s="180"/>
      <c r="CO49" s="180"/>
      <c r="CP49" s="180"/>
      <c r="CQ49" s="180"/>
      <c r="CR49" s="180"/>
      <c r="CS49" s="180"/>
      <c r="CT49" s="180"/>
      <c r="CU49" s="180"/>
      <c r="CV49" s="180"/>
      <c r="CW49" s="180"/>
      <c r="CX49" s="180"/>
      <c r="CY49" s="180"/>
      <c r="CZ49" s="180"/>
      <c r="DA49" s="180"/>
      <c r="DB49" s="180"/>
      <c r="DC49" s="180"/>
      <c r="DD49" s="180"/>
      <c r="DE49" s="180"/>
      <c r="DF49" s="180"/>
      <c r="DG49" s="180"/>
    </row>
    <row r="50" customFormat="false" ht="15" hidden="false" customHeight="false" outlineLevel="0" collapsed="false">
      <c r="A50" s="106" t="str">
        <f aca="false">IF(OR(B50="",C50=""),"",IFERROR(MATCH(B50,'ตั้งค่า Setup'!$C$26:$C$65,0)&amp;"."&amp;COUNTIF(B$7:B50,B50),"?"))</f>
        <v/>
      </c>
      <c r="B50" s="35"/>
      <c r="C50" s="35"/>
      <c r="D50" s="25"/>
      <c r="E50" s="102"/>
      <c r="F50" s="104" t="n">
        <f aca="false">IF(C50="",0,IF(E50&lt;&gt;"",E50,IF(SUM($D$7:$D$66)&gt;0,N(D50)/SUM($D$7:$D$66),0)))</f>
        <v>0</v>
      </c>
      <c r="G50" s="175" t="str">
        <f aca="false">IF(C50="","",F50*'ตั้งค่า Setup'!$C$9)</f>
        <v/>
      </c>
      <c r="H50" s="27"/>
      <c r="I50" s="27"/>
      <c r="J50" s="106" t="str">
        <f aca="false">IF(OR(H50="",I50=""),"",I50-H50+1)</f>
        <v/>
      </c>
      <c r="K50" s="27"/>
      <c r="L50" s="27"/>
      <c r="M50" s="27"/>
      <c r="N50" s="27"/>
      <c r="O50" s="102"/>
      <c r="P50" s="104" t="str">
        <f aca="false">IF(OR(C50="",H50="",I50=""),"",MAX(0,MIN(1,('ตั้งค่า Setup'!$C$15-H50+1)/(I50-H50+1))))</f>
        <v/>
      </c>
      <c r="Q50" s="104" t="str">
        <f aca="false">IF(OR(C50="",Z50=0),"",MAX(0,MIN(1,('ตั้งค่า Setup'!$C$15-Z50+1)/(AA50-Z50+1))))</f>
        <v/>
      </c>
      <c r="R50" s="175" t="str">
        <f aca="false">IF(P50="","",G50*P50)</f>
        <v/>
      </c>
      <c r="S50" s="175" t="str">
        <f aca="false">IF(C50="","",G50*N(O50))</f>
        <v/>
      </c>
      <c r="T50" s="175" t="str">
        <f aca="false">IF(OR(R50="",S50=""),"",S50-R50)</f>
        <v/>
      </c>
      <c r="U50" s="176" t="str">
        <f aca="false">IF(OR(R50="",S50=""),"",IF(R50=0,"",S50/R50))</f>
        <v/>
      </c>
      <c r="V50" s="115" t="str">
        <f aca="false">IF(OR(C50="",Z50=0),"",IF(N50&lt;&gt;"",N50,IF(AND(N(O50)&gt;0,M50&lt;&gt;""),M50+ROUND((MAX('ตั้งค่า Setup'!$C$15,M50)-M50+1)/O50,0)-1,MAX(AA50,'ตั้งค่า Setup'!$C$15+AA50-Z50))))</f>
        <v/>
      </c>
      <c r="W50" s="177" t="str">
        <f aca="false">IF(OR(V50="",I50=""),"",V50-I50)</f>
        <v/>
      </c>
      <c r="X50" s="106" t="str">
        <f aca="false">IF(OR(C50="",H50="",I50=""),"",IF(N50&lt;&gt;"",IF(N50&lt;=I50,"เสร็จ / Completed","เสร็จช้า / Completed Late"),IF(AND(M50="",'ตั้งค่า Setup'!$C$15&lt;Z50),"ยังไม่ถึงกำหนด / Not Due",IF(N(O50)&gt;=P50,"ตามแผน / On Track",IF('ตั้งค่า Setup'!$C$15&gt;I50,"เกินกำหนด / Overdue","ล่าช้า / Behind")))))</f>
        <v/>
      </c>
      <c r="Y50" s="35"/>
      <c r="Z50" s="178" t="n">
        <f aca="false">IF(C50="",0,IF(K50&lt;&gt;"",K50,N(H50)))</f>
        <v>0</v>
      </c>
      <c r="AA50" s="178" t="n">
        <f aca="false">IF(C50="",0,IF(L50&lt;&gt;"",L50,N(I50)))</f>
        <v>0</v>
      </c>
      <c r="AB50" s="179" t="str">
        <f aca="false">IF(AND(C50&lt;&gt;"",N50="",ISNUMBER(W50)),W50+(1000-ROW())/1000000,"")</f>
        <v/>
      </c>
      <c r="AC50" s="179" t="n">
        <f aca="false">IF(AND(C50&lt;&gt;"",N50="",Z50&gt;0,Z50&lt;='ตั้งค่า Setup'!$C$15+'ตั้งค่า Setup'!$C$20),1,0)</f>
        <v>0</v>
      </c>
      <c r="AD50" s="179" t="str">
        <f aca="false">IF(AC50=1,SUM(AC$7:AC50),"")</f>
        <v/>
      </c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180"/>
      <c r="BA50" s="180"/>
      <c r="BB50" s="180"/>
      <c r="BC50" s="180"/>
      <c r="BD50" s="180"/>
      <c r="BE50" s="180"/>
      <c r="BF50" s="180"/>
      <c r="BG50" s="180"/>
      <c r="BH50" s="180"/>
      <c r="BI50" s="180"/>
      <c r="BJ50" s="180"/>
      <c r="BK50" s="180"/>
      <c r="BL50" s="180"/>
      <c r="BM50" s="180"/>
      <c r="BN50" s="180"/>
      <c r="BO50" s="180"/>
      <c r="BP50" s="180"/>
      <c r="BQ50" s="180"/>
      <c r="BR50" s="180"/>
      <c r="BS50" s="180"/>
      <c r="BT50" s="180"/>
      <c r="BU50" s="180"/>
      <c r="BV50" s="180"/>
      <c r="BW50" s="180"/>
      <c r="BX50" s="180"/>
      <c r="BY50" s="180"/>
      <c r="BZ50" s="180"/>
      <c r="CA50" s="180"/>
      <c r="CB50" s="180"/>
      <c r="CC50" s="180"/>
      <c r="CD50" s="180"/>
      <c r="CE50" s="180"/>
      <c r="CF50" s="180"/>
      <c r="CG50" s="180"/>
      <c r="CH50" s="180"/>
      <c r="CI50" s="180"/>
      <c r="CJ50" s="180"/>
      <c r="CK50" s="180"/>
      <c r="CL50" s="180"/>
      <c r="CM50" s="180"/>
      <c r="CN50" s="180"/>
      <c r="CO50" s="180"/>
      <c r="CP50" s="180"/>
      <c r="CQ50" s="180"/>
      <c r="CR50" s="180"/>
      <c r="CS50" s="180"/>
      <c r="CT50" s="180"/>
      <c r="CU50" s="180"/>
      <c r="CV50" s="180"/>
      <c r="CW50" s="180"/>
      <c r="CX50" s="180"/>
      <c r="CY50" s="180"/>
      <c r="CZ50" s="180"/>
      <c r="DA50" s="180"/>
      <c r="DB50" s="180"/>
      <c r="DC50" s="180"/>
      <c r="DD50" s="180"/>
      <c r="DE50" s="180"/>
      <c r="DF50" s="180"/>
      <c r="DG50" s="180"/>
    </row>
    <row r="51" customFormat="false" ht="15" hidden="false" customHeight="false" outlineLevel="0" collapsed="false">
      <c r="A51" s="106" t="str">
        <f aca="false">IF(OR(B51="",C51=""),"",IFERROR(MATCH(B51,'ตั้งค่า Setup'!$C$26:$C$65,0)&amp;"."&amp;COUNTIF(B$7:B51,B51),"?"))</f>
        <v/>
      </c>
      <c r="B51" s="35"/>
      <c r="C51" s="35"/>
      <c r="D51" s="25"/>
      <c r="E51" s="102"/>
      <c r="F51" s="104" t="n">
        <f aca="false">IF(C51="",0,IF(E51&lt;&gt;"",E51,IF(SUM($D$7:$D$66)&gt;0,N(D51)/SUM($D$7:$D$66),0)))</f>
        <v>0</v>
      </c>
      <c r="G51" s="175" t="str">
        <f aca="false">IF(C51="","",F51*'ตั้งค่า Setup'!$C$9)</f>
        <v/>
      </c>
      <c r="H51" s="27"/>
      <c r="I51" s="27"/>
      <c r="J51" s="106" t="str">
        <f aca="false">IF(OR(H51="",I51=""),"",I51-H51+1)</f>
        <v/>
      </c>
      <c r="K51" s="27"/>
      <c r="L51" s="27"/>
      <c r="M51" s="27"/>
      <c r="N51" s="27"/>
      <c r="O51" s="102"/>
      <c r="P51" s="104" t="str">
        <f aca="false">IF(OR(C51="",H51="",I51=""),"",MAX(0,MIN(1,('ตั้งค่า Setup'!$C$15-H51+1)/(I51-H51+1))))</f>
        <v/>
      </c>
      <c r="Q51" s="104" t="str">
        <f aca="false">IF(OR(C51="",Z51=0),"",MAX(0,MIN(1,('ตั้งค่า Setup'!$C$15-Z51+1)/(AA51-Z51+1))))</f>
        <v/>
      </c>
      <c r="R51" s="175" t="str">
        <f aca="false">IF(P51="","",G51*P51)</f>
        <v/>
      </c>
      <c r="S51" s="175" t="str">
        <f aca="false">IF(C51="","",G51*N(O51))</f>
        <v/>
      </c>
      <c r="T51" s="175" t="str">
        <f aca="false">IF(OR(R51="",S51=""),"",S51-R51)</f>
        <v/>
      </c>
      <c r="U51" s="176" t="str">
        <f aca="false">IF(OR(R51="",S51=""),"",IF(R51=0,"",S51/R51))</f>
        <v/>
      </c>
      <c r="V51" s="115" t="str">
        <f aca="false">IF(OR(C51="",Z51=0),"",IF(N51&lt;&gt;"",N51,IF(AND(N(O51)&gt;0,M51&lt;&gt;""),M51+ROUND((MAX('ตั้งค่า Setup'!$C$15,M51)-M51+1)/O51,0)-1,MAX(AA51,'ตั้งค่า Setup'!$C$15+AA51-Z51))))</f>
        <v/>
      </c>
      <c r="W51" s="177" t="str">
        <f aca="false">IF(OR(V51="",I51=""),"",V51-I51)</f>
        <v/>
      </c>
      <c r="X51" s="106" t="str">
        <f aca="false">IF(OR(C51="",H51="",I51=""),"",IF(N51&lt;&gt;"",IF(N51&lt;=I51,"เสร็จ / Completed","เสร็จช้า / Completed Late"),IF(AND(M51="",'ตั้งค่า Setup'!$C$15&lt;Z51),"ยังไม่ถึงกำหนด / Not Due",IF(N(O51)&gt;=P51,"ตามแผน / On Track",IF('ตั้งค่า Setup'!$C$15&gt;I51,"เกินกำหนด / Overdue","ล่าช้า / Behind")))))</f>
        <v/>
      </c>
      <c r="Y51" s="35"/>
      <c r="Z51" s="178" t="n">
        <f aca="false">IF(C51="",0,IF(K51&lt;&gt;"",K51,N(H51)))</f>
        <v>0</v>
      </c>
      <c r="AA51" s="178" t="n">
        <f aca="false">IF(C51="",0,IF(L51&lt;&gt;"",L51,N(I51)))</f>
        <v>0</v>
      </c>
      <c r="AB51" s="179" t="str">
        <f aca="false">IF(AND(C51&lt;&gt;"",N51="",ISNUMBER(W51)),W51+(1000-ROW())/1000000,"")</f>
        <v/>
      </c>
      <c r="AC51" s="179" t="n">
        <f aca="false">IF(AND(C51&lt;&gt;"",N51="",Z51&gt;0,Z51&lt;='ตั้งค่า Setup'!$C$15+'ตั้งค่า Setup'!$C$20),1,0)</f>
        <v>0</v>
      </c>
      <c r="AD51" s="179" t="str">
        <f aca="false">IF(AC51=1,SUM(AC$7:AC51),"")</f>
        <v/>
      </c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  <c r="AP51" s="180"/>
      <c r="AQ51" s="180"/>
      <c r="AR51" s="180"/>
      <c r="AS51" s="180"/>
      <c r="AT51" s="180"/>
      <c r="AU51" s="180"/>
      <c r="AV51" s="180"/>
      <c r="AW51" s="180"/>
      <c r="AX51" s="180"/>
      <c r="AY51" s="180"/>
      <c r="AZ51" s="180"/>
      <c r="BA51" s="180"/>
      <c r="BB51" s="180"/>
      <c r="BC51" s="180"/>
      <c r="BD51" s="180"/>
      <c r="BE51" s="180"/>
      <c r="BF51" s="180"/>
      <c r="BG51" s="180"/>
      <c r="BH51" s="180"/>
      <c r="BI51" s="180"/>
      <c r="BJ51" s="180"/>
      <c r="BK51" s="180"/>
      <c r="BL51" s="180"/>
      <c r="BM51" s="180"/>
      <c r="BN51" s="180"/>
      <c r="BO51" s="180"/>
      <c r="BP51" s="180"/>
      <c r="BQ51" s="180"/>
      <c r="BR51" s="180"/>
      <c r="BS51" s="180"/>
      <c r="BT51" s="180"/>
      <c r="BU51" s="180"/>
      <c r="BV51" s="180"/>
      <c r="BW51" s="180"/>
      <c r="BX51" s="180"/>
      <c r="BY51" s="180"/>
      <c r="BZ51" s="180"/>
      <c r="CA51" s="180"/>
      <c r="CB51" s="180"/>
      <c r="CC51" s="180"/>
      <c r="CD51" s="180"/>
      <c r="CE51" s="180"/>
      <c r="CF51" s="180"/>
      <c r="CG51" s="180"/>
      <c r="CH51" s="180"/>
      <c r="CI51" s="180"/>
      <c r="CJ51" s="180"/>
      <c r="CK51" s="180"/>
      <c r="CL51" s="180"/>
      <c r="CM51" s="180"/>
      <c r="CN51" s="180"/>
      <c r="CO51" s="180"/>
      <c r="CP51" s="180"/>
      <c r="CQ51" s="180"/>
      <c r="CR51" s="180"/>
      <c r="CS51" s="180"/>
      <c r="CT51" s="180"/>
      <c r="CU51" s="180"/>
      <c r="CV51" s="180"/>
      <c r="CW51" s="180"/>
      <c r="CX51" s="180"/>
      <c r="CY51" s="180"/>
      <c r="CZ51" s="180"/>
      <c r="DA51" s="180"/>
      <c r="DB51" s="180"/>
      <c r="DC51" s="180"/>
      <c r="DD51" s="180"/>
      <c r="DE51" s="180"/>
      <c r="DF51" s="180"/>
      <c r="DG51" s="180"/>
    </row>
    <row r="52" customFormat="false" ht="15" hidden="false" customHeight="false" outlineLevel="0" collapsed="false">
      <c r="A52" s="106" t="str">
        <f aca="false">IF(OR(B52="",C52=""),"",IFERROR(MATCH(B52,'ตั้งค่า Setup'!$C$26:$C$65,0)&amp;"."&amp;COUNTIF(B$7:B52,B52),"?"))</f>
        <v/>
      </c>
      <c r="B52" s="35"/>
      <c r="C52" s="35"/>
      <c r="D52" s="25"/>
      <c r="E52" s="102"/>
      <c r="F52" s="104" t="n">
        <f aca="false">IF(C52="",0,IF(E52&lt;&gt;"",E52,IF(SUM($D$7:$D$66)&gt;0,N(D52)/SUM($D$7:$D$66),0)))</f>
        <v>0</v>
      </c>
      <c r="G52" s="175" t="str">
        <f aca="false">IF(C52="","",F52*'ตั้งค่า Setup'!$C$9)</f>
        <v/>
      </c>
      <c r="H52" s="27"/>
      <c r="I52" s="27"/>
      <c r="J52" s="106" t="str">
        <f aca="false">IF(OR(H52="",I52=""),"",I52-H52+1)</f>
        <v/>
      </c>
      <c r="K52" s="27"/>
      <c r="L52" s="27"/>
      <c r="M52" s="27"/>
      <c r="N52" s="27"/>
      <c r="O52" s="102"/>
      <c r="P52" s="104" t="str">
        <f aca="false">IF(OR(C52="",H52="",I52=""),"",MAX(0,MIN(1,('ตั้งค่า Setup'!$C$15-H52+1)/(I52-H52+1))))</f>
        <v/>
      </c>
      <c r="Q52" s="104" t="str">
        <f aca="false">IF(OR(C52="",Z52=0),"",MAX(0,MIN(1,('ตั้งค่า Setup'!$C$15-Z52+1)/(AA52-Z52+1))))</f>
        <v/>
      </c>
      <c r="R52" s="175" t="str">
        <f aca="false">IF(P52="","",G52*P52)</f>
        <v/>
      </c>
      <c r="S52" s="175" t="str">
        <f aca="false">IF(C52="","",G52*N(O52))</f>
        <v/>
      </c>
      <c r="T52" s="175" t="str">
        <f aca="false">IF(OR(R52="",S52=""),"",S52-R52)</f>
        <v/>
      </c>
      <c r="U52" s="176" t="str">
        <f aca="false">IF(OR(R52="",S52=""),"",IF(R52=0,"",S52/R52))</f>
        <v/>
      </c>
      <c r="V52" s="115" t="str">
        <f aca="false">IF(OR(C52="",Z52=0),"",IF(N52&lt;&gt;"",N52,IF(AND(N(O52)&gt;0,M52&lt;&gt;""),M52+ROUND((MAX('ตั้งค่า Setup'!$C$15,M52)-M52+1)/O52,0)-1,MAX(AA52,'ตั้งค่า Setup'!$C$15+AA52-Z52))))</f>
        <v/>
      </c>
      <c r="W52" s="177" t="str">
        <f aca="false">IF(OR(V52="",I52=""),"",V52-I52)</f>
        <v/>
      </c>
      <c r="X52" s="106" t="str">
        <f aca="false">IF(OR(C52="",H52="",I52=""),"",IF(N52&lt;&gt;"",IF(N52&lt;=I52,"เสร็จ / Completed","เสร็จช้า / Completed Late"),IF(AND(M52="",'ตั้งค่า Setup'!$C$15&lt;Z52),"ยังไม่ถึงกำหนด / Not Due",IF(N(O52)&gt;=P52,"ตามแผน / On Track",IF('ตั้งค่า Setup'!$C$15&gt;I52,"เกินกำหนด / Overdue","ล่าช้า / Behind")))))</f>
        <v/>
      </c>
      <c r="Y52" s="35"/>
      <c r="Z52" s="178" t="n">
        <f aca="false">IF(C52="",0,IF(K52&lt;&gt;"",K52,N(H52)))</f>
        <v>0</v>
      </c>
      <c r="AA52" s="178" t="n">
        <f aca="false">IF(C52="",0,IF(L52&lt;&gt;"",L52,N(I52)))</f>
        <v>0</v>
      </c>
      <c r="AB52" s="179" t="str">
        <f aca="false">IF(AND(C52&lt;&gt;"",N52="",ISNUMBER(W52)),W52+(1000-ROW())/1000000,"")</f>
        <v/>
      </c>
      <c r="AC52" s="179" t="n">
        <f aca="false">IF(AND(C52&lt;&gt;"",N52="",Z52&gt;0,Z52&lt;='ตั้งค่า Setup'!$C$15+'ตั้งค่า Setup'!$C$20),1,0)</f>
        <v>0</v>
      </c>
      <c r="AD52" s="179" t="str">
        <f aca="false">IF(AC52=1,SUM(AC$7:AC52),"")</f>
        <v/>
      </c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180"/>
      <c r="BA52" s="180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80"/>
      <c r="BM52" s="180"/>
      <c r="BN52" s="180"/>
      <c r="BO52" s="180"/>
      <c r="BP52" s="180"/>
      <c r="BQ52" s="180"/>
      <c r="BR52" s="180"/>
      <c r="BS52" s="180"/>
      <c r="BT52" s="180"/>
      <c r="BU52" s="180"/>
      <c r="BV52" s="180"/>
      <c r="BW52" s="180"/>
      <c r="BX52" s="180"/>
      <c r="BY52" s="180"/>
      <c r="BZ52" s="180"/>
      <c r="CA52" s="180"/>
      <c r="CB52" s="180"/>
      <c r="CC52" s="180"/>
      <c r="CD52" s="180"/>
      <c r="CE52" s="180"/>
      <c r="CF52" s="180"/>
      <c r="CG52" s="180"/>
      <c r="CH52" s="180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80"/>
      <c r="CT52" s="180"/>
      <c r="CU52" s="180"/>
      <c r="CV52" s="180"/>
      <c r="CW52" s="180"/>
      <c r="CX52" s="180"/>
      <c r="CY52" s="180"/>
      <c r="CZ52" s="180"/>
      <c r="DA52" s="180"/>
      <c r="DB52" s="180"/>
      <c r="DC52" s="180"/>
      <c r="DD52" s="180"/>
      <c r="DE52" s="180"/>
      <c r="DF52" s="180"/>
      <c r="DG52" s="180"/>
    </row>
    <row r="53" customFormat="false" ht="15" hidden="false" customHeight="false" outlineLevel="0" collapsed="false">
      <c r="A53" s="106" t="str">
        <f aca="false">IF(OR(B53="",C53=""),"",IFERROR(MATCH(B53,'ตั้งค่า Setup'!$C$26:$C$65,0)&amp;"."&amp;COUNTIF(B$7:B53,B53),"?"))</f>
        <v/>
      </c>
      <c r="B53" s="35"/>
      <c r="C53" s="35"/>
      <c r="D53" s="25"/>
      <c r="E53" s="102"/>
      <c r="F53" s="104" t="n">
        <f aca="false">IF(C53="",0,IF(E53&lt;&gt;"",E53,IF(SUM($D$7:$D$66)&gt;0,N(D53)/SUM($D$7:$D$66),0)))</f>
        <v>0</v>
      </c>
      <c r="G53" s="175" t="str">
        <f aca="false">IF(C53="","",F53*'ตั้งค่า Setup'!$C$9)</f>
        <v/>
      </c>
      <c r="H53" s="27"/>
      <c r="I53" s="27"/>
      <c r="J53" s="106" t="str">
        <f aca="false">IF(OR(H53="",I53=""),"",I53-H53+1)</f>
        <v/>
      </c>
      <c r="K53" s="27"/>
      <c r="L53" s="27"/>
      <c r="M53" s="27"/>
      <c r="N53" s="27"/>
      <c r="O53" s="102"/>
      <c r="P53" s="104" t="str">
        <f aca="false">IF(OR(C53="",H53="",I53=""),"",MAX(0,MIN(1,('ตั้งค่า Setup'!$C$15-H53+1)/(I53-H53+1))))</f>
        <v/>
      </c>
      <c r="Q53" s="104" t="str">
        <f aca="false">IF(OR(C53="",Z53=0),"",MAX(0,MIN(1,('ตั้งค่า Setup'!$C$15-Z53+1)/(AA53-Z53+1))))</f>
        <v/>
      </c>
      <c r="R53" s="175" t="str">
        <f aca="false">IF(P53="","",G53*P53)</f>
        <v/>
      </c>
      <c r="S53" s="175" t="str">
        <f aca="false">IF(C53="","",G53*N(O53))</f>
        <v/>
      </c>
      <c r="T53" s="175" t="str">
        <f aca="false">IF(OR(R53="",S53=""),"",S53-R53)</f>
        <v/>
      </c>
      <c r="U53" s="176" t="str">
        <f aca="false">IF(OR(R53="",S53=""),"",IF(R53=0,"",S53/R53))</f>
        <v/>
      </c>
      <c r="V53" s="115" t="str">
        <f aca="false">IF(OR(C53="",Z53=0),"",IF(N53&lt;&gt;"",N53,IF(AND(N(O53)&gt;0,M53&lt;&gt;""),M53+ROUND((MAX('ตั้งค่า Setup'!$C$15,M53)-M53+1)/O53,0)-1,MAX(AA53,'ตั้งค่า Setup'!$C$15+AA53-Z53))))</f>
        <v/>
      </c>
      <c r="W53" s="177" t="str">
        <f aca="false">IF(OR(V53="",I53=""),"",V53-I53)</f>
        <v/>
      </c>
      <c r="X53" s="106" t="str">
        <f aca="false">IF(OR(C53="",H53="",I53=""),"",IF(N53&lt;&gt;"",IF(N53&lt;=I53,"เสร็จ / Completed","เสร็จช้า / Completed Late"),IF(AND(M53="",'ตั้งค่า Setup'!$C$15&lt;Z53),"ยังไม่ถึงกำหนด / Not Due",IF(N(O53)&gt;=P53,"ตามแผน / On Track",IF('ตั้งค่า Setup'!$C$15&gt;I53,"เกินกำหนด / Overdue","ล่าช้า / Behind")))))</f>
        <v/>
      </c>
      <c r="Y53" s="35"/>
      <c r="Z53" s="178" t="n">
        <f aca="false">IF(C53="",0,IF(K53&lt;&gt;"",K53,N(H53)))</f>
        <v>0</v>
      </c>
      <c r="AA53" s="178" t="n">
        <f aca="false">IF(C53="",0,IF(L53&lt;&gt;"",L53,N(I53)))</f>
        <v>0</v>
      </c>
      <c r="AB53" s="179" t="str">
        <f aca="false">IF(AND(C53&lt;&gt;"",N53="",ISNUMBER(W53)),W53+(1000-ROW())/1000000,"")</f>
        <v/>
      </c>
      <c r="AC53" s="179" t="n">
        <f aca="false">IF(AND(C53&lt;&gt;"",N53="",Z53&gt;0,Z53&lt;='ตั้งค่า Setup'!$C$15+'ตั้งค่า Setup'!$C$20),1,0)</f>
        <v>0</v>
      </c>
      <c r="AD53" s="179" t="str">
        <f aca="false">IF(AC53=1,SUM(AC$7:AC53),"")</f>
        <v/>
      </c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80"/>
      <c r="AS53" s="180"/>
      <c r="AT53" s="180"/>
      <c r="AU53" s="180"/>
      <c r="AV53" s="180"/>
      <c r="AW53" s="180"/>
      <c r="AX53" s="180"/>
      <c r="AY53" s="180"/>
      <c r="AZ53" s="180"/>
      <c r="BA53" s="180"/>
      <c r="BB53" s="180"/>
      <c r="BC53" s="180"/>
      <c r="BD53" s="180"/>
      <c r="BE53" s="180"/>
      <c r="BF53" s="180"/>
      <c r="BG53" s="180"/>
      <c r="BH53" s="180"/>
      <c r="BI53" s="180"/>
      <c r="BJ53" s="180"/>
      <c r="BK53" s="180"/>
      <c r="BL53" s="180"/>
      <c r="BM53" s="180"/>
      <c r="BN53" s="180"/>
      <c r="BO53" s="180"/>
      <c r="BP53" s="180"/>
      <c r="BQ53" s="180"/>
      <c r="BR53" s="180"/>
      <c r="BS53" s="180"/>
      <c r="BT53" s="180"/>
      <c r="BU53" s="180"/>
      <c r="BV53" s="180"/>
      <c r="BW53" s="180"/>
      <c r="BX53" s="180"/>
      <c r="BY53" s="180"/>
      <c r="BZ53" s="180"/>
      <c r="CA53" s="180"/>
      <c r="CB53" s="180"/>
      <c r="CC53" s="180"/>
      <c r="CD53" s="180"/>
      <c r="CE53" s="180"/>
      <c r="CF53" s="180"/>
      <c r="CG53" s="180"/>
      <c r="CH53" s="180"/>
      <c r="CI53" s="180"/>
      <c r="CJ53" s="180"/>
      <c r="CK53" s="180"/>
      <c r="CL53" s="180"/>
      <c r="CM53" s="180"/>
      <c r="CN53" s="180"/>
      <c r="CO53" s="180"/>
      <c r="CP53" s="180"/>
      <c r="CQ53" s="180"/>
      <c r="CR53" s="180"/>
      <c r="CS53" s="180"/>
      <c r="CT53" s="180"/>
      <c r="CU53" s="180"/>
      <c r="CV53" s="180"/>
      <c r="CW53" s="180"/>
      <c r="CX53" s="180"/>
      <c r="CY53" s="180"/>
      <c r="CZ53" s="180"/>
      <c r="DA53" s="180"/>
      <c r="DB53" s="180"/>
      <c r="DC53" s="180"/>
      <c r="DD53" s="180"/>
      <c r="DE53" s="180"/>
      <c r="DF53" s="180"/>
      <c r="DG53" s="180"/>
    </row>
    <row r="54" customFormat="false" ht="15" hidden="false" customHeight="false" outlineLevel="0" collapsed="false">
      <c r="A54" s="106" t="str">
        <f aca="false">IF(OR(B54="",C54=""),"",IFERROR(MATCH(B54,'ตั้งค่า Setup'!$C$26:$C$65,0)&amp;"."&amp;COUNTIF(B$7:B54,B54),"?"))</f>
        <v/>
      </c>
      <c r="B54" s="35"/>
      <c r="C54" s="35"/>
      <c r="D54" s="25"/>
      <c r="E54" s="102"/>
      <c r="F54" s="104" t="n">
        <f aca="false">IF(C54="",0,IF(E54&lt;&gt;"",E54,IF(SUM($D$7:$D$66)&gt;0,N(D54)/SUM($D$7:$D$66),0)))</f>
        <v>0</v>
      </c>
      <c r="G54" s="175" t="str">
        <f aca="false">IF(C54="","",F54*'ตั้งค่า Setup'!$C$9)</f>
        <v/>
      </c>
      <c r="H54" s="27"/>
      <c r="I54" s="27"/>
      <c r="J54" s="106" t="str">
        <f aca="false">IF(OR(H54="",I54=""),"",I54-H54+1)</f>
        <v/>
      </c>
      <c r="K54" s="27"/>
      <c r="L54" s="27"/>
      <c r="M54" s="27"/>
      <c r="N54" s="27"/>
      <c r="O54" s="102"/>
      <c r="P54" s="104" t="str">
        <f aca="false">IF(OR(C54="",H54="",I54=""),"",MAX(0,MIN(1,('ตั้งค่า Setup'!$C$15-H54+1)/(I54-H54+1))))</f>
        <v/>
      </c>
      <c r="Q54" s="104" t="str">
        <f aca="false">IF(OR(C54="",Z54=0),"",MAX(0,MIN(1,('ตั้งค่า Setup'!$C$15-Z54+1)/(AA54-Z54+1))))</f>
        <v/>
      </c>
      <c r="R54" s="175" t="str">
        <f aca="false">IF(P54="","",G54*P54)</f>
        <v/>
      </c>
      <c r="S54" s="175" t="str">
        <f aca="false">IF(C54="","",G54*N(O54))</f>
        <v/>
      </c>
      <c r="T54" s="175" t="str">
        <f aca="false">IF(OR(R54="",S54=""),"",S54-R54)</f>
        <v/>
      </c>
      <c r="U54" s="176" t="str">
        <f aca="false">IF(OR(R54="",S54=""),"",IF(R54=0,"",S54/R54))</f>
        <v/>
      </c>
      <c r="V54" s="115" t="str">
        <f aca="false">IF(OR(C54="",Z54=0),"",IF(N54&lt;&gt;"",N54,IF(AND(N(O54)&gt;0,M54&lt;&gt;""),M54+ROUND((MAX('ตั้งค่า Setup'!$C$15,M54)-M54+1)/O54,0)-1,MAX(AA54,'ตั้งค่า Setup'!$C$15+AA54-Z54))))</f>
        <v/>
      </c>
      <c r="W54" s="177" t="str">
        <f aca="false">IF(OR(V54="",I54=""),"",V54-I54)</f>
        <v/>
      </c>
      <c r="X54" s="106" t="str">
        <f aca="false">IF(OR(C54="",H54="",I54=""),"",IF(N54&lt;&gt;"",IF(N54&lt;=I54,"เสร็จ / Completed","เสร็จช้า / Completed Late"),IF(AND(M54="",'ตั้งค่า Setup'!$C$15&lt;Z54),"ยังไม่ถึงกำหนด / Not Due",IF(N(O54)&gt;=P54,"ตามแผน / On Track",IF('ตั้งค่า Setup'!$C$15&gt;I54,"เกินกำหนด / Overdue","ล่าช้า / Behind")))))</f>
        <v/>
      </c>
      <c r="Y54" s="35"/>
      <c r="Z54" s="178" t="n">
        <f aca="false">IF(C54="",0,IF(K54&lt;&gt;"",K54,N(H54)))</f>
        <v>0</v>
      </c>
      <c r="AA54" s="178" t="n">
        <f aca="false">IF(C54="",0,IF(L54&lt;&gt;"",L54,N(I54)))</f>
        <v>0</v>
      </c>
      <c r="AB54" s="179" t="str">
        <f aca="false">IF(AND(C54&lt;&gt;"",N54="",ISNUMBER(W54)),W54+(1000-ROW())/1000000,"")</f>
        <v/>
      </c>
      <c r="AC54" s="179" t="n">
        <f aca="false">IF(AND(C54&lt;&gt;"",N54="",Z54&gt;0,Z54&lt;='ตั้งค่า Setup'!$C$15+'ตั้งค่า Setup'!$C$20),1,0)</f>
        <v>0</v>
      </c>
      <c r="AD54" s="179" t="str">
        <f aca="false">IF(AC54=1,SUM(AC$7:AC54),"")</f>
        <v/>
      </c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  <c r="AW54" s="180"/>
      <c r="AX54" s="180"/>
      <c r="AY54" s="180"/>
      <c r="AZ54" s="180"/>
      <c r="BA54" s="180"/>
      <c r="BB54" s="180"/>
      <c r="BC54" s="180"/>
      <c r="BD54" s="180"/>
      <c r="BE54" s="180"/>
      <c r="BF54" s="180"/>
      <c r="BG54" s="180"/>
      <c r="BH54" s="180"/>
      <c r="BI54" s="180"/>
      <c r="BJ54" s="180"/>
      <c r="BK54" s="180"/>
      <c r="BL54" s="180"/>
      <c r="BM54" s="180"/>
      <c r="BN54" s="180"/>
      <c r="BO54" s="180"/>
      <c r="BP54" s="180"/>
      <c r="BQ54" s="180"/>
      <c r="BR54" s="180"/>
      <c r="BS54" s="180"/>
      <c r="BT54" s="180"/>
      <c r="BU54" s="180"/>
      <c r="BV54" s="180"/>
      <c r="BW54" s="180"/>
      <c r="BX54" s="180"/>
      <c r="BY54" s="180"/>
      <c r="BZ54" s="180"/>
      <c r="CA54" s="180"/>
      <c r="CB54" s="180"/>
      <c r="CC54" s="180"/>
      <c r="CD54" s="180"/>
      <c r="CE54" s="180"/>
      <c r="CF54" s="180"/>
      <c r="CG54" s="180"/>
      <c r="CH54" s="180"/>
      <c r="CI54" s="180"/>
      <c r="CJ54" s="180"/>
      <c r="CK54" s="180"/>
      <c r="CL54" s="180"/>
      <c r="CM54" s="180"/>
      <c r="CN54" s="180"/>
      <c r="CO54" s="180"/>
      <c r="CP54" s="180"/>
      <c r="CQ54" s="180"/>
      <c r="CR54" s="180"/>
      <c r="CS54" s="180"/>
      <c r="CT54" s="180"/>
      <c r="CU54" s="180"/>
      <c r="CV54" s="180"/>
      <c r="CW54" s="180"/>
      <c r="CX54" s="180"/>
      <c r="CY54" s="180"/>
      <c r="CZ54" s="180"/>
      <c r="DA54" s="180"/>
      <c r="DB54" s="180"/>
      <c r="DC54" s="180"/>
      <c r="DD54" s="180"/>
      <c r="DE54" s="180"/>
      <c r="DF54" s="180"/>
      <c r="DG54" s="180"/>
    </row>
    <row r="55" customFormat="false" ht="15" hidden="false" customHeight="false" outlineLevel="0" collapsed="false">
      <c r="A55" s="106" t="str">
        <f aca="false">IF(OR(B55="",C55=""),"",IFERROR(MATCH(B55,'ตั้งค่า Setup'!$C$26:$C$65,0)&amp;"."&amp;COUNTIF(B$7:B55,B55),"?"))</f>
        <v/>
      </c>
      <c r="B55" s="35"/>
      <c r="C55" s="35"/>
      <c r="D55" s="25"/>
      <c r="E55" s="102"/>
      <c r="F55" s="104" t="n">
        <f aca="false">IF(C55="",0,IF(E55&lt;&gt;"",E55,IF(SUM($D$7:$D$66)&gt;0,N(D55)/SUM($D$7:$D$66),0)))</f>
        <v>0</v>
      </c>
      <c r="G55" s="175" t="str">
        <f aca="false">IF(C55="","",F55*'ตั้งค่า Setup'!$C$9)</f>
        <v/>
      </c>
      <c r="H55" s="27"/>
      <c r="I55" s="27"/>
      <c r="J55" s="106" t="str">
        <f aca="false">IF(OR(H55="",I55=""),"",I55-H55+1)</f>
        <v/>
      </c>
      <c r="K55" s="27"/>
      <c r="L55" s="27"/>
      <c r="M55" s="27"/>
      <c r="N55" s="27"/>
      <c r="O55" s="102"/>
      <c r="P55" s="104" t="str">
        <f aca="false">IF(OR(C55="",H55="",I55=""),"",MAX(0,MIN(1,('ตั้งค่า Setup'!$C$15-H55+1)/(I55-H55+1))))</f>
        <v/>
      </c>
      <c r="Q55" s="104" t="str">
        <f aca="false">IF(OR(C55="",Z55=0),"",MAX(0,MIN(1,('ตั้งค่า Setup'!$C$15-Z55+1)/(AA55-Z55+1))))</f>
        <v/>
      </c>
      <c r="R55" s="175" t="str">
        <f aca="false">IF(P55="","",G55*P55)</f>
        <v/>
      </c>
      <c r="S55" s="175" t="str">
        <f aca="false">IF(C55="","",G55*N(O55))</f>
        <v/>
      </c>
      <c r="T55" s="175" t="str">
        <f aca="false">IF(OR(R55="",S55=""),"",S55-R55)</f>
        <v/>
      </c>
      <c r="U55" s="176" t="str">
        <f aca="false">IF(OR(R55="",S55=""),"",IF(R55=0,"",S55/R55))</f>
        <v/>
      </c>
      <c r="V55" s="115" t="str">
        <f aca="false">IF(OR(C55="",Z55=0),"",IF(N55&lt;&gt;"",N55,IF(AND(N(O55)&gt;0,M55&lt;&gt;""),M55+ROUND((MAX('ตั้งค่า Setup'!$C$15,M55)-M55+1)/O55,0)-1,MAX(AA55,'ตั้งค่า Setup'!$C$15+AA55-Z55))))</f>
        <v/>
      </c>
      <c r="W55" s="177" t="str">
        <f aca="false">IF(OR(V55="",I55=""),"",V55-I55)</f>
        <v/>
      </c>
      <c r="X55" s="106" t="str">
        <f aca="false">IF(OR(C55="",H55="",I55=""),"",IF(N55&lt;&gt;"",IF(N55&lt;=I55,"เสร็จ / Completed","เสร็จช้า / Completed Late"),IF(AND(M55="",'ตั้งค่า Setup'!$C$15&lt;Z55),"ยังไม่ถึงกำหนด / Not Due",IF(N(O55)&gt;=P55,"ตามแผน / On Track",IF('ตั้งค่า Setup'!$C$15&gt;I55,"เกินกำหนด / Overdue","ล่าช้า / Behind")))))</f>
        <v/>
      </c>
      <c r="Y55" s="35"/>
      <c r="Z55" s="178" t="n">
        <f aca="false">IF(C55="",0,IF(K55&lt;&gt;"",K55,N(H55)))</f>
        <v>0</v>
      </c>
      <c r="AA55" s="178" t="n">
        <f aca="false">IF(C55="",0,IF(L55&lt;&gt;"",L55,N(I55)))</f>
        <v>0</v>
      </c>
      <c r="AB55" s="179" t="str">
        <f aca="false">IF(AND(C55&lt;&gt;"",N55="",ISNUMBER(W55)),W55+(1000-ROW())/1000000,"")</f>
        <v/>
      </c>
      <c r="AC55" s="179" t="n">
        <f aca="false">IF(AND(C55&lt;&gt;"",N55="",Z55&gt;0,Z55&lt;='ตั้งค่า Setup'!$C$15+'ตั้งค่า Setup'!$C$20),1,0)</f>
        <v>0</v>
      </c>
      <c r="AD55" s="179" t="str">
        <f aca="false">IF(AC55=1,SUM(AC$7:AC55),"")</f>
        <v/>
      </c>
      <c r="AF55" s="180"/>
      <c r="AG55" s="180"/>
      <c r="AH55" s="180"/>
      <c r="AI55" s="180"/>
      <c r="AJ55" s="180"/>
      <c r="AK55" s="180"/>
      <c r="AL55" s="180"/>
      <c r="AM55" s="180"/>
      <c r="AN55" s="180"/>
      <c r="AO55" s="180"/>
      <c r="AP55" s="180"/>
      <c r="AQ55" s="180"/>
      <c r="AR55" s="180"/>
      <c r="AS55" s="180"/>
      <c r="AT55" s="180"/>
      <c r="AU55" s="180"/>
      <c r="AV55" s="180"/>
      <c r="AW55" s="180"/>
      <c r="AX55" s="180"/>
      <c r="AY55" s="180"/>
      <c r="AZ55" s="180"/>
      <c r="BA55" s="180"/>
      <c r="BB55" s="180"/>
      <c r="BC55" s="180"/>
      <c r="BD55" s="180"/>
      <c r="BE55" s="180"/>
      <c r="BF55" s="180"/>
      <c r="BG55" s="180"/>
      <c r="BH55" s="180"/>
      <c r="BI55" s="180"/>
      <c r="BJ55" s="180"/>
      <c r="BK55" s="180"/>
      <c r="BL55" s="180"/>
      <c r="BM55" s="180"/>
      <c r="BN55" s="180"/>
      <c r="BO55" s="180"/>
      <c r="BP55" s="180"/>
      <c r="BQ55" s="180"/>
      <c r="BR55" s="180"/>
      <c r="BS55" s="180"/>
      <c r="BT55" s="180"/>
      <c r="BU55" s="180"/>
      <c r="BV55" s="180"/>
      <c r="BW55" s="180"/>
      <c r="BX55" s="180"/>
      <c r="BY55" s="180"/>
      <c r="BZ55" s="180"/>
      <c r="CA55" s="180"/>
      <c r="CB55" s="180"/>
      <c r="CC55" s="180"/>
      <c r="CD55" s="180"/>
      <c r="CE55" s="180"/>
      <c r="CF55" s="180"/>
      <c r="CG55" s="180"/>
      <c r="CH55" s="180"/>
      <c r="CI55" s="180"/>
      <c r="CJ55" s="180"/>
      <c r="CK55" s="180"/>
      <c r="CL55" s="180"/>
      <c r="CM55" s="180"/>
      <c r="CN55" s="180"/>
      <c r="CO55" s="180"/>
      <c r="CP55" s="180"/>
      <c r="CQ55" s="180"/>
      <c r="CR55" s="180"/>
      <c r="CS55" s="180"/>
      <c r="CT55" s="180"/>
      <c r="CU55" s="180"/>
      <c r="CV55" s="180"/>
      <c r="CW55" s="180"/>
      <c r="CX55" s="180"/>
      <c r="CY55" s="180"/>
      <c r="CZ55" s="180"/>
      <c r="DA55" s="180"/>
      <c r="DB55" s="180"/>
      <c r="DC55" s="180"/>
      <c r="DD55" s="180"/>
      <c r="DE55" s="180"/>
      <c r="DF55" s="180"/>
      <c r="DG55" s="180"/>
    </row>
    <row r="56" customFormat="false" ht="15" hidden="false" customHeight="false" outlineLevel="0" collapsed="false">
      <c r="A56" s="106" t="str">
        <f aca="false">IF(OR(B56="",C56=""),"",IFERROR(MATCH(B56,'ตั้งค่า Setup'!$C$26:$C$65,0)&amp;"."&amp;COUNTIF(B$7:B56,B56),"?"))</f>
        <v/>
      </c>
      <c r="B56" s="35"/>
      <c r="C56" s="35"/>
      <c r="D56" s="25"/>
      <c r="E56" s="102"/>
      <c r="F56" s="104" t="n">
        <f aca="false">IF(C56="",0,IF(E56&lt;&gt;"",E56,IF(SUM($D$7:$D$66)&gt;0,N(D56)/SUM($D$7:$D$66),0)))</f>
        <v>0</v>
      </c>
      <c r="G56" s="175" t="str">
        <f aca="false">IF(C56="","",F56*'ตั้งค่า Setup'!$C$9)</f>
        <v/>
      </c>
      <c r="H56" s="27"/>
      <c r="I56" s="27"/>
      <c r="J56" s="106" t="str">
        <f aca="false">IF(OR(H56="",I56=""),"",I56-H56+1)</f>
        <v/>
      </c>
      <c r="K56" s="27"/>
      <c r="L56" s="27"/>
      <c r="M56" s="27"/>
      <c r="N56" s="27"/>
      <c r="O56" s="102"/>
      <c r="P56" s="104" t="str">
        <f aca="false">IF(OR(C56="",H56="",I56=""),"",MAX(0,MIN(1,('ตั้งค่า Setup'!$C$15-H56+1)/(I56-H56+1))))</f>
        <v/>
      </c>
      <c r="Q56" s="104" t="str">
        <f aca="false">IF(OR(C56="",Z56=0),"",MAX(0,MIN(1,('ตั้งค่า Setup'!$C$15-Z56+1)/(AA56-Z56+1))))</f>
        <v/>
      </c>
      <c r="R56" s="175" t="str">
        <f aca="false">IF(P56="","",G56*P56)</f>
        <v/>
      </c>
      <c r="S56" s="175" t="str">
        <f aca="false">IF(C56="","",G56*N(O56))</f>
        <v/>
      </c>
      <c r="T56" s="175" t="str">
        <f aca="false">IF(OR(R56="",S56=""),"",S56-R56)</f>
        <v/>
      </c>
      <c r="U56" s="176" t="str">
        <f aca="false">IF(OR(R56="",S56=""),"",IF(R56=0,"",S56/R56))</f>
        <v/>
      </c>
      <c r="V56" s="115" t="str">
        <f aca="false">IF(OR(C56="",Z56=0),"",IF(N56&lt;&gt;"",N56,IF(AND(N(O56)&gt;0,M56&lt;&gt;""),M56+ROUND((MAX('ตั้งค่า Setup'!$C$15,M56)-M56+1)/O56,0)-1,MAX(AA56,'ตั้งค่า Setup'!$C$15+AA56-Z56))))</f>
        <v/>
      </c>
      <c r="W56" s="177" t="str">
        <f aca="false">IF(OR(V56="",I56=""),"",V56-I56)</f>
        <v/>
      </c>
      <c r="X56" s="106" t="str">
        <f aca="false">IF(OR(C56="",H56="",I56=""),"",IF(N56&lt;&gt;"",IF(N56&lt;=I56,"เสร็จ / Completed","เสร็จช้า / Completed Late"),IF(AND(M56="",'ตั้งค่า Setup'!$C$15&lt;Z56),"ยังไม่ถึงกำหนด / Not Due",IF(N(O56)&gt;=P56,"ตามแผน / On Track",IF('ตั้งค่า Setup'!$C$15&gt;I56,"เกินกำหนด / Overdue","ล่าช้า / Behind")))))</f>
        <v/>
      </c>
      <c r="Y56" s="35"/>
      <c r="Z56" s="178" t="n">
        <f aca="false">IF(C56="",0,IF(K56&lt;&gt;"",K56,N(H56)))</f>
        <v>0</v>
      </c>
      <c r="AA56" s="178" t="n">
        <f aca="false">IF(C56="",0,IF(L56&lt;&gt;"",L56,N(I56)))</f>
        <v>0</v>
      </c>
      <c r="AB56" s="179" t="str">
        <f aca="false">IF(AND(C56&lt;&gt;"",N56="",ISNUMBER(W56)),W56+(1000-ROW())/1000000,"")</f>
        <v/>
      </c>
      <c r="AC56" s="179" t="n">
        <f aca="false">IF(AND(C56&lt;&gt;"",N56="",Z56&gt;0,Z56&lt;='ตั้งค่า Setup'!$C$15+'ตั้งค่า Setup'!$C$20),1,0)</f>
        <v>0</v>
      </c>
      <c r="AD56" s="179" t="str">
        <f aca="false">IF(AC56=1,SUM(AC$7:AC56),"")</f>
        <v/>
      </c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/>
      <c r="AX56" s="180"/>
      <c r="AY56" s="180"/>
      <c r="AZ56" s="180"/>
      <c r="BA56" s="180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80"/>
      <c r="BM56" s="180"/>
      <c r="BN56" s="180"/>
      <c r="BO56" s="180"/>
      <c r="BP56" s="180"/>
      <c r="BQ56" s="180"/>
      <c r="BR56" s="180"/>
      <c r="BS56" s="180"/>
      <c r="BT56" s="180"/>
      <c r="BU56" s="180"/>
      <c r="BV56" s="180"/>
      <c r="BW56" s="180"/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80"/>
      <c r="CT56" s="180"/>
      <c r="CU56" s="180"/>
      <c r="CV56" s="180"/>
      <c r="CW56" s="180"/>
      <c r="CX56" s="180"/>
      <c r="CY56" s="180"/>
      <c r="CZ56" s="180"/>
      <c r="DA56" s="180"/>
      <c r="DB56" s="180"/>
      <c r="DC56" s="180"/>
      <c r="DD56" s="180"/>
      <c r="DE56" s="180"/>
      <c r="DF56" s="180"/>
      <c r="DG56" s="180"/>
    </row>
    <row r="57" customFormat="false" ht="15" hidden="false" customHeight="false" outlineLevel="0" collapsed="false">
      <c r="A57" s="106" t="str">
        <f aca="false">IF(OR(B57="",C57=""),"",IFERROR(MATCH(B57,'ตั้งค่า Setup'!$C$26:$C$65,0)&amp;"."&amp;COUNTIF(B$7:B57,B57),"?"))</f>
        <v/>
      </c>
      <c r="B57" s="35"/>
      <c r="C57" s="35"/>
      <c r="D57" s="25"/>
      <c r="E57" s="102"/>
      <c r="F57" s="104" t="n">
        <f aca="false">IF(C57="",0,IF(E57&lt;&gt;"",E57,IF(SUM($D$7:$D$66)&gt;0,N(D57)/SUM($D$7:$D$66),0)))</f>
        <v>0</v>
      </c>
      <c r="G57" s="175" t="str">
        <f aca="false">IF(C57="","",F57*'ตั้งค่า Setup'!$C$9)</f>
        <v/>
      </c>
      <c r="H57" s="27"/>
      <c r="I57" s="27"/>
      <c r="J57" s="106" t="str">
        <f aca="false">IF(OR(H57="",I57=""),"",I57-H57+1)</f>
        <v/>
      </c>
      <c r="K57" s="27"/>
      <c r="L57" s="27"/>
      <c r="M57" s="27"/>
      <c r="N57" s="27"/>
      <c r="O57" s="102"/>
      <c r="P57" s="104" t="str">
        <f aca="false">IF(OR(C57="",H57="",I57=""),"",MAX(0,MIN(1,('ตั้งค่า Setup'!$C$15-H57+1)/(I57-H57+1))))</f>
        <v/>
      </c>
      <c r="Q57" s="104" t="str">
        <f aca="false">IF(OR(C57="",Z57=0),"",MAX(0,MIN(1,('ตั้งค่า Setup'!$C$15-Z57+1)/(AA57-Z57+1))))</f>
        <v/>
      </c>
      <c r="R57" s="175" t="str">
        <f aca="false">IF(P57="","",G57*P57)</f>
        <v/>
      </c>
      <c r="S57" s="175" t="str">
        <f aca="false">IF(C57="","",G57*N(O57))</f>
        <v/>
      </c>
      <c r="T57" s="175" t="str">
        <f aca="false">IF(OR(R57="",S57=""),"",S57-R57)</f>
        <v/>
      </c>
      <c r="U57" s="176" t="str">
        <f aca="false">IF(OR(R57="",S57=""),"",IF(R57=0,"",S57/R57))</f>
        <v/>
      </c>
      <c r="V57" s="115" t="str">
        <f aca="false">IF(OR(C57="",Z57=0),"",IF(N57&lt;&gt;"",N57,IF(AND(N(O57)&gt;0,M57&lt;&gt;""),M57+ROUND((MAX('ตั้งค่า Setup'!$C$15,M57)-M57+1)/O57,0)-1,MAX(AA57,'ตั้งค่า Setup'!$C$15+AA57-Z57))))</f>
        <v/>
      </c>
      <c r="W57" s="177" t="str">
        <f aca="false">IF(OR(V57="",I57=""),"",V57-I57)</f>
        <v/>
      </c>
      <c r="X57" s="106" t="str">
        <f aca="false">IF(OR(C57="",H57="",I57=""),"",IF(N57&lt;&gt;"",IF(N57&lt;=I57,"เสร็จ / Completed","เสร็จช้า / Completed Late"),IF(AND(M57="",'ตั้งค่า Setup'!$C$15&lt;Z57),"ยังไม่ถึงกำหนด / Not Due",IF(N(O57)&gt;=P57,"ตามแผน / On Track",IF('ตั้งค่า Setup'!$C$15&gt;I57,"เกินกำหนด / Overdue","ล่าช้า / Behind")))))</f>
        <v/>
      </c>
      <c r="Y57" s="35"/>
      <c r="Z57" s="178" t="n">
        <f aca="false">IF(C57="",0,IF(K57&lt;&gt;"",K57,N(H57)))</f>
        <v>0</v>
      </c>
      <c r="AA57" s="178" t="n">
        <f aca="false">IF(C57="",0,IF(L57&lt;&gt;"",L57,N(I57)))</f>
        <v>0</v>
      </c>
      <c r="AB57" s="179" t="str">
        <f aca="false">IF(AND(C57&lt;&gt;"",N57="",ISNUMBER(W57)),W57+(1000-ROW())/1000000,"")</f>
        <v/>
      </c>
      <c r="AC57" s="179" t="n">
        <f aca="false">IF(AND(C57&lt;&gt;"",N57="",Z57&gt;0,Z57&lt;='ตั้งค่า Setup'!$C$15+'ตั้งค่า Setup'!$C$20),1,0)</f>
        <v>0</v>
      </c>
      <c r="AD57" s="179" t="str">
        <f aca="false">IF(AC57=1,SUM(AC$7:AC57),"")</f>
        <v/>
      </c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0"/>
      <c r="AV57" s="180"/>
      <c r="AW57" s="180"/>
      <c r="AX57" s="180"/>
      <c r="AY57" s="180"/>
      <c r="AZ57" s="180"/>
      <c r="BA57" s="180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80"/>
      <c r="BM57" s="180"/>
      <c r="BN57" s="180"/>
      <c r="BO57" s="180"/>
      <c r="BP57" s="180"/>
      <c r="BQ57" s="180"/>
      <c r="BR57" s="180"/>
      <c r="BS57" s="180"/>
      <c r="BT57" s="180"/>
      <c r="BU57" s="180"/>
      <c r="BV57" s="180"/>
      <c r="BW57" s="180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80"/>
      <c r="CT57" s="180"/>
      <c r="CU57" s="180"/>
      <c r="CV57" s="180"/>
      <c r="CW57" s="180"/>
      <c r="CX57" s="180"/>
      <c r="CY57" s="180"/>
      <c r="CZ57" s="180"/>
      <c r="DA57" s="180"/>
      <c r="DB57" s="180"/>
      <c r="DC57" s="180"/>
      <c r="DD57" s="180"/>
      <c r="DE57" s="180"/>
      <c r="DF57" s="180"/>
      <c r="DG57" s="180"/>
    </row>
    <row r="58" customFormat="false" ht="15" hidden="false" customHeight="false" outlineLevel="0" collapsed="false">
      <c r="A58" s="106" t="str">
        <f aca="false">IF(OR(B58="",C58=""),"",IFERROR(MATCH(B58,'ตั้งค่า Setup'!$C$26:$C$65,0)&amp;"."&amp;COUNTIF(B$7:B58,B58),"?"))</f>
        <v/>
      </c>
      <c r="B58" s="35"/>
      <c r="C58" s="35"/>
      <c r="D58" s="25"/>
      <c r="E58" s="102"/>
      <c r="F58" s="104" t="n">
        <f aca="false">IF(C58="",0,IF(E58&lt;&gt;"",E58,IF(SUM($D$7:$D$66)&gt;0,N(D58)/SUM($D$7:$D$66),0)))</f>
        <v>0</v>
      </c>
      <c r="G58" s="175" t="str">
        <f aca="false">IF(C58="","",F58*'ตั้งค่า Setup'!$C$9)</f>
        <v/>
      </c>
      <c r="H58" s="27"/>
      <c r="I58" s="27"/>
      <c r="J58" s="106" t="str">
        <f aca="false">IF(OR(H58="",I58=""),"",I58-H58+1)</f>
        <v/>
      </c>
      <c r="K58" s="27"/>
      <c r="L58" s="27"/>
      <c r="M58" s="27"/>
      <c r="N58" s="27"/>
      <c r="O58" s="102"/>
      <c r="P58" s="104" t="str">
        <f aca="false">IF(OR(C58="",H58="",I58=""),"",MAX(0,MIN(1,('ตั้งค่า Setup'!$C$15-H58+1)/(I58-H58+1))))</f>
        <v/>
      </c>
      <c r="Q58" s="104" t="str">
        <f aca="false">IF(OR(C58="",Z58=0),"",MAX(0,MIN(1,('ตั้งค่า Setup'!$C$15-Z58+1)/(AA58-Z58+1))))</f>
        <v/>
      </c>
      <c r="R58" s="175" t="str">
        <f aca="false">IF(P58="","",G58*P58)</f>
        <v/>
      </c>
      <c r="S58" s="175" t="str">
        <f aca="false">IF(C58="","",G58*N(O58))</f>
        <v/>
      </c>
      <c r="T58" s="175" t="str">
        <f aca="false">IF(OR(R58="",S58=""),"",S58-R58)</f>
        <v/>
      </c>
      <c r="U58" s="176" t="str">
        <f aca="false">IF(OR(R58="",S58=""),"",IF(R58=0,"",S58/R58))</f>
        <v/>
      </c>
      <c r="V58" s="115" t="str">
        <f aca="false">IF(OR(C58="",Z58=0),"",IF(N58&lt;&gt;"",N58,IF(AND(N(O58)&gt;0,M58&lt;&gt;""),M58+ROUND((MAX('ตั้งค่า Setup'!$C$15,M58)-M58+1)/O58,0)-1,MAX(AA58,'ตั้งค่า Setup'!$C$15+AA58-Z58))))</f>
        <v/>
      </c>
      <c r="W58" s="177" t="str">
        <f aca="false">IF(OR(V58="",I58=""),"",V58-I58)</f>
        <v/>
      </c>
      <c r="X58" s="106" t="str">
        <f aca="false">IF(OR(C58="",H58="",I58=""),"",IF(N58&lt;&gt;"",IF(N58&lt;=I58,"เสร็จ / Completed","เสร็จช้า / Completed Late"),IF(AND(M58="",'ตั้งค่า Setup'!$C$15&lt;Z58),"ยังไม่ถึงกำหนด / Not Due",IF(N(O58)&gt;=P58,"ตามแผน / On Track",IF('ตั้งค่า Setup'!$C$15&gt;I58,"เกินกำหนด / Overdue","ล่าช้า / Behind")))))</f>
        <v/>
      </c>
      <c r="Y58" s="35"/>
      <c r="Z58" s="178" t="n">
        <f aca="false">IF(C58="",0,IF(K58&lt;&gt;"",K58,N(H58)))</f>
        <v>0</v>
      </c>
      <c r="AA58" s="178" t="n">
        <f aca="false">IF(C58="",0,IF(L58&lt;&gt;"",L58,N(I58)))</f>
        <v>0</v>
      </c>
      <c r="AB58" s="179" t="str">
        <f aca="false">IF(AND(C58&lt;&gt;"",N58="",ISNUMBER(W58)),W58+(1000-ROW())/1000000,"")</f>
        <v/>
      </c>
      <c r="AC58" s="179" t="n">
        <f aca="false">IF(AND(C58&lt;&gt;"",N58="",Z58&gt;0,Z58&lt;='ตั้งค่า Setup'!$C$15+'ตั้งค่า Setup'!$C$20),1,0)</f>
        <v>0</v>
      </c>
      <c r="AD58" s="179" t="str">
        <f aca="false">IF(AC58=1,SUM(AC$7:AC58),"")</f>
        <v/>
      </c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  <c r="AT58" s="180"/>
      <c r="AU58" s="180"/>
      <c r="AV58" s="180"/>
      <c r="AW58" s="180"/>
      <c r="AX58" s="180"/>
      <c r="AY58" s="180"/>
      <c r="AZ58" s="180"/>
      <c r="BA58" s="180"/>
      <c r="BB58" s="180"/>
      <c r="BC58" s="180"/>
      <c r="BD58" s="180"/>
      <c r="BE58" s="180"/>
      <c r="BF58" s="180"/>
      <c r="BG58" s="180"/>
      <c r="BH58" s="180"/>
      <c r="BI58" s="180"/>
      <c r="BJ58" s="180"/>
      <c r="BK58" s="180"/>
      <c r="BL58" s="180"/>
      <c r="BM58" s="180"/>
      <c r="BN58" s="180"/>
      <c r="BO58" s="180"/>
      <c r="BP58" s="180"/>
      <c r="BQ58" s="180"/>
      <c r="BR58" s="180"/>
      <c r="BS58" s="180"/>
      <c r="BT58" s="180"/>
      <c r="BU58" s="180"/>
      <c r="BV58" s="180"/>
      <c r="BW58" s="180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80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80"/>
      <c r="CT58" s="180"/>
      <c r="CU58" s="180"/>
      <c r="CV58" s="180"/>
      <c r="CW58" s="180"/>
      <c r="CX58" s="180"/>
      <c r="CY58" s="180"/>
      <c r="CZ58" s="180"/>
      <c r="DA58" s="180"/>
      <c r="DB58" s="180"/>
      <c r="DC58" s="180"/>
      <c r="DD58" s="180"/>
      <c r="DE58" s="180"/>
      <c r="DF58" s="180"/>
      <c r="DG58" s="180"/>
    </row>
    <row r="59" customFormat="false" ht="15" hidden="false" customHeight="false" outlineLevel="0" collapsed="false">
      <c r="A59" s="106" t="str">
        <f aca="false">IF(OR(B59="",C59=""),"",IFERROR(MATCH(B59,'ตั้งค่า Setup'!$C$26:$C$65,0)&amp;"."&amp;COUNTIF(B$7:B59,B59),"?"))</f>
        <v/>
      </c>
      <c r="B59" s="35"/>
      <c r="C59" s="35"/>
      <c r="D59" s="25"/>
      <c r="E59" s="102"/>
      <c r="F59" s="104" t="n">
        <f aca="false">IF(C59="",0,IF(E59&lt;&gt;"",E59,IF(SUM($D$7:$D$66)&gt;0,N(D59)/SUM($D$7:$D$66),0)))</f>
        <v>0</v>
      </c>
      <c r="G59" s="175" t="str">
        <f aca="false">IF(C59="","",F59*'ตั้งค่า Setup'!$C$9)</f>
        <v/>
      </c>
      <c r="H59" s="27"/>
      <c r="I59" s="27"/>
      <c r="J59" s="106" t="str">
        <f aca="false">IF(OR(H59="",I59=""),"",I59-H59+1)</f>
        <v/>
      </c>
      <c r="K59" s="27"/>
      <c r="L59" s="27"/>
      <c r="M59" s="27"/>
      <c r="N59" s="27"/>
      <c r="O59" s="102"/>
      <c r="P59" s="104" t="str">
        <f aca="false">IF(OR(C59="",H59="",I59=""),"",MAX(0,MIN(1,('ตั้งค่า Setup'!$C$15-H59+1)/(I59-H59+1))))</f>
        <v/>
      </c>
      <c r="Q59" s="104" t="str">
        <f aca="false">IF(OR(C59="",Z59=0),"",MAX(0,MIN(1,('ตั้งค่า Setup'!$C$15-Z59+1)/(AA59-Z59+1))))</f>
        <v/>
      </c>
      <c r="R59" s="175" t="str">
        <f aca="false">IF(P59="","",G59*P59)</f>
        <v/>
      </c>
      <c r="S59" s="175" t="str">
        <f aca="false">IF(C59="","",G59*N(O59))</f>
        <v/>
      </c>
      <c r="T59" s="175" t="str">
        <f aca="false">IF(OR(R59="",S59=""),"",S59-R59)</f>
        <v/>
      </c>
      <c r="U59" s="176" t="str">
        <f aca="false">IF(OR(R59="",S59=""),"",IF(R59=0,"",S59/R59))</f>
        <v/>
      </c>
      <c r="V59" s="115" t="str">
        <f aca="false">IF(OR(C59="",Z59=0),"",IF(N59&lt;&gt;"",N59,IF(AND(N(O59)&gt;0,M59&lt;&gt;""),M59+ROUND((MAX('ตั้งค่า Setup'!$C$15,M59)-M59+1)/O59,0)-1,MAX(AA59,'ตั้งค่า Setup'!$C$15+AA59-Z59))))</f>
        <v/>
      </c>
      <c r="W59" s="177" t="str">
        <f aca="false">IF(OR(V59="",I59=""),"",V59-I59)</f>
        <v/>
      </c>
      <c r="X59" s="106" t="str">
        <f aca="false">IF(OR(C59="",H59="",I59=""),"",IF(N59&lt;&gt;"",IF(N59&lt;=I59,"เสร็จ / Completed","เสร็จช้า / Completed Late"),IF(AND(M59="",'ตั้งค่า Setup'!$C$15&lt;Z59),"ยังไม่ถึงกำหนด / Not Due",IF(N(O59)&gt;=P59,"ตามแผน / On Track",IF('ตั้งค่า Setup'!$C$15&gt;I59,"เกินกำหนด / Overdue","ล่าช้า / Behind")))))</f>
        <v/>
      </c>
      <c r="Y59" s="35"/>
      <c r="Z59" s="178" t="n">
        <f aca="false">IF(C59="",0,IF(K59&lt;&gt;"",K59,N(H59)))</f>
        <v>0</v>
      </c>
      <c r="AA59" s="178" t="n">
        <f aca="false">IF(C59="",0,IF(L59&lt;&gt;"",L59,N(I59)))</f>
        <v>0</v>
      </c>
      <c r="AB59" s="179" t="str">
        <f aca="false">IF(AND(C59&lt;&gt;"",N59="",ISNUMBER(W59)),W59+(1000-ROW())/1000000,"")</f>
        <v/>
      </c>
      <c r="AC59" s="179" t="n">
        <f aca="false">IF(AND(C59&lt;&gt;"",N59="",Z59&gt;0,Z59&lt;='ตั้งค่า Setup'!$C$15+'ตั้งค่า Setup'!$C$20),1,0)</f>
        <v>0</v>
      </c>
      <c r="AD59" s="179" t="str">
        <f aca="false">IF(AC59=1,SUM(AC$7:AC59),"")</f>
        <v/>
      </c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  <c r="AT59" s="180"/>
      <c r="AU59" s="180"/>
      <c r="AV59" s="180"/>
      <c r="AW59" s="180"/>
      <c r="AX59" s="180"/>
      <c r="AY59" s="180"/>
      <c r="AZ59" s="180"/>
      <c r="BA59" s="180"/>
      <c r="BB59" s="180"/>
      <c r="BC59" s="180"/>
      <c r="BD59" s="180"/>
      <c r="BE59" s="180"/>
      <c r="BF59" s="180"/>
      <c r="BG59" s="180"/>
      <c r="BH59" s="180"/>
      <c r="BI59" s="180"/>
      <c r="BJ59" s="180"/>
      <c r="BK59" s="180"/>
      <c r="BL59" s="180"/>
      <c r="BM59" s="180"/>
      <c r="BN59" s="180"/>
      <c r="BO59" s="180"/>
      <c r="BP59" s="180"/>
      <c r="BQ59" s="180"/>
      <c r="BR59" s="180"/>
      <c r="BS59" s="180"/>
      <c r="BT59" s="180"/>
      <c r="BU59" s="180"/>
      <c r="BV59" s="180"/>
      <c r="BW59" s="180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80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80"/>
      <c r="CT59" s="180"/>
      <c r="CU59" s="180"/>
      <c r="CV59" s="180"/>
      <c r="CW59" s="180"/>
      <c r="CX59" s="180"/>
      <c r="CY59" s="180"/>
      <c r="CZ59" s="180"/>
      <c r="DA59" s="180"/>
      <c r="DB59" s="180"/>
      <c r="DC59" s="180"/>
      <c r="DD59" s="180"/>
      <c r="DE59" s="180"/>
      <c r="DF59" s="180"/>
      <c r="DG59" s="180"/>
    </row>
    <row r="60" customFormat="false" ht="15" hidden="false" customHeight="false" outlineLevel="0" collapsed="false">
      <c r="A60" s="106" t="str">
        <f aca="false">IF(OR(B60="",C60=""),"",IFERROR(MATCH(B60,'ตั้งค่า Setup'!$C$26:$C$65,0)&amp;"."&amp;COUNTIF(B$7:B60,B60),"?"))</f>
        <v/>
      </c>
      <c r="B60" s="35"/>
      <c r="C60" s="35"/>
      <c r="D60" s="25"/>
      <c r="E60" s="102"/>
      <c r="F60" s="104" t="n">
        <f aca="false">IF(C60="",0,IF(E60&lt;&gt;"",E60,IF(SUM($D$7:$D$66)&gt;0,N(D60)/SUM($D$7:$D$66),0)))</f>
        <v>0</v>
      </c>
      <c r="G60" s="175" t="str">
        <f aca="false">IF(C60="","",F60*'ตั้งค่า Setup'!$C$9)</f>
        <v/>
      </c>
      <c r="H60" s="27"/>
      <c r="I60" s="27"/>
      <c r="J60" s="106" t="str">
        <f aca="false">IF(OR(H60="",I60=""),"",I60-H60+1)</f>
        <v/>
      </c>
      <c r="K60" s="27"/>
      <c r="L60" s="27"/>
      <c r="M60" s="27"/>
      <c r="N60" s="27"/>
      <c r="O60" s="102"/>
      <c r="P60" s="104" t="str">
        <f aca="false">IF(OR(C60="",H60="",I60=""),"",MAX(0,MIN(1,('ตั้งค่า Setup'!$C$15-H60+1)/(I60-H60+1))))</f>
        <v/>
      </c>
      <c r="Q60" s="104" t="str">
        <f aca="false">IF(OR(C60="",Z60=0),"",MAX(0,MIN(1,('ตั้งค่า Setup'!$C$15-Z60+1)/(AA60-Z60+1))))</f>
        <v/>
      </c>
      <c r="R60" s="175" t="str">
        <f aca="false">IF(P60="","",G60*P60)</f>
        <v/>
      </c>
      <c r="S60" s="175" t="str">
        <f aca="false">IF(C60="","",G60*N(O60))</f>
        <v/>
      </c>
      <c r="T60" s="175" t="str">
        <f aca="false">IF(OR(R60="",S60=""),"",S60-R60)</f>
        <v/>
      </c>
      <c r="U60" s="176" t="str">
        <f aca="false">IF(OR(R60="",S60=""),"",IF(R60=0,"",S60/R60))</f>
        <v/>
      </c>
      <c r="V60" s="115" t="str">
        <f aca="false">IF(OR(C60="",Z60=0),"",IF(N60&lt;&gt;"",N60,IF(AND(N(O60)&gt;0,M60&lt;&gt;""),M60+ROUND((MAX('ตั้งค่า Setup'!$C$15,M60)-M60+1)/O60,0)-1,MAX(AA60,'ตั้งค่า Setup'!$C$15+AA60-Z60))))</f>
        <v/>
      </c>
      <c r="W60" s="177" t="str">
        <f aca="false">IF(OR(V60="",I60=""),"",V60-I60)</f>
        <v/>
      </c>
      <c r="X60" s="106" t="str">
        <f aca="false">IF(OR(C60="",H60="",I60=""),"",IF(N60&lt;&gt;"",IF(N60&lt;=I60,"เสร็จ / Completed","เสร็จช้า / Completed Late"),IF(AND(M60="",'ตั้งค่า Setup'!$C$15&lt;Z60),"ยังไม่ถึงกำหนด / Not Due",IF(N(O60)&gt;=P60,"ตามแผน / On Track",IF('ตั้งค่า Setup'!$C$15&gt;I60,"เกินกำหนด / Overdue","ล่าช้า / Behind")))))</f>
        <v/>
      </c>
      <c r="Y60" s="35"/>
      <c r="Z60" s="178" t="n">
        <f aca="false">IF(C60="",0,IF(K60&lt;&gt;"",K60,N(H60)))</f>
        <v>0</v>
      </c>
      <c r="AA60" s="178" t="n">
        <f aca="false">IF(C60="",0,IF(L60&lt;&gt;"",L60,N(I60)))</f>
        <v>0</v>
      </c>
      <c r="AB60" s="179" t="str">
        <f aca="false">IF(AND(C60&lt;&gt;"",N60="",ISNUMBER(W60)),W60+(1000-ROW())/1000000,"")</f>
        <v/>
      </c>
      <c r="AC60" s="179" t="n">
        <f aca="false">IF(AND(C60&lt;&gt;"",N60="",Z60&gt;0,Z60&lt;='ตั้งค่า Setup'!$C$15+'ตั้งค่า Setup'!$C$20),1,0)</f>
        <v>0</v>
      </c>
      <c r="AD60" s="179" t="str">
        <f aca="false">IF(AC60=1,SUM(AC$7:AC60),"")</f>
        <v/>
      </c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0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80"/>
      <c r="BM60" s="180"/>
      <c r="BN60" s="180"/>
      <c r="BO60" s="180"/>
      <c r="BP60" s="180"/>
      <c r="BQ60" s="180"/>
      <c r="BR60" s="180"/>
      <c r="BS60" s="180"/>
      <c r="BT60" s="180"/>
      <c r="BU60" s="180"/>
      <c r="BV60" s="180"/>
      <c r="BW60" s="180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80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80"/>
      <c r="CT60" s="180"/>
      <c r="CU60" s="180"/>
      <c r="CV60" s="180"/>
      <c r="CW60" s="180"/>
      <c r="CX60" s="180"/>
      <c r="CY60" s="180"/>
      <c r="CZ60" s="180"/>
      <c r="DA60" s="180"/>
      <c r="DB60" s="180"/>
      <c r="DC60" s="180"/>
      <c r="DD60" s="180"/>
      <c r="DE60" s="180"/>
      <c r="DF60" s="180"/>
      <c r="DG60" s="180"/>
    </row>
    <row r="61" customFormat="false" ht="15" hidden="false" customHeight="false" outlineLevel="0" collapsed="false">
      <c r="A61" s="106" t="str">
        <f aca="false">IF(OR(B61="",C61=""),"",IFERROR(MATCH(B61,'ตั้งค่า Setup'!$C$26:$C$65,0)&amp;"."&amp;COUNTIF(B$7:B61,B61),"?"))</f>
        <v/>
      </c>
      <c r="B61" s="35"/>
      <c r="C61" s="35"/>
      <c r="D61" s="25"/>
      <c r="E61" s="102"/>
      <c r="F61" s="104" t="n">
        <f aca="false">IF(C61="",0,IF(E61&lt;&gt;"",E61,IF(SUM($D$7:$D$66)&gt;0,N(D61)/SUM($D$7:$D$66),0)))</f>
        <v>0</v>
      </c>
      <c r="G61" s="175" t="str">
        <f aca="false">IF(C61="","",F61*'ตั้งค่า Setup'!$C$9)</f>
        <v/>
      </c>
      <c r="H61" s="27"/>
      <c r="I61" s="27"/>
      <c r="J61" s="106" t="str">
        <f aca="false">IF(OR(H61="",I61=""),"",I61-H61+1)</f>
        <v/>
      </c>
      <c r="K61" s="27"/>
      <c r="L61" s="27"/>
      <c r="M61" s="27"/>
      <c r="N61" s="27"/>
      <c r="O61" s="102"/>
      <c r="P61" s="104" t="str">
        <f aca="false">IF(OR(C61="",H61="",I61=""),"",MAX(0,MIN(1,('ตั้งค่า Setup'!$C$15-H61+1)/(I61-H61+1))))</f>
        <v/>
      </c>
      <c r="Q61" s="104" t="str">
        <f aca="false">IF(OR(C61="",Z61=0),"",MAX(0,MIN(1,('ตั้งค่า Setup'!$C$15-Z61+1)/(AA61-Z61+1))))</f>
        <v/>
      </c>
      <c r="R61" s="175" t="str">
        <f aca="false">IF(P61="","",G61*P61)</f>
        <v/>
      </c>
      <c r="S61" s="175" t="str">
        <f aca="false">IF(C61="","",G61*N(O61))</f>
        <v/>
      </c>
      <c r="T61" s="175" t="str">
        <f aca="false">IF(OR(R61="",S61=""),"",S61-R61)</f>
        <v/>
      </c>
      <c r="U61" s="176" t="str">
        <f aca="false">IF(OR(R61="",S61=""),"",IF(R61=0,"",S61/R61))</f>
        <v/>
      </c>
      <c r="V61" s="115" t="str">
        <f aca="false">IF(OR(C61="",Z61=0),"",IF(N61&lt;&gt;"",N61,IF(AND(N(O61)&gt;0,M61&lt;&gt;""),M61+ROUND((MAX('ตั้งค่า Setup'!$C$15,M61)-M61+1)/O61,0)-1,MAX(AA61,'ตั้งค่า Setup'!$C$15+AA61-Z61))))</f>
        <v/>
      </c>
      <c r="W61" s="177" t="str">
        <f aca="false">IF(OR(V61="",I61=""),"",V61-I61)</f>
        <v/>
      </c>
      <c r="X61" s="106" t="str">
        <f aca="false">IF(OR(C61="",H61="",I61=""),"",IF(N61&lt;&gt;"",IF(N61&lt;=I61,"เสร็จ / Completed","เสร็จช้า / Completed Late"),IF(AND(M61="",'ตั้งค่า Setup'!$C$15&lt;Z61),"ยังไม่ถึงกำหนด / Not Due",IF(N(O61)&gt;=P61,"ตามแผน / On Track",IF('ตั้งค่า Setup'!$C$15&gt;I61,"เกินกำหนด / Overdue","ล่าช้า / Behind")))))</f>
        <v/>
      </c>
      <c r="Y61" s="35"/>
      <c r="Z61" s="178" t="n">
        <f aca="false">IF(C61="",0,IF(K61&lt;&gt;"",K61,N(H61)))</f>
        <v>0</v>
      </c>
      <c r="AA61" s="178" t="n">
        <f aca="false">IF(C61="",0,IF(L61&lt;&gt;"",L61,N(I61)))</f>
        <v>0</v>
      </c>
      <c r="AB61" s="179" t="str">
        <f aca="false">IF(AND(C61&lt;&gt;"",N61="",ISNUMBER(W61)),W61+(1000-ROW())/1000000,"")</f>
        <v/>
      </c>
      <c r="AC61" s="179" t="n">
        <f aca="false">IF(AND(C61&lt;&gt;"",N61="",Z61&gt;0,Z61&lt;='ตั้งค่า Setup'!$C$15+'ตั้งค่า Setup'!$C$20),1,0)</f>
        <v>0</v>
      </c>
      <c r="AD61" s="179" t="str">
        <f aca="false">IF(AC61=1,SUM(AC$7:AC61),"")</f>
        <v/>
      </c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  <c r="AT61" s="180"/>
      <c r="AU61" s="180"/>
      <c r="AV61" s="180"/>
      <c r="AW61" s="180"/>
      <c r="AX61" s="180"/>
      <c r="AY61" s="180"/>
      <c r="AZ61" s="180"/>
      <c r="BA61" s="180"/>
      <c r="BB61" s="180"/>
      <c r="BC61" s="180"/>
      <c r="BD61" s="180"/>
      <c r="BE61" s="180"/>
      <c r="BF61" s="180"/>
      <c r="BG61" s="180"/>
      <c r="BH61" s="180"/>
      <c r="BI61" s="180"/>
      <c r="BJ61" s="180"/>
      <c r="BK61" s="180"/>
      <c r="BL61" s="180"/>
      <c r="BM61" s="180"/>
      <c r="BN61" s="180"/>
      <c r="BO61" s="180"/>
      <c r="BP61" s="180"/>
      <c r="BQ61" s="180"/>
      <c r="BR61" s="180"/>
      <c r="BS61" s="180"/>
      <c r="BT61" s="180"/>
      <c r="BU61" s="180"/>
      <c r="BV61" s="180"/>
      <c r="BW61" s="180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80"/>
      <c r="CT61" s="180"/>
      <c r="CU61" s="180"/>
      <c r="CV61" s="180"/>
      <c r="CW61" s="180"/>
      <c r="CX61" s="180"/>
      <c r="CY61" s="180"/>
      <c r="CZ61" s="180"/>
      <c r="DA61" s="180"/>
      <c r="DB61" s="180"/>
      <c r="DC61" s="180"/>
      <c r="DD61" s="180"/>
      <c r="DE61" s="180"/>
      <c r="DF61" s="180"/>
      <c r="DG61" s="180"/>
    </row>
    <row r="62" customFormat="false" ht="15" hidden="false" customHeight="false" outlineLevel="0" collapsed="false">
      <c r="A62" s="106" t="str">
        <f aca="false">IF(OR(B62="",C62=""),"",IFERROR(MATCH(B62,'ตั้งค่า Setup'!$C$26:$C$65,0)&amp;"."&amp;COUNTIF(B$7:B62,B62),"?"))</f>
        <v/>
      </c>
      <c r="B62" s="35"/>
      <c r="C62" s="35"/>
      <c r="D62" s="25"/>
      <c r="E62" s="102"/>
      <c r="F62" s="104" t="n">
        <f aca="false">IF(C62="",0,IF(E62&lt;&gt;"",E62,IF(SUM($D$7:$D$66)&gt;0,N(D62)/SUM($D$7:$D$66),0)))</f>
        <v>0</v>
      </c>
      <c r="G62" s="175" t="str">
        <f aca="false">IF(C62="","",F62*'ตั้งค่า Setup'!$C$9)</f>
        <v/>
      </c>
      <c r="H62" s="27"/>
      <c r="I62" s="27"/>
      <c r="J62" s="106" t="str">
        <f aca="false">IF(OR(H62="",I62=""),"",I62-H62+1)</f>
        <v/>
      </c>
      <c r="K62" s="27"/>
      <c r="L62" s="27"/>
      <c r="M62" s="27"/>
      <c r="N62" s="27"/>
      <c r="O62" s="102"/>
      <c r="P62" s="104" t="str">
        <f aca="false">IF(OR(C62="",H62="",I62=""),"",MAX(0,MIN(1,('ตั้งค่า Setup'!$C$15-H62+1)/(I62-H62+1))))</f>
        <v/>
      </c>
      <c r="Q62" s="104" t="str">
        <f aca="false">IF(OR(C62="",Z62=0),"",MAX(0,MIN(1,('ตั้งค่า Setup'!$C$15-Z62+1)/(AA62-Z62+1))))</f>
        <v/>
      </c>
      <c r="R62" s="175" t="str">
        <f aca="false">IF(P62="","",G62*P62)</f>
        <v/>
      </c>
      <c r="S62" s="175" t="str">
        <f aca="false">IF(C62="","",G62*N(O62))</f>
        <v/>
      </c>
      <c r="T62" s="175" t="str">
        <f aca="false">IF(OR(R62="",S62=""),"",S62-R62)</f>
        <v/>
      </c>
      <c r="U62" s="176" t="str">
        <f aca="false">IF(OR(R62="",S62=""),"",IF(R62=0,"",S62/R62))</f>
        <v/>
      </c>
      <c r="V62" s="115" t="str">
        <f aca="false">IF(OR(C62="",Z62=0),"",IF(N62&lt;&gt;"",N62,IF(AND(N(O62)&gt;0,M62&lt;&gt;""),M62+ROUND((MAX('ตั้งค่า Setup'!$C$15,M62)-M62+1)/O62,0)-1,MAX(AA62,'ตั้งค่า Setup'!$C$15+AA62-Z62))))</f>
        <v/>
      </c>
      <c r="W62" s="177" t="str">
        <f aca="false">IF(OR(V62="",I62=""),"",V62-I62)</f>
        <v/>
      </c>
      <c r="X62" s="106" t="str">
        <f aca="false">IF(OR(C62="",H62="",I62=""),"",IF(N62&lt;&gt;"",IF(N62&lt;=I62,"เสร็จ / Completed","เสร็จช้า / Completed Late"),IF(AND(M62="",'ตั้งค่า Setup'!$C$15&lt;Z62),"ยังไม่ถึงกำหนด / Not Due",IF(N(O62)&gt;=P62,"ตามแผน / On Track",IF('ตั้งค่า Setup'!$C$15&gt;I62,"เกินกำหนด / Overdue","ล่าช้า / Behind")))))</f>
        <v/>
      </c>
      <c r="Y62" s="35"/>
      <c r="Z62" s="178" t="n">
        <f aca="false">IF(C62="",0,IF(K62&lt;&gt;"",K62,N(H62)))</f>
        <v>0</v>
      </c>
      <c r="AA62" s="178" t="n">
        <f aca="false">IF(C62="",0,IF(L62&lt;&gt;"",L62,N(I62)))</f>
        <v>0</v>
      </c>
      <c r="AB62" s="179" t="str">
        <f aca="false">IF(AND(C62&lt;&gt;"",N62="",ISNUMBER(W62)),W62+(1000-ROW())/1000000,"")</f>
        <v/>
      </c>
      <c r="AC62" s="179" t="n">
        <f aca="false">IF(AND(C62&lt;&gt;"",N62="",Z62&gt;0,Z62&lt;='ตั้งค่า Setup'!$C$15+'ตั้งค่า Setup'!$C$20),1,0)</f>
        <v>0</v>
      </c>
      <c r="AD62" s="179" t="str">
        <f aca="false">IF(AC62=1,SUM(AC$7:AC62),"")</f>
        <v/>
      </c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  <c r="AT62" s="180"/>
      <c r="AU62" s="180"/>
      <c r="AV62" s="180"/>
      <c r="AW62" s="180"/>
      <c r="AX62" s="180"/>
      <c r="AY62" s="180"/>
      <c r="AZ62" s="180"/>
      <c r="BA62" s="180"/>
      <c r="BB62" s="180"/>
      <c r="BC62" s="180"/>
      <c r="BD62" s="180"/>
      <c r="BE62" s="180"/>
      <c r="BF62" s="180"/>
      <c r="BG62" s="180"/>
      <c r="BH62" s="180"/>
      <c r="BI62" s="180"/>
      <c r="BJ62" s="180"/>
      <c r="BK62" s="180"/>
      <c r="BL62" s="180"/>
      <c r="BM62" s="180"/>
      <c r="BN62" s="180"/>
      <c r="BO62" s="180"/>
      <c r="BP62" s="180"/>
      <c r="BQ62" s="180"/>
      <c r="BR62" s="180"/>
      <c r="BS62" s="180"/>
      <c r="BT62" s="180"/>
      <c r="BU62" s="180"/>
      <c r="BV62" s="180"/>
      <c r="BW62" s="180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80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80"/>
      <c r="CT62" s="180"/>
      <c r="CU62" s="180"/>
      <c r="CV62" s="180"/>
      <c r="CW62" s="180"/>
      <c r="CX62" s="180"/>
      <c r="CY62" s="180"/>
      <c r="CZ62" s="180"/>
      <c r="DA62" s="180"/>
      <c r="DB62" s="180"/>
      <c r="DC62" s="180"/>
      <c r="DD62" s="180"/>
      <c r="DE62" s="180"/>
      <c r="DF62" s="180"/>
      <c r="DG62" s="180"/>
    </row>
    <row r="63" customFormat="false" ht="15" hidden="false" customHeight="false" outlineLevel="0" collapsed="false">
      <c r="A63" s="106" t="str">
        <f aca="false">IF(OR(B63="",C63=""),"",IFERROR(MATCH(B63,'ตั้งค่า Setup'!$C$26:$C$65,0)&amp;"."&amp;COUNTIF(B$7:B63,B63),"?"))</f>
        <v/>
      </c>
      <c r="B63" s="35"/>
      <c r="C63" s="35"/>
      <c r="D63" s="25"/>
      <c r="E63" s="102"/>
      <c r="F63" s="104" t="n">
        <f aca="false">IF(C63="",0,IF(E63&lt;&gt;"",E63,IF(SUM($D$7:$D$66)&gt;0,N(D63)/SUM($D$7:$D$66),0)))</f>
        <v>0</v>
      </c>
      <c r="G63" s="175" t="str">
        <f aca="false">IF(C63="","",F63*'ตั้งค่า Setup'!$C$9)</f>
        <v/>
      </c>
      <c r="H63" s="27"/>
      <c r="I63" s="27"/>
      <c r="J63" s="106" t="str">
        <f aca="false">IF(OR(H63="",I63=""),"",I63-H63+1)</f>
        <v/>
      </c>
      <c r="K63" s="27"/>
      <c r="L63" s="27"/>
      <c r="M63" s="27"/>
      <c r="N63" s="27"/>
      <c r="O63" s="102"/>
      <c r="P63" s="104" t="str">
        <f aca="false">IF(OR(C63="",H63="",I63=""),"",MAX(0,MIN(1,('ตั้งค่า Setup'!$C$15-H63+1)/(I63-H63+1))))</f>
        <v/>
      </c>
      <c r="Q63" s="104" t="str">
        <f aca="false">IF(OR(C63="",Z63=0),"",MAX(0,MIN(1,('ตั้งค่า Setup'!$C$15-Z63+1)/(AA63-Z63+1))))</f>
        <v/>
      </c>
      <c r="R63" s="175" t="str">
        <f aca="false">IF(P63="","",G63*P63)</f>
        <v/>
      </c>
      <c r="S63" s="175" t="str">
        <f aca="false">IF(C63="","",G63*N(O63))</f>
        <v/>
      </c>
      <c r="T63" s="175" t="str">
        <f aca="false">IF(OR(R63="",S63=""),"",S63-R63)</f>
        <v/>
      </c>
      <c r="U63" s="176" t="str">
        <f aca="false">IF(OR(R63="",S63=""),"",IF(R63=0,"",S63/R63))</f>
        <v/>
      </c>
      <c r="V63" s="115" t="str">
        <f aca="false">IF(OR(C63="",Z63=0),"",IF(N63&lt;&gt;"",N63,IF(AND(N(O63)&gt;0,M63&lt;&gt;""),M63+ROUND((MAX('ตั้งค่า Setup'!$C$15,M63)-M63+1)/O63,0)-1,MAX(AA63,'ตั้งค่า Setup'!$C$15+AA63-Z63))))</f>
        <v/>
      </c>
      <c r="W63" s="177" t="str">
        <f aca="false">IF(OR(V63="",I63=""),"",V63-I63)</f>
        <v/>
      </c>
      <c r="X63" s="106" t="str">
        <f aca="false">IF(OR(C63="",H63="",I63=""),"",IF(N63&lt;&gt;"",IF(N63&lt;=I63,"เสร็จ / Completed","เสร็จช้า / Completed Late"),IF(AND(M63="",'ตั้งค่า Setup'!$C$15&lt;Z63),"ยังไม่ถึงกำหนด / Not Due",IF(N(O63)&gt;=P63,"ตามแผน / On Track",IF('ตั้งค่า Setup'!$C$15&gt;I63,"เกินกำหนด / Overdue","ล่าช้า / Behind")))))</f>
        <v/>
      </c>
      <c r="Y63" s="35"/>
      <c r="Z63" s="178" t="n">
        <f aca="false">IF(C63="",0,IF(K63&lt;&gt;"",K63,N(H63)))</f>
        <v>0</v>
      </c>
      <c r="AA63" s="178" t="n">
        <f aca="false">IF(C63="",0,IF(L63&lt;&gt;"",L63,N(I63)))</f>
        <v>0</v>
      </c>
      <c r="AB63" s="179" t="str">
        <f aca="false">IF(AND(C63&lt;&gt;"",N63="",ISNUMBER(W63)),W63+(1000-ROW())/1000000,"")</f>
        <v/>
      </c>
      <c r="AC63" s="179" t="n">
        <f aca="false">IF(AND(C63&lt;&gt;"",N63="",Z63&gt;0,Z63&lt;='ตั้งค่า Setup'!$C$15+'ตั้งค่า Setup'!$C$20),1,0)</f>
        <v>0</v>
      </c>
      <c r="AD63" s="179" t="str">
        <f aca="false">IF(AC63=1,SUM(AC$7:AC63),"")</f>
        <v/>
      </c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80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80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80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80"/>
      <c r="CT63" s="180"/>
      <c r="CU63" s="180"/>
      <c r="CV63" s="180"/>
      <c r="CW63" s="180"/>
      <c r="CX63" s="180"/>
      <c r="CY63" s="180"/>
      <c r="CZ63" s="180"/>
      <c r="DA63" s="180"/>
      <c r="DB63" s="180"/>
      <c r="DC63" s="180"/>
      <c r="DD63" s="180"/>
      <c r="DE63" s="180"/>
      <c r="DF63" s="180"/>
      <c r="DG63" s="180"/>
    </row>
    <row r="64" customFormat="false" ht="15" hidden="false" customHeight="false" outlineLevel="0" collapsed="false">
      <c r="A64" s="106" t="str">
        <f aca="false">IF(OR(B64="",C64=""),"",IFERROR(MATCH(B64,'ตั้งค่า Setup'!$C$26:$C$65,0)&amp;"."&amp;COUNTIF(B$7:B64,B64),"?"))</f>
        <v/>
      </c>
      <c r="B64" s="35"/>
      <c r="C64" s="35"/>
      <c r="D64" s="25"/>
      <c r="E64" s="102"/>
      <c r="F64" s="104" t="n">
        <f aca="false">IF(C64="",0,IF(E64&lt;&gt;"",E64,IF(SUM($D$7:$D$66)&gt;0,N(D64)/SUM($D$7:$D$66),0)))</f>
        <v>0</v>
      </c>
      <c r="G64" s="175" t="str">
        <f aca="false">IF(C64="","",F64*'ตั้งค่า Setup'!$C$9)</f>
        <v/>
      </c>
      <c r="H64" s="27"/>
      <c r="I64" s="27"/>
      <c r="J64" s="106" t="str">
        <f aca="false">IF(OR(H64="",I64=""),"",I64-H64+1)</f>
        <v/>
      </c>
      <c r="K64" s="27"/>
      <c r="L64" s="27"/>
      <c r="M64" s="27"/>
      <c r="N64" s="27"/>
      <c r="O64" s="102"/>
      <c r="P64" s="104" t="str">
        <f aca="false">IF(OR(C64="",H64="",I64=""),"",MAX(0,MIN(1,('ตั้งค่า Setup'!$C$15-H64+1)/(I64-H64+1))))</f>
        <v/>
      </c>
      <c r="Q64" s="104" t="str">
        <f aca="false">IF(OR(C64="",Z64=0),"",MAX(0,MIN(1,('ตั้งค่า Setup'!$C$15-Z64+1)/(AA64-Z64+1))))</f>
        <v/>
      </c>
      <c r="R64" s="175" t="str">
        <f aca="false">IF(P64="","",G64*P64)</f>
        <v/>
      </c>
      <c r="S64" s="175" t="str">
        <f aca="false">IF(C64="","",G64*N(O64))</f>
        <v/>
      </c>
      <c r="T64" s="175" t="str">
        <f aca="false">IF(OR(R64="",S64=""),"",S64-R64)</f>
        <v/>
      </c>
      <c r="U64" s="176" t="str">
        <f aca="false">IF(OR(R64="",S64=""),"",IF(R64=0,"",S64/R64))</f>
        <v/>
      </c>
      <c r="V64" s="115" t="str">
        <f aca="false">IF(OR(C64="",Z64=0),"",IF(N64&lt;&gt;"",N64,IF(AND(N(O64)&gt;0,M64&lt;&gt;""),M64+ROUND((MAX('ตั้งค่า Setup'!$C$15,M64)-M64+1)/O64,0)-1,MAX(AA64,'ตั้งค่า Setup'!$C$15+AA64-Z64))))</f>
        <v/>
      </c>
      <c r="W64" s="177" t="str">
        <f aca="false">IF(OR(V64="",I64=""),"",V64-I64)</f>
        <v/>
      </c>
      <c r="X64" s="106" t="str">
        <f aca="false">IF(OR(C64="",H64="",I64=""),"",IF(N64&lt;&gt;"",IF(N64&lt;=I64,"เสร็จ / Completed","เสร็จช้า / Completed Late"),IF(AND(M64="",'ตั้งค่า Setup'!$C$15&lt;Z64),"ยังไม่ถึงกำหนด / Not Due",IF(N(O64)&gt;=P64,"ตามแผน / On Track",IF('ตั้งค่า Setup'!$C$15&gt;I64,"เกินกำหนด / Overdue","ล่าช้า / Behind")))))</f>
        <v/>
      </c>
      <c r="Y64" s="35"/>
      <c r="Z64" s="178" t="n">
        <f aca="false">IF(C64="",0,IF(K64&lt;&gt;"",K64,N(H64)))</f>
        <v>0</v>
      </c>
      <c r="AA64" s="178" t="n">
        <f aca="false">IF(C64="",0,IF(L64&lt;&gt;"",L64,N(I64)))</f>
        <v>0</v>
      </c>
      <c r="AB64" s="179" t="str">
        <f aca="false">IF(AND(C64&lt;&gt;"",N64="",ISNUMBER(W64)),W64+(1000-ROW())/1000000,"")</f>
        <v/>
      </c>
      <c r="AC64" s="179" t="n">
        <f aca="false">IF(AND(C64&lt;&gt;"",N64="",Z64&gt;0,Z64&lt;='ตั้งค่า Setup'!$C$15+'ตั้งค่า Setup'!$C$20),1,0)</f>
        <v>0</v>
      </c>
      <c r="AD64" s="179" t="str">
        <f aca="false">IF(AC64=1,SUM(AC$7:AC64),"")</f>
        <v/>
      </c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0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80"/>
      <c r="BM64" s="180"/>
      <c r="BN64" s="180"/>
      <c r="BO64" s="180"/>
      <c r="BP64" s="180"/>
      <c r="BQ64" s="180"/>
      <c r="BR64" s="180"/>
      <c r="BS64" s="180"/>
      <c r="BT64" s="180"/>
      <c r="BU64" s="180"/>
      <c r="BV64" s="180"/>
      <c r="BW64" s="180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0"/>
      <c r="CX64" s="180"/>
      <c r="CY64" s="180"/>
      <c r="CZ64" s="180"/>
      <c r="DA64" s="180"/>
      <c r="DB64" s="180"/>
      <c r="DC64" s="180"/>
      <c r="DD64" s="180"/>
      <c r="DE64" s="180"/>
      <c r="DF64" s="180"/>
      <c r="DG64" s="180"/>
    </row>
    <row r="65" customFormat="false" ht="15" hidden="false" customHeight="false" outlineLevel="0" collapsed="false">
      <c r="A65" s="106" t="str">
        <f aca="false">IF(OR(B65="",C65=""),"",IFERROR(MATCH(B65,'ตั้งค่า Setup'!$C$26:$C$65,0)&amp;"."&amp;COUNTIF(B$7:B65,B65),"?"))</f>
        <v/>
      </c>
      <c r="B65" s="35"/>
      <c r="C65" s="35"/>
      <c r="D65" s="25"/>
      <c r="E65" s="102"/>
      <c r="F65" s="104" t="n">
        <f aca="false">IF(C65="",0,IF(E65&lt;&gt;"",E65,IF(SUM($D$7:$D$66)&gt;0,N(D65)/SUM($D$7:$D$66),0)))</f>
        <v>0</v>
      </c>
      <c r="G65" s="175" t="str">
        <f aca="false">IF(C65="","",F65*'ตั้งค่า Setup'!$C$9)</f>
        <v/>
      </c>
      <c r="H65" s="27"/>
      <c r="I65" s="27"/>
      <c r="J65" s="106" t="str">
        <f aca="false">IF(OR(H65="",I65=""),"",I65-H65+1)</f>
        <v/>
      </c>
      <c r="K65" s="27"/>
      <c r="L65" s="27"/>
      <c r="M65" s="27"/>
      <c r="N65" s="27"/>
      <c r="O65" s="102"/>
      <c r="P65" s="104" t="str">
        <f aca="false">IF(OR(C65="",H65="",I65=""),"",MAX(0,MIN(1,('ตั้งค่า Setup'!$C$15-H65+1)/(I65-H65+1))))</f>
        <v/>
      </c>
      <c r="Q65" s="104" t="str">
        <f aca="false">IF(OR(C65="",Z65=0),"",MAX(0,MIN(1,('ตั้งค่า Setup'!$C$15-Z65+1)/(AA65-Z65+1))))</f>
        <v/>
      </c>
      <c r="R65" s="175" t="str">
        <f aca="false">IF(P65="","",G65*P65)</f>
        <v/>
      </c>
      <c r="S65" s="175" t="str">
        <f aca="false">IF(C65="","",G65*N(O65))</f>
        <v/>
      </c>
      <c r="T65" s="175" t="str">
        <f aca="false">IF(OR(R65="",S65=""),"",S65-R65)</f>
        <v/>
      </c>
      <c r="U65" s="176" t="str">
        <f aca="false">IF(OR(R65="",S65=""),"",IF(R65=0,"",S65/R65))</f>
        <v/>
      </c>
      <c r="V65" s="115" t="str">
        <f aca="false">IF(OR(C65="",Z65=0),"",IF(N65&lt;&gt;"",N65,IF(AND(N(O65)&gt;0,M65&lt;&gt;""),M65+ROUND((MAX('ตั้งค่า Setup'!$C$15,M65)-M65+1)/O65,0)-1,MAX(AA65,'ตั้งค่า Setup'!$C$15+AA65-Z65))))</f>
        <v/>
      </c>
      <c r="W65" s="177" t="str">
        <f aca="false">IF(OR(V65="",I65=""),"",V65-I65)</f>
        <v/>
      </c>
      <c r="X65" s="106" t="str">
        <f aca="false">IF(OR(C65="",H65="",I65=""),"",IF(N65&lt;&gt;"",IF(N65&lt;=I65,"เสร็จ / Completed","เสร็จช้า / Completed Late"),IF(AND(M65="",'ตั้งค่า Setup'!$C$15&lt;Z65),"ยังไม่ถึงกำหนด / Not Due",IF(N(O65)&gt;=P65,"ตามแผน / On Track",IF('ตั้งค่า Setup'!$C$15&gt;I65,"เกินกำหนด / Overdue","ล่าช้า / Behind")))))</f>
        <v/>
      </c>
      <c r="Y65" s="35"/>
      <c r="Z65" s="178" t="n">
        <f aca="false">IF(C65="",0,IF(K65&lt;&gt;"",K65,N(H65)))</f>
        <v>0</v>
      </c>
      <c r="AA65" s="178" t="n">
        <f aca="false">IF(C65="",0,IF(L65&lt;&gt;"",L65,N(I65)))</f>
        <v>0</v>
      </c>
      <c r="AB65" s="179" t="str">
        <f aca="false">IF(AND(C65&lt;&gt;"",N65="",ISNUMBER(W65)),W65+(1000-ROW())/1000000,"")</f>
        <v/>
      </c>
      <c r="AC65" s="179" t="n">
        <f aca="false">IF(AND(C65&lt;&gt;"",N65="",Z65&gt;0,Z65&lt;='ตั้งค่า Setup'!$C$15+'ตั้งค่า Setup'!$C$20),1,0)</f>
        <v>0</v>
      </c>
      <c r="AD65" s="179" t="str">
        <f aca="false">IF(AC65=1,SUM(AC$7:AC65),"")</f>
        <v/>
      </c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80"/>
      <c r="AS65" s="180"/>
      <c r="AT65" s="180"/>
      <c r="AU65" s="180"/>
      <c r="AV65" s="180"/>
      <c r="AW65" s="180"/>
      <c r="AX65" s="180"/>
      <c r="AY65" s="180"/>
      <c r="AZ65" s="180"/>
      <c r="BA65" s="180"/>
      <c r="BB65" s="180"/>
      <c r="BC65" s="180"/>
      <c r="BD65" s="180"/>
      <c r="BE65" s="180"/>
      <c r="BF65" s="180"/>
      <c r="BG65" s="180"/>
      <c r="BH65" s="180"/>
      <c r="BI65" s="180"/>
      <c r="BJ65" s="180"/>
      <c r="BK65" s="180"/>
      <c r="BL65" s="180"/>
      <c r="BM65" s="180"/>
      <c r="BN65" s="180"/>
      <c r="BO65" s="180"/>
      <c r="BP65" s="180"/>
      <c r="BQ65" s="180"/>
      <c r="BR65" s="180"/>
      <c r="BS65" s="180"/>
      <c r="BT65" s="180"/>
      <c r="BU65" s="180"/>
      <c r="BV65" s="180"/>
      <c r="BW65" s="180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80"/>
      <c r="CT65" s="180"/>
      <c r="CU65" s="180"/>
      <c r="CV65" s="180"/>
      <c r="CW65" s="180"/>
      <c r="CX65" s="180"/>
      <c r="CY65" s="180"/>
      <c r="CZ65" s="180"/>
      <c r="DA65" s="180"/>
      <c r="DB65" s="180"/>
      <c r="DC65" s="180"/>
      <c r="DD65" s="180"/>
      <c r="DE65" s="180"/>
      <c r="DF65" s="180"/>
      <c r="DG65" s="180"/>
    </row>
    <row r="66" customFormat="false" ht="15" hidden="false" customHeight="false" outlineLevel="0" collapsed="false">
      <c r="A66" s="106" t="str">
        <f aca="false">IF(OR(B66="",C66=""),"",IFERROR(MATCH(B66,'ตั้งค่า Setup'!$C$26:$C$65,0)&amp;"."&amp;COUNTIF(B$7:B66,B66),"?"))</f>
        <v/>
      </c>
      <c r="B66" s="35"/>
      <c r="C66" s="35"/>
      <c r="D66" s="25"/>
      <c r="E66" s="102"/>
      <c r="F66" s="104" t="n">
        <f aca="false">IF(C66="",0,IF(E66&lt;&gt;"",E66,IF(SUM($D$7:$D$66)&gt;0,N(D66)/SUM($D$7:$D$66),0)))</f>
        <v>0</v>
      </c>
      <c r="G66" s="175" t="str">
        <f aca="false">IF(C66="","",F66*'ตั้งค่า Setup'!$C$9)</f>
        <v/>
      </c>
      <c r="H66" s="27"/>
      <c r="I66" s="27"/>
      <c r="J66" s="106" t="str">
        <f aca="false">IF(OR(H66="",I66=""),"",I66-H66+1)</f>
        <v/>
      </c>
      <c r="K66" s="27"/>
      <c r="L66" s="27"/>
      <c r="M66" s="27"/>
      <c r="N66" s="27"/>
      <c r="O66" s="102"/>
      <c r="P66" s="104" t="str">
        <f aca="false">IF(OR(C66="",H66="",I66=""),"",MAX(0,MIN(1,('ตั้งค่า Setup'!$C$15-H66+1)/(I66-H66+1))))</f>
        <v/>
      </c>
      <c r="Q66" s="104" t="str">
        <f aca="false">IF(OR(C66="",Z66=0),"",MAX(0,MIN(1,('ตั้งค่า Setup'!$C$15-Z66+1)/(AA66-Z66+1))))</f>
        <v/>
      </c>
      <c r="R66" s="175" t="str">
        <f aca="false">IF(P66="","",G66*P66)</f>
        <v/>
      </c>
      <c r="S66" s="175" t="str">
        <f aca="false">IF(C66="","",G66*N(O66))</f>
        <v/>
      </c>
      <c r="T66" s="175" t="str">
        <f aca="false">IF(OR(R66="",S66=""),"",S66-R66)</f>
        <v/>
      </c>
      <c r="U66" s="176" t="str">
        <f aca="false">IF(OR(R66="",S66=""),"",IF(R66=0,"",S66/R66))</f>
        <v/>
      </c>
      <c r="V66" s="115" t="str">
        <f aca="false">IF(OR(C66="",Z66=0),"",IF(N66&lt;&gt;"",N66,IF(AND(N(O66)&gt;0,M66&lt;&gt;""),M66+ROUND((MAX('ตั้งค่า Setup'!$C$15,M66)-M66+1)/O66,0)-1,MAX(AA66,'ตั้งค่า Setup'!$C$15+AA66-Z66))))</f>
        <v/>
      </c>
      <c r="W66" s="177" t="str">
        <f aca="false">IF(OR(V66="",I66=""),"",V66-I66)</f>
        <v/>
      </c>
      <c r="X66" s="106" t="str">
        <f aca="false">IF(OR(C66="",H66="",I66=""),"",IF(N66&lt;&gt;"",IF(N66&lt;=I66,"เสร็จ / Completed","เสร็จช้า / Completed Late"),IF(AND(M66="",'ตั้งค่า Setup'!$C$15&lt;Z66),"ยังไม่ถึงกำหนด / Not Due",IF(N(O66)&gt;=P66,"ตามแผน / On Track",IF('ตั้งค่า Setup'!$C$15&gt;I66,"เกินกำหนด / Overdue","ล่าช้า / Behind")))))</f>
        <v/>
      </c>
      <c r="Y66" s="35"/>
      <c r="Z66" s="178" t="n">
        <f aca="false">IF(C66="",0,IF(K66&lt;&gt;"",K66,N(H66)))</f>
        <v>0</v>
      </c>
      <c r="AA66" s="178" t="n">
        <f aca="false">IF(C66="",0,IF(L66&lt;&gt;"",L66,N(I66)))</f>
        <v>0</v>
      </c>
      <c r="AB66" s="179" t="str">
        <f aca="false">IF(AND(C66&lt;&gt;"",N66="",ISNUMBER(W66)),W66+(1000-ROW())/1000000,"")</f>
        <v/>
      </c>
      <c r="AC66" s="179" t="n">
        <f aca="false">IF(AND(C66&lt;&gt;"",N66="",Z66&gt;0,Z66&lt;='ตั้งค่า Setup'!$C$15+'ตั้งค่า Setup'!$C$20),1,0)</f>
        <v>0</v>
      </c>
      <c r="AD66" s="179" t="str">
        <f aca="false">IF(AC66=1,SUM(AC$7:AC66),"")</f>
        <v/>
      </c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80"/>
      <c r="AS66" s="180"/>
      <c r="AT66" s="180"/>
      <c r="AU66" s="180"/>
      <c r="AV66" s="180"/>
      <c r="AW66" s="180"/>
      <c r="AX66" s="180"/>
      <c r="AY66" s="180"/>
      <c r="AZ66" s="180"/>
      <c r="BA66" s="180"/>
      <c r="BB66" s="180"/>
      <c r="BC66" s="180"/>
      <c r="BD66" s="180"/>
      <c r="BE66" s="180"/>
      <c r="BF66" s="180"/>
      <c r="BG66" s="180"/>
      <c r="BH66" s="180"/>
      <c r="BI66" s="180"/>
      <c r="BJ66" s="180"/>
      <c r="BK66" s="180"/>
      <c r="BL66" s="180"/>
      <c r="BM66" s="180"/>
      <c r="BN66" s="180"/>
      <c r="BO66" s="180"/>
      <c r="BP66" s="180"/>
      <c r="BQ66" s="180"/>
      <c r="BR66" s="180"/>
      <c r="BS66" s="180"/>
      <c r="BT66" s="180"/>
      <c r="BU66" s="180"/>
      <c r="BV66" s="180"/>
      <c r="BW66" s="180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80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80"/>
      <c r="CT66" s="180"/>
      <c r="CU66" s="180"/>
      <c r="CV66" s="180"/>
      <c r="CW66" s="180"/>
      <c r="CX66" s="180"/>
      <c r="CY66" s="180"/>
      <c r="CZ66" s="180"/>
      <c r="DA66" s="180"/>
      <c r="DB66" s="180"/>
      <c r="DC66" s="180"/>
      <c r="DD66" s="180"/>
      <c r="DE66" s="180"/>
      <c r="DF66" s="180"/>
      <c r="DG66" s="180"/>
    </row>
    <row r="67" customFormat="false" ht="15" hidden="false" customHeight="false" outlineLevel="0" collapsed="false">
      <c r="A67" s="108"/>
      <c r="B67" s="108"/>
      <c r="C67" s="109" t="s">
        <v>466</v>
      </c>
      <c r="D67" s="181" t="n">
        <f aca="false">SUM(D7:D66)</f>
        <v>5356288</v>
      </c>
      <c r="E67" s="108"/>
      <c r="F67" s="111" t="n">
        <f aca="false">SUM(F7:F66)</f>
        <v>1</v>
      </c>
      <c r="G67" s="181" t="n">
        <f aca="false">SUM(G7:G66)</f>
        <v>12108000</v>
      </c>
      <c r="H67" s="108"/>
      <c r="I67" s="108"/>
      <c r="J67" s="108"/>
      <c r="K67" s="108"/>
      <c r="L67" s="108"/>
      <c r="M67" s="108"/>
      <c r="N67" s="108"/>
      <c r="O67" s="111" t="n">
        <f aca="false">IFERROR(S67/'ตั้งค่า Setup'!$C$9,0)</f>
        <v>0</v>
      </c>
      <c r="P67" s="111" t="n">
        <f aca="false">IFERROR(R67/'ตั้งค่า Setup'!$C$9,0)</f>
        <v>0.85814</v>
      </c>
      <c r="Q67" s="108"/>
      <c r="R67" s="181" t="n">
        <f aca="false">SUM(R7:R66)</f>
        <v>10390359.12</v>
      </c>
      <c r="S67" s="181" t="n">
        <f aca="false">SUM(S7:S66)</f>
        <v>0</v>
      </c>
      <c r="T67" s="181" t="n">
        <f aca="false">S67-R67</f>
        <v>-10390359.12</v>
      </c>
      <c r="U67" s="182" t="n">
        <f aca="false">IFERROR(S67/R67,"")</f>
        <v>0</v>
      </c>
      <c r="V67" s="108"/>
      <c r="W67" s="108"/>
      <c r="X67" s="108"/>
      <c r="Y67" s="108"/>
    </row>
  </sheetData>
  <sheetProtection sheet="true" formatCells="false" formatColumns="false" formatRows="false"/>
  <mergeCells count="6">
    <mergeCell ref="A5:D5"/>
    <mergeCell ref="E5:G5"/>
    <mergeCell ref="H5:J5"/>
    <mergeCell ref="K5:L5"/>
    <mergeCell ref="M5:O5"/>
    <mergeCell ref="P5:X5"/>
  </mergeCells>
  <conditionalFormatting sqref="X7:X66">
    <cfRule type="expression" priority="2" aboveAverage="0" equalAverage="0" bottom="0" percent="0" rank="0" text="" dxfId="6">
      <formula>OR(ISNUMBER(SEARCH("ล่าช้า",X7)),ISNUMBER(SEARCH("เกินกำหนด",X7)),ISNUMBER(SEARCH("เสร็จช้า",X7)))</formula>
    </cfRule>
    <cfRule type="expression" priority="3" aboveAverage="0" equalAverage="0" bottom="0" percent="0" rank="0" text="" dxfId="2">
      <formula>OR(ISNUMBER(SEARCH("ตามแผน",X7)),X7="เสร็จ / Completed")</formula>
    </cfRule>
  </conditionalFormatting>
  <conditionalFormatting sqref="U7:U66">
    <cfRule type="expression" priority="4" aboveAverage="0" equalAverage="0" bottom="0" percent="0" rank="0" text="" dxfId="4">
      <formula>AND(ISNUMBER(U7),U7&lt;0.9)</formula>
    </cfRule>
  </conditionalFormatting>
  <conditionalFormatting sqref="AF7:DG66">
    <cfRule type="expression" priority="5" aboveAverage="0" equalAverage="0" bottom="0" percent="0" rank="0" text="" dxfId="10">
      <formula>AND(AND($H7&lt;&gt;"",$I7&lt;&gt;"",AF$6&lt;&gt;"",$H7&lt;=AF$6,$I7&gt;=AF$5),AND($M7&lt;&gt;"",AF$6&lt;&gt;"",$M7&lt;=AF$6,IF($N7&lt;&gt;"",$N7,'ตั้งค่า Setup'!$C$15)&gt;=AF$5))</formula>
    </cfRule>
    <cfRule type="expression" priority="6" aboveAverage="0" equalAverage="0" bottom="0" percent="0" rank="0" text="" dxfId="11">
      <formula>AND($M7&lt;&gt;"",AF$6&lt;&gt;"",$M7&lt;=AF$6,IF($N7&lt;&gt;"",$N7,'ตั้งค่า Setup'!$C$15)&gt;=AF$5)</formula>
    </cfRule>
    <cfRule type="expression" priority="7" aboveAverage="0" equalAverage="0" bottom="0" percent="0" rank="0" text="" dxfId="12">
      <formula>AND($H7&lt;&gt;"",$I7&lt;&gt;"",AF$6&lt;&gt;"",$H7&lt;=AF$6,$I7&gt;=AF$5)</formula>
    </cfRule>
  </conditionalFormatting>
  <conditionalFormatting sqref="AF6:DG6">
    <cfRule type="expression" priority="8" aboveAverage="0" equalAverage="0" bottom="0" percent="0" rank="0" text="" dxfId="13">
      <formula>AND(AF$6&lt;&gt;"",AF$5&lt;='ตั้งค่า Setup'!$C$15,AF$6&gt;='ตั้งค่า Setup'!$C$15)</formula>
    </cfRule>
  </conditionalFormatting>
  <dataValidations count="3">
    <dataValidation allowBlank="false" error="กรุณากรอกวันที่" errorStyle="stop" operator="greaterThan" showDropDown="false" showErrorMessage="false" showInputMessage="false" sqref="H7:I66 K7:N66" type="date">
      <formula1>36526</formula1>
      <formula2>0</formula2>
    </dataValidation>
    <dataValidation allowBlank="true" errorStyle="stop" operator="between" showDropDown="false" showErrorMessage="false" showInputMessage="false" sqref="B7:B66" type="list">
      <formula1>'ตั้งค่า Setup'!$C$26:$C$65</formula1>
      <formula2>0</formula2>
    </dataValidation>
    <dataValidation allowBlank="false" error="กรอก 0%–100% เช่น 60%" errorStyle="stop" errorTitle="% ไม่ถูกต้อง" operator="between" showDropDown="false" showErrorMessage="false" showInputMessage="false" sqref="E7:E66 O7:O6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1"/>
    <col collapsed="false" customWidth="true" hidden="false" outlineLevel="0" max="8" min="4" style="1" width="10"/>
    <col collapsed="false" customWidth="true" hidden="false" outlineLevel="0" max="14" min="9" style="1" width="14"/>
    <col collapsed="false" customWidth="true" hidden="false" outlineLevel="0" max="15" min="15" style="1" width="2"/>
    <col collapsed="false" customWidth="true" hidden="false" outlineLevel="0" max="27" min="16" style="1" width="9"/>
    <col collapsed="false" customWidth="true" hidden="false" outlineLevel="0" max="31" min="29" style="1" width="9"/>
  </cols>
  <sheetData>
    <row r="1" customFormat="false" ht="20.1" hidden="false" customHeight="false" outlineLevel="0" collapsed="false">
      <c r="A1" s="183" t="s">
        <v>691</v>
      </c>
    </row>
    <row r="2" customFormat="false" ht="15" hidden="false" customHeight="false" outlineLevel="0" collapsed="false">
      <c r="A2" s="19" t="s">
        <v>692</v>
      </c>
    </row>
    <row r="3" customFormat="false" ht="15" hidden="false" customHeight="false" outlineLevel="0" collapsed="false">
      <c r="A3" s="166" t="s">
        <v>644</v>
      </c>
      <c r="C3" s="167" t="n">
        <f aca="false">'ตั้งค่า Setup'!$C$15</f>
        <v>46293</v>
      </c>
    </row>
    <row r="5" customFormat="false" ht="15" hidden="false" customHeight="true" outlineLevel="0" collapsed="false">
      <c r="A5" s="168" t="s">
        <v>693</v>
      </c>
      <c r="B5" s="168"/>
      <c r="C5" s="168"/>
      <c r="D5" s="184" t="s">
        <v>694</v>
      </c>
      <c r="E5" s="184"/>
      <c r="F5" s="184"/>
      <c r="G5" s="184"/>
      <c r="H5" s="184"/>
      <c r="I5" s="172" t="s">
        <v>695</v>
      </c>
      <c r="J5" s="172"/>
      <c r="K5" s="172"/>
      <c r="L5" s="172"/>
      <c r="M5" s="185" t="s">
        <v>696</v>
      </c>
      <c r="N5" s="185"/>
    </row>
    <row r="6" customFormat="false" ht="39.75" hidden="false" customHeight="true" outlineLevel="0" collapsed="false">
      <c r="A6" s="20" t="s">
        <v>697</v>
      </c>
      <c r="B6" s="20" t="s">
        <v>698</v>
      </c>
      <c r="C6" s="20" t="s">
        <v>699</v>
      </c>
      <c r="D6" s="75" t="s">
        <v>700</v>
      </c>
      <c r="E6" s="75" t="s">
        <v>701</v>
      </c>
      <c r="F6" s="75" t="s">
        <v>702</v>
      </c>
      <c r="G6" s="75" t="s">
        <v>703</v>
      </c>
      <c r="H6" s="20" t="s">
        <v>704</v>
      </c>
      <c r="I6" s="75" t="s">
        <v>705</v>
      </c>
      <c r="J6" s="75" t="s">
        <v>706</v>
      </c>
      <c r="K6" s="75" t="s">
        <v>707</v>
      </c>
      <c r="L6" s="75" t="s">
        <v>708</v>
      </c>
      <c r="M6" s="20" t="s">
        <v>709</v>
      </c>
      <c r="N6" s="20" t="s">
        <v>710</v>
      </c>
      <c r="P6" s="186" t="s">
        <v>711</v>
      </c>
      <c r="Q6" s="186" t="s">
        <v>712</v>
      </c>
      <c r="R6" s="186" t="s">
        <v>713</v>
      </c>
      <c r="S6" s="186" t="s">
        <v>714</v>
      </c>
      <c r="T6" s="186" t="s">
        <v>715</v>
      </c>
      <c r="U6" s="186" t="s">
        <v>716</v>
      </c>
      <c r="V6" s="186" t="s">
        <v>717</v>
      </c>
      <c r="W6" s="186" t="s">
        <v>718</v>
      </c>
      <c r="X6" s="186" t="s">
        <v>719</v>
      </c>
      <c r="Y6" s="186" t="s">
        <v>720</v>
      </c>
      <c r="Z6" s="186" t="s">
        <v>721</v>
      </c>
      <c r="AA6" s="186" t="s">
        <v>722</v>
      </c>
      <c r="AC6" s="186" t="s">
        <v>723</v>
      </c>
      <c r="AD6" s="186" t="s">
        <v>724</v>
      </c>
      <c r="AE6" s="186" t="s">
        <v>725</v>
      </c>
    </row>
    <row r="7" customFormat="false" ht="15" hidden="false" customHeight="false" outlineLevel="0" collapsed="false">
      <c r="A7" s="187" t="n">
        <f aca="false">IF(B7="","",ROW()-6)</f>
        <v>1</v>
      </c>
      <c r="B7" s="188" t="n">
        <f aca="false">'ตั้งค่า Setup'!$C$68</f>
        <v>46072</v>
      </c>
      <c r="C7" s="188" t="n">
        <f aca="false">IF(B7="","",IF('ตั้งค่า Setup'!$C$16="รายสัปดาห์ / Weekly",B7+6,IF('ตั้งค่า Setup'!$C$16="รายเดือน / Monthly",EOMONTH(B7,0),IF(DAY(B7)&lt;=10,DATE(YEAR(B7),MONTH(B7),10),IF(DAY(B7)&lt;=20,DATE(YEAR(B7),MONTH(B7),20),EOMONTH(B7,0))))))</f>
        <v>46073</v>
      </c>
      <c r="D7" s="189" t="n">
        <f aca="false">IF(C7="","",SUMPRODUCT('แผนงาน Schedule'!$F$7:$F$66,('แผนงาน Schedule'!$I$7:$I$66&lt;=C7)+('แผนงาน Schedule'!$H$7:$H$66&lt;=C7)*('แผนงาน Schedule'!$I$7:$I$66&gt;C7)*(C7-'แผนงาน Schedule'!$H$7:$H$66+1)/('แผนงาน Schedule'!$I$7:$I$66-'แผนงาน Schedule'!$H$7:$H$66+1)))</f>
        <v>0.0050375</v>
      </c>
      <c r="E7" s="189" t="n">
        <f aca="false">IF(C7="","",SUMPRODUCT('แผนงาน Schedule'!$F$7:$F$66,('แผนงาน Schedule'!$AA$7:$AA$66&lt;=C7)+('แผนงาน Schedule'!$Z$7:$Z$66&lt;=C7)*('แผนงาน Schedule'!$AA$7:$AA$66&gt;C7)*(C7-'แผนงาน Schedule'!$Z$7:$Z$66+1)/('แผนงาน Schedule'!$AA$7:$AA$66-'แผนงาน Schedule'!$Z$7:$Z$66+1)))</f>
        <v>0.0050375</v>
      </c>
      <c r="F7" s="190" t="n">
        <v>0</v>
      </c>
      <c r="G7" s="189" t="str">
        <f aca="false">IF(OR(C7="",NOT(ISNUMBER(Dashboard!$C$27))),"",IF(C7&lt;Dashboard!$C$7,"",IF(Dashboard!$C$27&lt;=Dashboard!$C$7,1,MIN(1,Dashboard!$C$19+(1-Dashboard!$C$19)*(C7-Dashboard!$C$7)/(Dashboard!$C$27-Dashboard!$C$7)))))</f>
        <v/>
      </c>
      <c r="H7" s="191" t="n">
        <f aca="false">IF(OR(F7="",D7=""),"",F7-D7)</f>
        <v>-0.0050375</v>
      </c>
      <c r="I7" s="192" t="n">
        <f aca="false">IF(D7="","",D7*'ตั้งค่า Setup'!$C$9)</f>
        <v>60994.05</v>
      </c>
      <c r="J7" s="192" t="n">
        <f aca="false">IF(OR(C7="",F7=""),"",F7*'ตั้งค่า Setup'!$C$9)</f>
        <v>0</v>
      </c>
      <c r="K7" s="193"/>
      <c r="L7" s="192" t="str">
        <f aca="false">IF(OR(C7="",K7=""),"",SUM(K$7:K7))</f>
        <v/>
      </c>
      <c r="M7" s="193"/>
      <c r="N7" s="192" t="n">
        <f aca="false">IF(OR(C7="",B7&gt;'ตั้งค่า Setup'!$C$15),"",SUM(M$7:M7))</f>
        <v>0</v>
      </c>
      <c r="P7" s="178" t="n">
        <f aca="false">IF(C7&lt;&gt;"",C7,'ตั้งค่า Setup'!$C$68)</f>
        <v>46073</v>
      </c>
      <c r="Q7" s="194" t="n">
        <f aca="false">IF(D7&lt;&gt;"",D7,0)</f>
        <v>0.0050375</v>
      </c>
      <c r="R7" s="178" t="n">
        <f aca="false">IF(Dashboard!$C$63,P7,'ตั้งค่า Setup'!$C$68)</f>
        <v>46072</v>
      </c>
      <c r="S7" s="194" t="n">
        <f aca="false">IF(AND(Dashboard!$C$63,E7&lt;&gt;""),E7,0)</f>
        <v>0</v>
      </c>
      <c r="T7" s="178" t="n">
        <f aca="false">IF(AND(F7&lt;&gt;"",C7&lt;&gt;""),C7,'ตั้งค่า Setup'!$C$68)</f>
        <v>46073</v>
      </c>
      <c r="U7" s="194" t="n">
        <f aca="false">IF(AND(F7&lt;&gt;"",C7&lt;&gt;""),F7,0)</f>
        <v>0</v>
      </c>
      <c r="V7" s="178" t="n">
        <f aca="false">IF(ISNUMBER(G7),C7,Dashboard!$C$7)</f>
        <v>46142</v>
      </c>
      <c r="W7" s="194" t="n">
        <f aca="false">IF(ISNUMBER(G7),G7,Dashboard!$C$19)</f>
        <v>0.0513</v>
      </c>
      <c r="X7" s="195" t="n">
        <f aca="false">IF(I7&lt;&gt;"",I7,0)</f>
        <v>60994.05</v>
      </c>
      <c r="Y7" s="195" t="n">
        <f aca="false">IF(AND(F7&lt;&gt;"",C7&lt;&gt;""),J7,0)</f>
        <v>0</v>
      </c>
      <c r="Z7" s="178" t="n">
        <f aca="false">IF(AND(K7&lt;&gt;"",C7&lt;&gt;""),C7,'ตั้งค่า Setup'!$C$68)</f>
        <v>46072</v>
      </c>
      <c r="AA7" s="195" t="n">
        <f aca="false">IF(AND(K7&lt;&gt;"",C7&lt;&gt;""),L7,0)</f>
        <v>0</v>
      </c>
      <c r="AC7" s="178" t="n">
        <f aca="false">'ตั้งค่า Setup'!$C$15</f>
        <v>46293</v>
      </c>
      <c r="AD7" s="179" t="n">
        <v>0</v>
      </c>
      <c r="AE7" s="179" t="n">
        <v>0</v>
      </c>
    </row>
    <row r="8" customFormat="false" ht="15" hidden="false" customHeight="false" outlineLevel="0" collapsed="false">
      <c r="A8" s="187" t="n">
        <f aca="false">IF(B8="","",ROW()-6)</f>
        <v>2</v>
      </c>
      <c r="B8" s="188" t="n">
        <f aca="false">IF(C7="","",IF(C7&gt;='ตั้งค่า Setup'!$C$69,"",C7+1))</f>
        <v>46074</v>
      </c>
      <c r="C8" s="188" t="n">
        <f aca="false">IF(B8="","",IF('ตั้งค่า Setup'!$C$16="รายสัปดาห์ / Weekly",B8+6,IF('ตั้งค่า Setup'!$C$16="รายเดือน / Monthly",EOMONTH(B8,0),IF(DAY(B8)&lt;=10,DATE(YEAR(B8),MONTH(B8),10),IF(DAY(B8)&lt;=20,DATE(YEAR(B8),MONTH(B8),20),EOMONTH(B8,0))))))</f>
        <v>46081</v>
      </c>
      <c r="D8" s="189" t="n">
        <f aca="false">IF(C8="","",SUMPRODUCT('แผนงาน Schedule'!$F$7:$F$66,('แผนงาน Schedule'!$I$7:$I$66&lt;=C8)+('แผนงาน Schedule'!$H$7:$H$66&lt;=C8)*('แผนงาน Schedule'!$I$7:$I$66&gt;C8)*(C8-'แผนงาน Schedule'!$H$7:$H$66+1)/('แผนงาน Schedule'!$I$7:$I$66-'แผนงาน Schedule'!$H$7:$H$66+1)))</f>
        <v>0.0251875</v>
      </c>
      <c r="E8" s="189" t="n">
        <f aca="false">IF(C8="","",SUMPRODUCT('แผนงาน Schedule'!$F$7:$F$66,('แผนงาน Schedule'!$AA$7:$AA$66&lt;=C8)+('แผนงาน Schedule'!$Z$7:$Z$66&lt;=C8)*('แผนงาน Schedule'!$AA$7:$AA$66&gt;C8)*(C8-'แผนงาน Schedule'!$Z$7:$Z$66+1)/('แผนงาน Schedule'!$AA$7:$AA$66-'แผนงาน Schedule'!$Z$7:$Z$66+1)))</f>
        <v>0.0251875</v>
      </c>
      <c r="F8" s="190" t="n">
        <v>0.0092</v>
      </c>
      <c r="G8" s="189" t="str">
        <f aca="false">IF(OR(C8="",NOT(ISNUMBER(Dashboard!$C$27))),"",IF(C8&lt;Dashboard!$C$7,"",IF(Dashboard!$C$27&lt;=Dashboard!$C$7,1,MIN(1,Dashboard!$C$19+(1-Dashboard!$C$19)*(C8-Dashboard!$C$7)/(Dashboard!$C$27-Dashboard!$C$7)))))</f>
        <v/>
      </c>
      <c r="H8" s="191" t="n">
        <f aca="false">IF(OR(F8="",D8=""),"",F8-D8)</f>
        <v>-0.0159875</v>
      </c>
      <c r="I8" s="192" t="n">
        <f aca="false">IF(D8="","",D8*'ตั้งค่า Setup'!$C$9)</f>
        <v>304970.25</v>
      </c>
      <c r="J8" s="192" t="n">
        <f aca="false">IF(OR(C8="",F8=""),"",F8*'ตั้งค่า Setup'!$C$9)</f>
        <v>111393.6</v>
      </c>
      <c r="K8" s="193"/>
      <c r="L8" s="192" t="str">
        <f aca="false">IF(OR(C8="",K8=""),"",SUM(K$7:K8))</f>
        <v/>
      </c>
      <c r="M8" s="193" t="n">
        <v>111393.6</v>
      </c>
      <c r="N8" s="192" t="n">
        <f aca="false">IF(OR(C8="",B8&gt;'ตั้งค่า Setup'!$C$15),"",SUM(M$7:M8))</f>
        <v>111393.6</v>
      </c>
      <c r="P8" s="178" t="n">
        <f aca="false">IF(C8&lt;&gt;"",C8,P7)</f>
        <v>46081</v>
      </c>
      <c r="Q8" s="194" t="n">
        <f aca="false">IF(D8&lt;&gt;"",D8,Q7)</f>
        <v>0.0251875</v>
      </c>
      <c r="R8" s="178" t="n">
        <f aca="false">IF(Dashboard!$C$63,P8,R7)</f>
        <v>46072</v>
      </c>
      <c r="S8" s="194" t="n">
        <f aca="false">IF(AND(Dashboard!$C$63,E8&lt;&gt;""),E8,S7)</f>
        <v>0</v>
      </c>
      <c r="T8" s="178" t="n">
        <f aca="false">IF(AND(F8&lt;&gt;"",C8&lt;&gt;""),C8,T7)</f>
        <v>46081</v>
      </c>
      <c r="U8" s="194" t="n">
        <f aca="false">IF(AND(F8&lt;&gt;"",C8&lt;&gt;""),F8,U7)</f>
        <v>0.0092</v>
      </c>
      <c r="V8" s="178" t="n">
        <f aca="false">IF(ISNUMBER(G8),C8,V7)</f>
        <v>46142</v>
      </c>
      <c r="W8" s="194" t="n">
        <f aca="false">IF(ISNUMBER(G8),G8,W7)</f>
        <v>0.0513</v>
      </c>
      <c r="X8" s="195" t="n">
        <f aca="false">IF(I8&lt;&gt;"",I8,X7)</f>
        <v>304970.25</v>
      </c>
      <c r="Y8" s="195" t="n">
        <f aca="false">IF(AND(F8&lt;&gt;"",C8&lt;&gt;""),J8,Y7)</f>
        <v>111393.6</v>
      </c>
      <c r="Z8" s="178" t="n">
        <f aca="false">IF(AND(K8&lt;&gt;"",C8&lt;&gt;""),C8,Z7)</f>
        <v>46072</v>
      </c>
      <c r="AA8" s="195" t="n">
        <f aca="false">IF(AND(K8&lt;&gt;"",C8&lt;&gt;""),L8,AA7)</f>
        <v>0</v>
      </c>
      <c r="AC8" s="178" t="n">
        <f aca="false">'ตั้งค่า Setup'!$C$15</f>
        <v>46293</v>
      </c>
      <c r="AD8" s="179" t="n">
        <v>1</v>
      </c>
      <c r="AE8" s="196" t="n">
        <f aca="false">'ตั้งค่า Setup'!$C$9</f>
        <v>12108000</v>
      </c>
    </row>
    <row r="9" customFormat="false" ht="15" hidden="false" customHeight="false" outlineLevel="0" collapsed="false">
      <c r="A9" s="187" t="n">
        <f aca="false">IF(B9="","",ROW()-6)</f>
        <v>3</v>
      </c>
      <c r="B9" s="188" t="n">
        <f aca="false">IF(C8="","",IF(C8&gt;='ตั้งค่า Setup'!$C$69,"",C8+1))</f>
        <v>46082</v>
      </c>
      <c r="C9" s="188" t="n">
        <f aca="false">IF(B9="","",IF('ตั้งค่า Setup'!$C$16="รายสัปดาห์ / Weekly",B9+6,IF('ตั้งค่า Setup'!$C$16="รายเดือน / Monthly",EOMONTH(B9,0),IF(DAY(B9)&lt;=10,DATE(YEAR(B9),MONTH(B9),10),IF(DAY(B9)&lt;=20,DATE(YEAR(B9),MONTH(B9),20),EOMONTH(B9,0))))))</f>
        <v>46091</v>
      </c>
      <c r="D9" s="189" t="n">
        <f aca="false">IF(C9="","",SUMPRODUCT('แผนงาน Schedule'!$F$7:$F$66,('แผนงาน Schedule'!$I$7:$I$66&lt;=C9)+('แผนงาน Schedule'!$H$7:$H$66&lt;=C9)*('แผนงาน Schedule'!$I$7:$I$66&gt;C9)*(C9-'แผนงาน Schedule'!$H$7:$H$66+1)/('แผนงาน Schedule'!$I$7:$I$66-'แผนงาน Schedule'!$H$7:$H$66+1)))</f>
        <v>0.0442</v>
      </c>
      <c r="E9" s="189" t="n">
        <f aca="false">IF(C9="","",SUMPRODUCT('แผนงาน Schedule'!$F$7:$F$66,('แผนงาน Schedule'!$AA$7:$AA$66&lt;=C9)+('แผนงาน Schedule'!$Z$7:$Z$66&lt;=C9)*('แผนงาน Schedule'!$AA$7:$AA$66&gt;C9)*(C9-'แผนงาน Schedule'!$Z$7:$Z$66+1)/('แผนงาน Schedule'!$AA$7:$AA$66-'แผนงาน Schedule'!$Z$7:$Z$66+1)))</f>
        <v>0.0442</v>
      </c>
      <c r="F9" s="190" t="n">
        <v>0.0282</v>
      </c>
      <c r="G9" s="189" t="str">
        <f aca="false">IF(OR(C9="",NOT(ISNUMBER(Dashboard!$C$27))),"",IF(C9&lt;Dashboard!$C$7,"",IF(Dashboard!$C$27&lt;=Dashboard!$C$7,1,MIN(1,Dashboard!$C$19+(1-Dashboard!$C$19)*(C9-Dashboard!$C$7)/(Dashboard!$C$27-Dashboard!$C$7)))))</f>
        <v/>
      </c>
      <c r="H9" s="191" t="n">
        <f aca="false">IF(OR(F9="",D9=""),"",F9-D9)</f>
        <v>-0.016</v>
      </c>
      <c r="I9" s="192" t="n">
        <f aca="false">IF(D9="","",D9*'ตั้งค่า Setup'!$C$9)</f>
        <v>535173.6</v>
      </c>
      <c r="J9" s="192" t="n">
        <f aca="false">IF(OR(C9="",F9=""),"",F9*'ตั้งค่า Setup'!$C$9)</f>
        <v>341445.6</v>
      </c>
      <c r="K9" s="193"/>
      <c r="L9" s="192" t="str">
        <f aca="false">IF(OR(C9="",K9=""),"",SUM(K$7:K9))</f>
        <v/>
      </c>
      <c r="M9" s="193"/>
      <c r="N9" s="192" t="n">
        <f aca="false">IF(OR(C9="",B9&gt;'ตั้งค่า Setup'!$C$15),"",SUM(M$7:M9))</f>
        <v>111393.6</v>
      </c>
      <c r="P9" s="178" t="n">
        <f aca="false">IF(C9&lt;&gt;"",C9,P8)</f>
        <v>46091</v>
      </c>
      <c r="Q9" s="194" t="n">
        <f aca="false">IF(D9&lt;&gt;"",D9,Q8)</f>
        <v>0.0442</v>
      </c>
      <c r="R9" s="178" t="n">
        <f aca="false">IF(Dashboard!$C$63,P9,R8)</f>
        <v>46072</v>
      </c>
      <c r="S9" s="194" t="n">
        <f aca="false">IF(AND(Dashboard!$C$63,E9&lt;&gt;""),E9,S8)</f>
        <v>0</v>
      </c>
      <c r="T9" s="178" t="n">
        <f aca="false">IF(AND(F9&lt;&gt;"",C9&lt;&gt;""),C9,T8)</f>
        <v>46091</v>
      </c>
      <c r="U9" s="194" t="n">
        <f aca="false">IF(AND(F9&lt;&gt;"",C9&lt;&gt;""),F9,U8)</f>
        <v>0.0282</v>
      </c>
      <c r="V9" s="178" t="n">
        <f aca="false">IF(ISNUMBER(G9),C9,V8)</f>
        <v>46142</v>
      </c>
      <c r="W9" s="194" t="n">
        <f aca="false">IF(ISNUMBER(G9),G9,W8)</f>
        <v>0.0513</v>
      </c>
      <c r="X9" s="195" t="n">
        <f aca="false">IF(I9&lt;&gt;"",I9,X8)</f>
        <v>535173.6</v>
      </c>
      <c r="Y9" s="195" t="n">
        <f aca="false">IF(AND(F9&lt;&gt;"",C9&lt;&gt;""),J9,Y8)</f>
        <v>341445.6</v>
      </c>
      <c r="Z9" s="178" t="n">
        <f aca="false">IF(AND(K9&lt;&gt;"",C9&lt;&gt;""),C9,Z8)</f>
        <v>46072</v>
      </c>
      <c r="AA9" s="195" t="n">
        <f aca="false">IF(AND(K9&lt;&gt;"",C9&lt;&gt;""),L9,AA8)</f>
        <v>0</v>
      </c>
    </row>
    <row r="10" customFormat="false" ht="15" hidden="false" customHeight="false" outlineLevel="0" collapsed="false">
      <c r="A10" s="187" t="n">
        <f aca="false">IF(B10="","",ROW()-6)</f>
        <v>4</v>
      </c>
      <c r="B10" s="188" t="n">
        <f aca="false">IF(C9="","",IF(C9&gt;='ตั้งค่า Setup'!$C$69,"",C9+1))</f>
        <v>46092</v>
      </c>
      <c r="C10" s="188" t="n">
        <f aca="false">IF(B10="","",IF('ตั้งค่า Setup'!$C$16="รายสัปดาห์ / Weekly",B10+6,IF('ตั้งค่า Setup'!$C$16="รายเดือน / Monthly",EOMONTH(B10,0),IF(DAY(B10)&lt;=10,DATE(YEAR(B10),MONTH(B10),10),IF(DAY(B10)&lt;=20,DATE(YEAR(B10),MONTH(B10),20),EOMONTH(B10,0))))))</f>
        <v>46101</v>
      </c>
      <c r="D10" s="189" t="n">
        <f aca="false">IF(C10="","",SUMPRODUCT('แผนงาน Schedule'!$F$7:$F$66,('แผนงาน Schedule'!$I$7:$I$66&lt;=C10)+('แผนงาน Schedule'!$H$7:$H$66&lt;=C10)*('แผนงาน Schedule'!$I$7:$I$66&gt;C10)*(C10-'แผนงาน Schedule'!$H$7:$H$66+1)/('แผนงาน Schedule'!$I$7:$I$66-'แผนงาน Schedule'!$H$7:$H$66+1)))</f>
        <v>0.0658561148590209</v>
      </c>
      <c r="E10" s="189" t="n">
        <f aca="false">IF(C10="","",SUMPRODUCT('แผนงาน Schedule'!$F$7:$F$66,('แผนงาน Schedule'!$AA$7:$AA$66&lt;=C10)+('แผนงาน Schedule'!$Z$7:$Z$66&lt;=C10)*('แผนงาน Schedule'!$AA$7:$AA$66&gt;C10)*(C10-'แผนงาน Schedule'!$Z$7:$Z$66+1)/('แผนงาน Schedule'!$AA$7:$AA$66-'แผนงาน Schedule'!$Z$7:$Z$66+1)))</f>
        <v>0.0658561148590209</v>
      </c>
      <c r="F10" s="190" t="n">
        <v>0.0312</v>
      </c>
      <c r="G10" s="189" t="str">
        <f aca="false">IF(OR(C10="",NOT(ISNUMBER(Dashboard!$C$27))),"",IF(C10&lt;Dashboard!$C$7,"",IF(Dashboard!$C$27&lt;=Dashboard!$C$7,1,MIN(1,Dashboard!$C$19+(1-Dashboard!$C$19)*(C10-Dashboard!$C$7)/(Dashboard!$C$27-Dashboard!$C$7)))))</f>
        <v/>
      </c>
      <c r="H10" s="191" t="n">
        <f aca="false">IF(OR(F10="",D10=""),"",F10-D10)</f>
        <v>-0.0346561148590209</v>
      </c>
      <c r="I10" s="192" t="n">
        <f aca="false">IF(D10="","",D10*'ตั้งค่า Setup'!$C$9)</f>
        <v>797385.838713025</v>
      </c>
      <c r="J10" s="192" t="n">
        <f aca="false">IF(OR(C10="",F10=""),"",F10*'ตั้งค่า Setup'!$C$9)</f>
        <v>377769.6</v>
      </c>
      <c r="K10" s="193"/>
      <c r="L10" s="192" t="str">
        <f aca="false">IF(OR(C10="",K10=""),"",SUM(K$7:K10))</f>
        <v/>
      </c>
      <c r="M10" s="193"/>
      <c r="N10" s="192" t="n">
        <f aca="false">IF(OR(C10="",B10&gt;'ตั้งค่า Setup'!$C$15),"",SUM(M$7:M10))</f>
        <v>111393.6</v>
      </c>
      <c r="P10" s="178" t="n">
        <f aca="false">IF(C10&lt;&gt;"",C10,P9)</f>
        <v>46101</v>
      </c>
      <c r="Q10" s="194" t="n">
        <f aca="false">IF(D10&lt;&gt;"",D10,Q9)</f>
        <v>0.0658561148590209</v>
      </c>
      <c r="R10" s="178" t="n">
        <f aca="false">IF(Dashboard!$C$63,P10,R9)</f>
        <v>46072</v>
      </c>
      <c r="S10" s="194" t="n">
        <f aca="false">IF(AND(Dashboard!$C$63,E10&lt;&gt;""),E10,S9)</f>
        <v>0</v>
      </c>
      <c r="T10" s="178" t="n">
        <f aca="false">IF(AND(F10&lt;&gt;"",C10&lt;&gt;""),C10,T9)</f>
        <v>46101</v>
      </c>
      <c r="U10" s="194" t="n">
        <f aca="false">IF(AND(F10&lt;&gt;"",C10&lt;&gt;""),F10,U9)</f>
        <v>0.0312</v>
      </c>
      <c r="V10" s="178" t="n">
        <f aca="false">IF(ISNUMBER(G10),C10,V9)</f>
        <v>46142</v>
      </c>
      <c r="W10" s="194" t="n">
        <f aca="false">IF(ISNUMBER(G10),G10,W9)</f>
        <v>0.0513</v>
      </c>
      <c r="X10" s="195" t="n">
        <f aca="false">IF(I10&lt;&gt;"",I10,X9)</f>
        <v>797385.838713025</v>
      </c>
      <c r="Y10" s="195" t="n">
        <f aca="false">IF(AND(F10&lt;&gt;"",C10&lt;&gt;""),J10,Y9)</f>
        <v>377769.6</v>
      </c>
      <c r="Z10" s="178" t="n">
        <f aca="false">IF(AND(K10&lt;&gt;"",C10&lt;&gt;""),C10,Z9)</f>
        <v>46072</v>
      </c>
      <c r="AA10" s="195" t="n">
        <f aca="false">IF(AND(K10&lt;&gt;"",C10&lt;&gt;""),L10,AA9)</f>
        <v>0</v>
      </c>
    </row>
    <row r="11" customFormat="false" ht="15" hidden="false" customHeight="false" outlineLevel="0" collapsed="false">
      <c r="A11" s="187" t="n">
        <f aca="false">IF(B11="","",ROW()-6)</f>
        <v>5</v>
      </c>
      <c r="B11" s="188" t="n">
        <f aca="false">IF(C10="","",IF(C10&gt;='ตั้งค่า Setup'!$C$69,"",C10+1))</f>
        <v>46102</v>
      </c>
      <c r="C11" s="188" t="n">
        <f aca="false">IF(B11="","",IF('ตั้งค่า Setup'!$C$16="รายสัปดาห์ / Weekly",B11+6,IF('ตั้งค่า Setup'!$C$16="รายเดือน / Monthly",EOMONTH(B11,0),IF(DAY(B11)&lt;=10,DATE(YEAR(B11),MONTH(B11),10),IF(DAY(B11)&lt;=20,DATE(YEAR(B11),MONTH(B11),20),EOMONTH(B11,0))))))</f>
        <v>46112</v>
      </c>
      <c r="D11" s="189" t="n">
        <f aca="false">IF(C11="","",SUMPRODUCT('แผนงาน Schedule'!$F$7:$F$66,('แผนงาน Schedule'!$I$7:$I$66&lt;=C11)+('แผนงาน Schedule'!$H$7:$H$66&lt;=C11)*('แผนงาน Schedule'!$I$7:$I$66&gt;C11)*(C11-'แผนงาน Schedule'!$H$7:$H$66+1)/('แผนงาน Schedule'!$I$7:$I$66-'แผนงาน Schedule'!$H$7:$H$66+1)))</f>
        <v>0.0985714582252206</v>
      </c>
      <c r="E11" s="189" t="n">
        <f aca="false">IF(C11="","",SUMPRODUCT('แผนงาน Schedule'!$F$7:$F$66,('แผนงาน Schedule'!$AA$7:$AA$66&lt;=C11)+('แผนงาน Schedule'!$Z$7:$Z$66&lt;=C11)*('แผนงาน Schedule'!$AA$7:$AA$66&gt;C11)*(C11-'แผนงาน Schedule'!$Z$7:$Z$66+1)/('แผนงาน Schedule'!$AA$7:$AA$66-'แผนงาน Schedule'!$Z$7:$Z$66+1)))</f>
        <v>0.0985714582252206</v>
      </c>
      <c r="F11" s="190" t="n">
        <v>0.044</v>
      </c>
      <c r="G11" s="189" t="str">
        <f aca="false">IF(OR(C11="",NOT(ISNUMBER(Dashboard!$C$27))),"",IF(C11&lt;Dashboard!$C$7,"",IF(Dashboard!$C$27&lt;=Dashboard!$C$7,1,MIN(1,Dashboard!$C$19+(1-Dashboard!$C$19)*(C11-Dashboard!$C$7)/(Dashboard!$C$27-Dashboard!$C$7)))))</f>
        <v/>
      </c>
      <c r="H11" s="191" t="n">
        <f aca="false">IF(OR(F11="",D11=""),"",F11-D11)</f>
        <v>-0.0545714582252206</v>
      </c>
      <c r="I11" s="192" t="n">
        <f aca="false">IF(D11="","",D11*'ตั้งค่า Setup'!$C$9)</f>
        <v>1193503.21619097</v>
      </c>
      <c r="J11" s="192" t="n">
        <f aca="false">IF(OR(C11="",F11=""),"",F11*'ตั้งค่า Setup'!$C$9)</f>
        <v>532752</v>
      </c>
      <c r="K11" s="193"/>
      <c r="L11" s="192" t="str">
        <f aca="false">IF(OR(C11="",K11=""),"",SUM(K$7:K11))</f>
        <v/>
      </c>
      <c r="M11" s="193" t="n">
        <v>421358.4</v>
      </c>
      <c r="N11" s="192" t="n">
        <f aca="false">IF(OR(C11="",B11&gt;'ตั้งค่า Setup'!$C$15),"",SUM(M$7:M11))</f>
        <v>532752</v>
      </c>
      <c r="P11" s="178" t="n">
        <f aca="false">IF(C11&lt;&gt;"",C11,P10)</f>
        <v>46112</v>
      </c>
      <c r="Q11" s="194" t="n">
        <f aca="false">IF(D11&lt;&gt;"",D11,Q10)</f>
        <v>0.0985714582252206</v>
      </c>
      <c r="R11" s="178" t="n">
        <f aca="false">IF(Dashboard!$C$63,P11,R10)</f>
        <v>46072</v>
      </c>
      <c r="S11" s="194" t="n">
        <f aca="false">IF(AND(Dashboard!$C$63,E11&lt;&gt;""),E11,S10)</f>
        <v>0</v>
      </c>
      <c r="T11" s="178" t="n">
        <f aca="false">IF(AND(F11&lt;&gt;"",C11&lt;&gt;""),C11,T10)</f>
        <v>46112</v>
      </c>
      <c r="U11" s="194" t="n">
        <f aca="false">IF(AND(F11&lt;&gt;"",C11&lt;&gt;""),F11,U10)</f>
        <v>0.044</v>
      </c>
      <c r="V11" s="178" t="n">
        <f aca="false">IF(ISNUMBER(G11),C11,V10)</f>
        <v>46142</v>
      </c>
      <c r="W11" s="194" t="n">
        <f aca="false">IF(ISNUMBER(G11),G11,W10)</f>
        <v>0.0513</v>
      </c>
      <c r="X11" s="195" t="n">
        <f aca="false">IF(I11&lt;&gt;"",I11,X10)</f>
        <v>1193503.21619097</v>
      </c>
      <c r="Y11" s="195" t="n">
        <f aca="false">IF(AND(F11&lt;&gt;"",C11&lt;&gt;""),J11,Y10)</f>
        <v>532752</v>
      </c>
      <c r="Z11" s="178" t="n">
        <f aca="false">IF(AND(K11&lt;&gt;"",C11&lt;&gt;""),C11,Z10)</f>
        <v>46072</v>
      </c>
      <c r="AA11" s="195" t="n">
        <f aca="false">IF(AND(K11&lt;&gt;"",C11&lt;&gt;""),L11,AA10)</f>
        <v>0</v>
      </c>
    </row>
    <row r="12" customFormat="false" ht="15" hidden="false" customHeight="false" outlineLevel="0" collapsed="false">
      <c r="A12" s="187" t="n">
        <f aca="false">IF(B12="","",ROW()-6)</f>
        <v>6</v>
      </c>
      <c r="B12" s="188" t="n">
        <f aca="false">IF(C11="","",IF(C11&gt;='ตั้งค่า Setup'!$C$69,"",C11+1))</f>
        <v>46113</v>
      </c>
      <c r="C12" s="188" t="n">
        <f aca="false">IF(B12="","",IF('ตั้งค่า Setup'!$C$16="รายสัปดาห์ / Weekly",B12+6,IF('ตั้งค่า Setup'!$C$16="รายเดือน / Monthly",EOMONTH(B12,0),IF(DAY(B12)&lt;=10,DATE(YEAR(B12),MONTH(B12),10),IF(DAY(B12)&lt;=20,DATE(YEAR(B12),MONTH(B12),20),EOMONTH(B12,0))))))</f>
        <v>46122</v>
      </c>
      <c r="D12" s="189" t="n">
        <f aca="false">IF(C12="","",SUMPRODUCT('แผนงาน Schedule'!$F$7:$F$66,('แผนงาน Schedule'!$I$7:$I$66&lt;=C12)+('แผนงาน Schedule'!$H$7:$H$66&lt;=C12)*('แผนงาน Schedule'!$I$7:$I$66&gt;C12)*(C12-'แผนงาน Schedule'!$H$7:$H$66+1)/('แผนงาน Schedule'!$I$7:$I$66-'แผนงาน Schedule'!$H$7:$H$66+1)))</f>
        <v>0.12831267946722</v>
      </c>
      <c r="E12" s="189" t="n">
        <f aca="false">IF(C12="","",SUMPRODUCT('แผนงาน Schedule'!$F$7:$F$66,('แผนงาน Schedule'!$AA$7:$AA$66&lt;=C12)+('แผนงาน Schedule'!$Z$7:$Z$66&lt;=C12)*('แผนงาน Schedule'!$AA$7:$AA$66&gt;C12)*(C12-'แผนงาน Schedule'!$Z$7:$Z$66+1)/('แผนงาน Schedule'!$AA$7:$AA$66-'แผนงาน Schedule'!$Z$7:$Z$66+1)))</f>
        <v>0.12831267946722</v>
      </c>
      <c r="F12" s="190" t="n">
        <v>0.0483</v>
      </c>
      <c r="G12" s="189" t="str">
        <f aca="false">IF(OR(C12="",NOT(ISNUMBER(Dashboard!$C$27))),"",IF(C12&lt;Dashboard!$C$7,"",IF(Dashboard!$C$27&lt;=Dashboard!$C$7,1,MIN(1,Dashboard!$C$19+(1-Dashboard!$C$19)*(C12-Dashboard!$C$7)/(Dashboard!$C$27-Dashboard!$C$7)))))</f>
        <v/>
      </c>
      <c r="H12" s="191" t="n">
        <f aca="false">IF(OR(F12="",D12=""),"",F12-D12)</f>
        <v>-0.0800126794672202</v>
      </c>
      <c r="I12" s="192" t="n">
        <f aca="false">IF(D12="","",D12*'ตั้งค่า Setup'!$C$9)</f>
        <v>1553609.9229891</v>
      </c>
      <c r="J12" s="192" t="n">
        <f aca="false">IF(OR(C12="",F12=""),"",F12*'ตั้งค่า Setup'!$C$9)</f>
        <v>584816.4</v>
      </c>
      <c r="K12" s="193"/>
      <c r="L12" s="192" t="str">
        <f aca="false">IF(OR(C12="",K12=""),"",SUM(K$7:K12))</f>
        <v/>
      </c>
      <c r="M12" s="193"/>
      <c r="N12" s="192" t="n">
        <f aca="false">IF(OR(C12="",B12&gt;'ตั้งค่า Setup'!$C$15),"",SUM(M$7:M12))</f>
        <v>532752</v>
      </c>
      <c r="P12" s="178" t="n">
        <f aca="false">IF(C12&lt;&gt;"",C12,P11)</f>
        <v>46122</v>
      </c>
      <c r="Q12" s="194" t="n">
        <f aca="false">IF(D12&lt;&gt;"",D12,Q11)</f>
        <v>0.12831267946722</v>
      </c>
      <c r="R12" s="178" t="n">
        <f aca="false">IF(Dashboard!$C$63,P12,R11)</f>
        <v>46072</v>
      </c>
      <c r="S12" s="194" t="n">
        <f aca="false">IF(AND(Dashboard!$C$63,E12&lt;&gt;""),E12,S11)</f>
        <v>0</v>
      </c>
      <c r="T12" s="178" t="n">
        <f aca="false">IF(AND(F12&lt;&gt;"",C12&lt;&gt;""),C12,T11)</f>
        <v>46122</v>
      </c>
      <c r="U12" s="194" t="n">
        <f aca="false">IF(AND(F12&lt;&gt;"",C12&lt;&gt;""),F12,U11)</f>
        <v>0.0483</v>
      </c>
      <c r="V12" s="178" t="n">
        <f aca="false">IF(ISNUMBER(G12),C12,V11)</f>
        <v>46142</v>
      </c>
      <c r="W12" s="194" t="n">
        <f aca="false">IF(ISNUMBER(G12),G12,W11)</f>
        <v>0.0513</v>
      </c>
      <c r="X12" s="195" t="n">
        <f aca="false">IF(I12&lt;&gt;"",I12,X11)</f>
        <v>1553609.9229891</v>
      </c>
      <c r="Y12" s="195" t="n">
        <f aca="false">IF(AND(F12&lt;&gt;"",C12&lt;&gt;""),J12,Y11)</f>
        <v>584816.4</v>
      </c>
      <c r="Z12" s="178" t="n">
        <f aca="false">IF(AND(K12&lt;&gt;"",C12&lt;&gt;""),C12,Z11)</f>
        <v>46072</v>
      </c>
      <c r="AA12" s="195" t="n">
        <f aca="false">IF(AND(K12&lt;&gt;"",C12&lt;&gt;""),L12,AA11)</f>
        <v>0</v>
      </c>
    </row>
    <row r="13" customFormat="false" ht="15" hidden="false" customHeight="false" outlineLevel="0" collapsed="false">
      <c r="A13" s="187" t="n">
        <f aca="false">IF(B13="","",ROW()-6)</f>
        <v>7</v>
      </c>
      <c r="B13" s="188" t="n">
        <f aca="false">IF(C12="","",IF(C12&gt;='ตั้งค่า Setup'!$C$69,"",C12+1))</f>
        <v>46123</v>
      </c>
      <c r="C13" s="188" t="n">
        <f aca="false">IF(B13="","",IF('ตั้งค่า Setup'!$C$16="รายสัปดาห์ / Weekly",B13+6,IF('ตั้งค่า Setup'!$C$16="รายเดือน / Monthly",EOMONTH(B13,0),IF(DAY(B13)&lt;=10,DATE(YEAR(B13),MONTH(B13),10),IF(DAY(B13)&lt;=20,DATE(YEAR(B13),MONTH(B13),20),EOMONTH(B13,0))))))</f>
        <v>46132</v>
      </c>
      <c r="D13" s="189" t="n">
        <f aca="false">IF(C13="","",SUMPRODUCT('แผนงาน Schedule'!$F$7:$F$66,('แผนงาน Schedule'!$I$7:$I$66&lt;=C13)+('แผนงาน Schedule'!$H$7:$H$66&lt;=C13)*('แผนงาน Schedule'!$I$7:$I$66&gt;C13)*(C13-'แผนงาน Schedule'!$H$7:$H$66+1)/('แผนงาน Schedule'!$I$7:$I$66-'แผนงาน Schedule'!$H$7:$H$66+1)))</f>
        <v>0.167925943719973</v>
      </c>
      <c r="E13" s="189" t="n">
        <f aca="false">IF(C13="","",SUMPRODUCT('แผนงาน Schedule'!$F$7:$F$66,('แผนงาน Schedule'!$AA$7:$AA$66&lt;=C13)+('แผนงาน Schedule'!$Z$7:$Z$66&lt;=C13)*('แผนงาน Schedule'!$AA$7:$AA$66&gt;C13)*(C13-'แผนงาน Schedule'!$Z$7:$Z$66+1)/('แผนงาน Schedule'!$AA$7:$AA$66-'แผนงาน Schedule'!$Z$7:$Z$66+1)))</f>
        <v>0.167925943719973</v>
      </c>
      <c r="F13" s="190" t="n">
        <v>0.0483</v>
      </c>
      <c r="G13" s="189" t="str">
        <f aca="false">IF(OR(C13="",NOT(ISNUMBER(Dashboard!$C$27))),"",IF(C13&lt;Dashboard!$C$7,"",IF(Dashboard!$C$27&lt;=Dashboard!$C$7,1,MIN(1,Dashboard!$C$19+(1-Dashboard!$C$19)*(C13-Dashboard!$C$7)/(Dashboard!$C$27-Dashboard!$C$7)))))</f>
        <v/>
      </c>
      <c r="H13" s="191" t="n">
        <f aca="false">IF(OR(F13="",D13=""),"",F13-D13)</f>
        <v>-0.119625943719973</v>
      </c>
      <c r="I13" s="192" t="n">
        <f aca="false">IF(D13="","",D13*'ตั้งค่า Setup'!$C$9)</f>
        <v>2033247.32656143</v>
      </c>
      <c r="J13" s="192" t="n">
        <f aca="false">IF(OR(C13="",F13=""),"",F13*'ตั้งค่า Setup'!$C$9)</f>
        <v>584816.4</v>
      </c>
      <c r="K13" s="193"/>
      <c r="L13" s="192" t="str">
        <f aca="false">IF(OR(C13="",K13=""),"",SUM(K$7:K13))</f>
        <v/>
      </c>
      <c r="M13" s="193"/>
      <c r="N13" s="192" t="n">
        <f aca="false">IF(OR(C13="",B13&gt;'ตั้งค่า Setup'!$C$15),"",SUM(M$7:M13))</f>
        <v>532752</v>
      </c>
      <c r="P13" s="178" t="n">
        <f aca="false">IF(C13&lt;&gt;"",C13,P12)</f>
        <v>46132</v>
      </c>
      <c r="Q13" s="194" t="n">
        <f aca="false">IF(D13&lt;&gt;"",D13,Q12)</f>
        <v>0.167925943719973</v>
      </c>
      <c r="R13" s="178" t="n">
        <f aca="false">IF(Dashboard!$C$63,P13,R12)</f>
        <v>46072</v>
      </c>
      <c r="S13" s="194" t="n">
        <f aca="false">IF(AND(Dashboard!$C$63,E13&lt;&gt;""),E13,S12)</f>
        <v>0</v>
      </c>
      <c r="T13" s="178" t="n">
        <f aca="false">IF(AND(F13&lt;&gt;"",C13&lt;&gt;""),C13,T12)</f>
        <v>46132</v>
      </c>
      <c r="U13" s="194" t="n">
        <f aca="false">IF(AND(F13&lt;&gt;"",C13&lt;&gt;""),F13,U12)</f>
        <v>0.0483</v>
      </c>
      <c r="V13" s="178" t="n">
        <f aca="false">IF(ISNUMBER(G13),C13,V12)</f>
        <v>46142</v>
      </c>
      <c r="W13" s="194" t="n">
        <f aca="false">IF(ISNUMBER(G13),G13,W12)</f>
        <v>0.0513</v>
      </c>
      <c r="X13" s="195" t="n">
        <f aca="false">IF(I13&lt;&gt;"",I13,X12)</f>
        <v>2033247.32656143</v>
      </c>
      <c r="Y13" s="195" t="n">
        <f aca="false">IF(AND(F13&lt;&gt;"",C13&lt;&gt;""),J13,Y12)</f>
        <v>584816.4</v>
      </c>
      <c r="Z13" s="178" t="n">
        <f aca="false">IF(AND(K13&lt;&gt;"",C13&lt;&gt;""),C13,Z12)</f>
        <v>46072</v>
      </c>
      <c r="AA13" s="195" t="n">
        <f aca="false">IF(AND(K13&lt;&gt;"",C13&lt;&gt;""),L13,AA12)</f>
        <v>0</v>
      </c>
    </row>
    <row r="14" customFormat="false" ht="15" hidden="false" customHeight="false" outlineLevel="0" collapsed="false">
      <c r="A14" s="187" t="n">
        <f aca="false">IF(B14="","",ROW()-6)</f>
        <v>8</v>
      </c>
      <c r="B14" s="188" t="n">
        <f aca="false">IF(C13="","",IF(C13&gt;='ตั้งค่า Setup'!$C$69,"",C13+1))</f>
        <v>46133</v>
      </c>
      <c r="C14" s="188" t="n">
        <f aca="false">IF(B14="","",IF('ตั้งค่า Setup'!$C$16="รายสัปดาห์ / Weekly",B14+6,IF('ตั้งค่า Setup'!$C$16="รายเดือน / Monthly",EOMONTH(B14,0),IF(DAY(B14)&lt;=10,DATE(YEAR(B14),MONTH(B14),10),IF(DAY(B14)&lt;=20,DATE(YEAR(B14),MONTH(B14),20),EOMONTH(B14,0))))))</f>
        <v>46142</v>
      </c>
      <c r="D14" s="189" t="n">
        <f aca="false">IF(C14="","",SUMPRODUCT('แผนงาน Schedule'!$F$7:$F$66,('แผนงาน Schedule'!$I$7:$I$66&lt;=C14)+('แผนงาน Schedule'!$H$7:$H$66&lt;=C14)*('แผนงาน Schedule'!$I$7:$I$66&gt;C14)*(C14-'แผนงาน Schedule'!$H$7:$H$66+1)/('แผนงาน Schedule'!$I$7:$I$66-'แผนงาน Schedule'!$H$7:$H$66+1)))</f>
        <v>0.208203225806452</v>
      </c>
      <c r="E14" s="189" t="n">
        <f aca="false">IF(C14="","",SUMPRODUCT('แผนงาน Schedule'!$F$7:$F$66,('แผนงาน Schedule'!$AA$7:$AA$66&lt;=C14)+('แผนงาน Schedule'!$Z$7:$Z$66&lt;=C14)*('แผนงาน Schedule'!$AA$7:$AA$66&gt;C14)*(C14-'แผนงาน Schedule'!$Z$7:$Z$66+1)/('แผนงาน Schedule'!$AA$7:$AA$66-'แผนงาน Schedule'!$Z$7:$Z$66+1)))</f>
        <v>0.208203225806452</v>
      </c>
      <c r="F14" s="190" t="n">
        <v>0.0513</v>
      </c>
      <c r="G14" s="189" t="n">
        <f aca="false">IF(OR(C14="",NOT(ISNUMBER(Dashboard!$C$27))),"",IF(C14&lt;Dashboard!$C$7,"",IF(Dashboard!$C$27&lt;=Dashboard!$C$7,1,MIN(1,Dashboard!$C$19+(1-Dashboard!$C$19)*(C14-Dashboard!$C$7)/(Dashboard!$C$27-Dashboard!$C$7)))))</f>
        <v>0.0513</v>
      </c>
      <c r="H14" s="191" t="n">
        <f aca="false">IF(OR(F14="",D14=""),"",F14-D14)</f>
        <v>-0.156903225806452</v>
      </c>
      <c r="I14" s="192" t="n">
        <f aca="false">IF(D14="","",D14*'ตั้งค่า Setup'!$C$9)</f>
        <v>2520924.65806452</v>
      </c>
      <c r="J14" s="192" t="n">
        <f aca="false">IF(OR(C14="",F14=""),"",F14*'ตั้งค่า Setup'!$C$9)</f>
        <v>621140.4</v>
      </c>
      <c r="K14" s="193"/>
      <c r="L14" s="192" t="str">
        <f aca="false">IF(OR(C14="",K14=""),"",SUM(K$7:K14))</f>
        <v/>
      </c>
      <c r="M14" s="193" t="n">
        <v>88388.4</v>
      </c>
      <c r="N14" s="192" t="n">
        <f aca="false">IF(OR(C14="",B14&gt;'ตั้งค่า Setup'!$C$15),"",SUM(M$7:M14))</f>
        <v>621140.4</v>
      </c>
      <c r="P14" s="178" t="n">
        <f aca="false">IF(C14&lt;&gt;"",C14,P13)</f>
        <v>46142</v>
      </c>
      <c r="Q14" s="194" t="n">
        <f aca="false">IF(D14&lt;&gt;"",D14,Q13)</f>
        <v>0.208203225806452</v>
      </c>
      <c r="R14" s="178" t="n">
        <f aca="false">IF(Dashboard!$C$63,P14,R13)</f>
        <v>46072</v>
      </c>
      <c r="S14" s="194" t="n">
        <f aca="false">IF(AND(Dashboard!$C$63,E14&lt;&gt;""),E14,S13)</f>
        <v>0</v>
      </c>
      <c r="T14" s="178" t="n">
        <f aca="false">IF(AND(F14&lt;&gt;"",C14&lt;&gt;""),C14,T13)</f>
        <v>46142</v>
      </c>
      <c r="U14" s="194" t="n">
        <f aca="false">IF(AND(F14&lt;&gt;"",C14&lt;&gt;""),F14,U13)</f>
        <v>0.0513</v>
      </c>
      <c r="V14" s="178" t="n">
        <f aca="false">IF(ISNUMBER(G14),C14,V13)</f>
        <v>46142</v>
      </c>
      <c r="W14" s="194" t="n">
        <f aca="false">IF(ISNUMBER(G14),G14,W13)</f>
        <v>0.0513</v>
      </c>
      <c r="X14" s="195" t="n">
        <f aca="false">IF(I14&lt;&gt;"",I14,X13)</f>
        <v>2520924.65806452</v>
      </c>
      <c r="Y14" s="195" t="n">
        <f aca="false">IF(AND(F14&lt;&gt;"",C14&lt;&gt;""),J14,Y13)</f>
        <v>621140.4</v>
      </c>
      <c r="Z14" s="178" t="n">
        <f aca="false">IF(AND(K14&lt;&gt;"",C14&lt;&gt;""),C14,Z13)</f>
        <v>46072</v>
      </c>
      <c r="AA14" s="195" t="n">
        <f aca="false">IF(AND(K14&lt;&gt;"",C14&lt;&gt;""),L14,AA13)</f>
        <v>0</v>
      </c>
    </row>
    <row r="15" customFormat="false" ht="15" hidden="false" customHeight="false" outlineLevel="0" collapsed="false">
      <c r="A15" s="187" t="n">
        <f aca="false">IF(B15="","",ROW()-6)</f>
        <v>9</v>
      </c>
      <c r="B15" s="188" t="n">
        <f aca="false">IF(C14="","",IF(C14&gt;='ตั้งค่า Setup'!$C$69,"",C14+1))</f>
        <v>46143</v>
      </c>
      <c r="C15" s="188" t="n">
        <f aca="false">IF(B15="","",IF('ตั้งค่า Setup'!$C$16="รายสัปดาห์ / Weekly",B15+6,IF('ตั้งค่า Setup'!$C$16="รายเดือน / Monthly",EOMONTH(B15,0),IF(DAY(B15)&lt;=10,DATE(YEAR(B15),MONTH(B15),10),IF(DAY(B15)&lt;=20,DATE(YEAR(B15),MONTH(B15),20),EOMONTH(B15,0))))))</f>
        <v>46152</v>
      </c>
      <c r="D15" s="189" t="n">
        <f aca="false">IF(C15="","",SUMPRODUCT('แผนงาน Schedule'!$F$7:$F$66,('แผนงาน Schedule'!$I$7:$I$66&lt;=C15)+('แผนงาน Schedule'!$H$7:$H$66&lt;=C15)*('แผนงาน Schedule'!$I$7:$I$66&gt;C15)*(C15-'แผนงาน Schedule'!$H$7:$H$66+1)/('แผนงาน Schedule'!$I$7:$I$66-'แผนงาน Schedule'!$H$7:$H$66+1)))</f>
        <v>0.228267741935484</v>
      </c>
      <c r="E15" s="189" t="n">
        <f aca="false">IF(C15="","",SUMPRODUCT('แผนงาน Schedule'!$F$7:$F$66,('แผนงาน Schedule'!$AA$7:$AA$66&lt;=C15)+('แผนงาน Schedule'!$Z$7:$Z$66&lt;=C15)*('แผนงาน Schedule'!$AA$7:$AA$66&gt;C15)*(C15-'แผนงาน Schedule'!$Z$7:$Z$66+1)/('แผนงาน Schedule'!$AA$7:$AA$66-'แผนงาน Schedule'!$Z$7:$Z$66+1)))</f>
        <v>0.228267741935484</v>
      </c>
      <c r="F15" s="190"/>
      <c r="G15" s="189" t="n">
        <f aca="false">IF(OR(C15="",NOT(ISNUMBER(Dashboard!$C$27))),"",IF(C15&lt;Dashboard!$C$7,"",IF(Dashboard!$C$27&lt;=Dashboard!$C$7,1,MIN(1,Dashboard!$C$19+(1-Dashboard!$C$19)*(C15-Dashboard!$C$7)/(Dashboard!$C$27-Dashboard!$C$7)))))</f>
        <v>0.063494087403599</v>
      </c>
      <c r="H15" s="191" t="str">
        <f aca="false">IF(OR(F15="",D15=""),"",F15-D15)</f>
        <v/>
      </c>
      <c r="I15" s="192" t="n">
        <f aca="false">IF(D15="","",D15*'ตั้งค่า Setup'!$C$9)</f>
        <v>2763865.81935484</v>
      </c>
      <c r="J15" s="192" t="str">
        <f aca="false">IF(OR(C15="",F15=""),"",F15*'ตั้งค่า Setup'!$C$9)</f>
        <v/>
      </c>
      <c r="K15" s="193"/>
      <c r="L15" s="192" t="str">
        <f aca="false">IF(OR(C15="",K15=""),"",SUM(K$7:K15))</f>
        <v/>
      </c>
      <c r="M15" s="193"/>
      <c r="N15" s="192" t="n">
        <f aca="false">IF(OR(C15="",B15&gt;'ตั้งค่า Setup'!$C$15),"",SUM(M$7:M15))</f>
        <v>621140.4</v>
      </c>
      <c r="P15" s="178" t="n">
        <f aca="false">IF(C15&lt;&gt;"",C15,P14)</f>
        <v>46152</v>
      </c>
      <c r="Q15" s="194" t="n">
        <f aca="false">IF(D15&lt;&gt;"",D15,Q14)</f>
        <v>0.228267741935484</v>
      </c>
      <c r="R15" s="178" t="n">
        <f aca="false">IF(Dashboard!$C$63,P15,R14)</f>
        <v>46072</v>
      </c>
      <c r="S15" s="194" t="n">
        <f aca="false">IF(AND(Dashboard!$C$63,E15&lt;&gt;""),E15,S14)</f>
        <v>0</v>
      </c>
      <c r="T15" s="178" t="n">
        <f aca="false">IF(AND(F15&lt;&gt;"",C15&lt;&gt;""),C15,T14)</f>
        <v>46142</v>
      </c>
      <c r="U15" s="194" t="n">
        <f aca="false">IF(AND(F15&lt;&gt;"",C15&lt;&gt;""),F15,U14)</f>
        <v>0.0513</v>
      </c>
      <c r="V15" s="178" t="n">
        <f aca="false">IF(ISNUMBER(G15),C15,V14)</f>
        <v>46152</v>
      </c>
      <c r="W15" s="194" t="n">
        <f aca="false">IF(ISNUMBER(G15),G15,W14)</f>
        <v>0.063494087403599</v>
      </c>
      <c r="X15" s="195" t="n">
        <f aca="false">IF(I15&lt;&gt;"",I15,X14)</f>
        <v>2763865.81935484</v>
      </c>
      <c r="Y15" s="195" t="n">
        <f aca="false">IF(AND(F15&lt;&gt;"",C15&lt;&gt;""),J15,Y14)</f>
        <v>621140.4</v>
      </c>
      <c r="Z15" s="178" t="n">
        <f aca="false">IF(AND(K15&lt;&gt;"",C15&lt;&gt;""),C15,Z14)</f>
        <v>46072</v>
      </c>
      <c r="AA15" s="195" t="n">
        <f aca="false">IF(AND(K15&lt;&gt;"",C15&lt;&gt;""),L15,AA14)</f>
        <v>0</v>
      </c>
    </row>
    <row r="16" customFormat="false" ht="15" hidden="false" customHeight="false" outlineLevel="0" collapsed="false">
      <c r="A16" s="187" t="n">
        <f aca="false">IF(B16="","",ROW()-6)</f>
        <v>10</v>
      </c>
      <c r="B16" s="188" t="n">
        <f aca="false">IF(C15="","",IF(C15&gt;='ตั้งค่า Setup'!$C$69,"",C15+1))</f>
        <v>46153</v>
      </c>
      <c r="C16" s="188" t="n">
        <f aca="false">IF(B16="","",IF('ตั้งค่า Setup'!$C$16="รายสัปดาห์ / Weekly",B16+6,IF('ตั้งค่า Setup'!$C$16="รายเดือน / Monthly",EOMONTH(B16,0),IF(DAY(B16)&lt;=10,DATE(YEAR(B16),MONTH(B16),10),IF(DAY(B16)&lt;=20,DATE(YEAR(B16),MONTH(B16),20),EOMONTH(B16,0))))))</f>
        <v>46162</v>
      </c>
      <c r="D16" s="189" t="n">
        <f aca="false">IF(C16="","",SUMPRODUCT('แผนงาน Schedule'!$F$7:$F$66,('แผนงาน Schedule'!$I$7:$I$66&lt;=C16)+('แผนงาน Schedule'!$H$7:$H$66&lt;=C16)*('แผนงาน Schedule'!$I$7:$I$66&gt;C16)*(C16-'แผนงาน Schedule'!$H$7:$H$66+1)/('แผนงาน Schedule'!$I$7:$I$66-'แผนงาน Schedule'!$H$7:$H$66+1)))</f>
        <v>0.262876923076923</v>
      </c>
      <c r="E16" s="189" t="n">
        <f aca="false">IF(C16="","",SUMPRODUCT('แผนงาน Schedule'!$F$7:$F$66,('แผนงาน Schedule'!$AA$7:$AA$66&lt;=C16)+('แผนงาน Schedule'!$Z$7:$Z$66&lt;=C16)*('แผนงาน Schedule'!$AA$7:$AA$66&gt;C16)*(C16-'แผนงาน Schedule'!$Z$7:$Z$66+1)/('แผนงาน Schedule'!$AA$7:$AA$66-'แผนงาน Schedule'!$Z$7:$Z$66+1)))</f>
        <v>0.262876923076923</v>
      </c>
      <c r="F16" s="190"/>
      <c r="G16" s="189" t="n">
        <f aca="false">IF(OR(C16="",NOT(ISNUMBER(Dashboard!$C$27))),"",IF(C16&lt;Dashboard!$C$7,"",IF(Dashboard!$C$27&lt;=Dashboard!$C$7,1,MIN(1,Dashboard!$C$19+(1-Dashboard!$C$19)*(C16-Dashboard!$C$7)/(Dashboard!$C$27-Dashboard!$C$7)))))</f>
        <v>0.0756881748071979</v>
      </c>
      <c r="H16" s="191" t="str">
        <f aca="false">IF(OR(F16="",D16=""),"",F16-D16)</f>
        <v/>
      </c>
      <c r="I16" s="192" t="n">
        <f aca="false">IF(D16="","",D16*'ตั้งค่า Setup'!$C$9)</f>
        <v>3182913.78461538</v>
      </c>
      <c r="J16" s="192" t="str">
        <f aca="false">IF(OR(C16="",F16=""),"",F16*'ตั้งค่า Setup'!$C$9)</f>
        <v/>
      </c>
      <c r="K16" s="193"/>
      <c r="L16" s="192" t="str">
        <f aca="false">IF(OR(C16="",K16=""),"",SUM(K$7:K16))</f>
        <v/>
      </c>
      <c r="M16" s="193"/>
      <c r="N16" s="192" t="n">
        <f aca="false">IF(OR(C16="",B16&gt;'ตั้งค่า Setup'!$C$15),"",SUM(M$7:M16))</f>
        <v>621140.4</v>
      </c>
      <c r="P16" s="178" t="n">
        <f aca="false">IF(C16&lt;&gt;"",C16,P15)</f>
        <v>46162</v>
      </c>
      <c r="Q16" s="194" t="n">
        <f aca="false">IF(D16&lt;&gt;"",D16,Q15)</f>
        <v>0.262876923076923</v>
      </c>
      <c r="R16" s="178" t="n">
        <f aca="false">IF(Dashboard!$C$63,P16,R15)</f>
        <v>46072</v>
      </c>
      <c r="S16" s="194" t="n">
        <f aca="false">IF(AND(Dashboard!$C$63,E16&lt;&gt;""),E16,S15)</f>
        <v>0</v>
      </c>
      <c r="T16" s="178" t="n">
        <f aca="false">IF(AND(F16&lt;&gt;"",C16&lt;&gt;""),C16,T15)</f>
        <v>46142</v>
      </c>
      <c r="U16" s="194" t="n">
        <f aca="false">IF(AND(F16&lt;&gt;"",C16&lt;&gt;""),F16,U15)</f>
        <v>0.0513</v>
      </c>
      <c r="V16" s="178" t="n">
        <f aca="false">IF(ISNUMBER(G16),C16,V15)</f>
        <v>46162</v>
      </c>
      <c r="W16" s="194" t="n">
        <f aca="false">IF(ISNUMBER(G16),G16,W15)</f>
        <v>0.0756881748071979</v>
      </c>
      <c r="X16" s="195" t="n">
        <f aca="false">IF(I16&lt;&gt;"",I16,X15)</f>
        <v>3182913.78461538</v>
      </c>
      <c r="Y16" s="195" t="n">
        <f aca="false">IF(AND(F16&lt;&gt;"",C16&lt;&gt;""),J16,Y15)</f>
        <v>621140.4</v>
      </c>
      <c r="Z16" s="178" t="n">
        <f aca="false">IF(AND(K16&lt;&gt;"",C16&lt;&gt;""),C16,Z15)</f>
        <v>46072</v>
      </c>
      <c r="AA16" s="195" t="n">
        <f aca="false">IF(AND(K16&lt;&gt;"",C16&lt;&gt;""),L16,AA15)</f>
        <v>0</v>
      </c>
    </row>
    <row r="17" customFormat="false" ht="15" hidden="false" customHeight="false" outlineLevel="0" collapsed="false">
      <c r="A17" s="187" t="n">
        <f aca="false">IF(B17="","",ROW()-6)</f>
        <v>11</v>
      </c>
      <c r="B17" s="188" t="n">
        <f aca="false">IF(C16="","",IF(C16&gt;='ตั้งค่า Setup'!$C$69,"",C16+1))</f>
        <v>46163</v>
      </c>
      <c r="C17" s="188" t="n">
        <f aca="false">IF(B17="","",IF('ตั้งค่า Setup'!$C$16="รายสัปดาห์ / Weekly",B17+6,IF('ตั้งค่า Setup'!$C$16="รายเดือน / Monthly",EOMONTH(B17,0),IF(DAY(B17)&lt;=10,DATE(YEAR(B17),MONTH(B17),10),IF(DAY(B17)&lt;=20,DATE(YEAR(B17),MONTH(B17),20),EOMONTH(B17,0))))))</f>
        <v>46173</v>
      </c>
      <c r="D17" s="189" t="n">
        <f aca="false">IF(C17="","",SUMPRODUCT('แผนงาน Schedule'!$F$7:$F$66,('แผนงาน Schedule'!$I$7:$I$66&lt;=C17)+('แผนงาน Schedule'!$H$7:$H$66&lt;=C17)*('แผนงาน Schedule'!$I$7:$I$66&gt;C17)*(C17-'แผนงาน Schedule'!$H$7:$H$66+1)/('แผนงาน Schedule'!$I$7:$I$66-'แผนงาน Schedule'!$H$7:$H$66+1)))</f>
        <v>0.289911538461538</v>
      </c>
      <c r="E17" s="189" t="n">
        <f aca="false">IF(C17="","",SUMPRODUCT('แผนงาน Schedule'!$F$7:$F$66,('แผนงาน Schedule'!$AA$7:$AA$66&lt;=C17)+('แผนงาน Schedule'!$Z$7:$Z$66&lt;=C17)*('แผนงาน Schedule'!$AA$7:$AA$66&gt;C17)*(C17-'แผนงาน Schedule'!$Z$7:$Z$66+1)/('แผนงาน Schedule'!$AA$7:$AA$66-'แผนงาน Schedule'!$Z$7:$Z$66+1)))</f>
        <v>0.289911538461538</v>
      </c>
      <c r="F17" s="190"/>
      <c r="G17" s="189" t="n">
        <f aca="false">IF(OR(C17="",NOT(ISNUMBER(Dashboard!$C$27))),"",IF(C17&lt;Dashboard!$C$7,"",IF(Dashboard!$C$27&lt;=Dashboard!$C$7,1,MIN(1,Dashboard!$C$19+(1-Dashboard!$C$19)*(C17-Dashboard!$C$7)/(Dashboard!$C$27-Dashboard!$C$7)))))</f>
        <v>0.0891016709511568</v>
      </c>
      <c r="H17" s="191" t="str">
        <f aca="false">IF(OR(F17="",D17=""),"",F17-D17)</f>
        <v/>
      </c>
      <c r="I17" s="192" t="n">
        <f aca="false">IF(D17="","",D17*'ตั้งค่า Setup'!$C$9)</f>
        <v>3510248.90769231</v>
      </c>
      <c r="J17" s="192" t="str">
        <f aca="false">IF(OR(C17="",F17=""),"",F17*'ตั้งค่า Setup'!$C$9)</f>
        <v/>
      </c>
      <c r="K17" s="193"/>
      <c r="L17" s="192" t="str">
        <f aca="false">IF(OR(C17="",K17=""),"",SUM(K$7:K17))</f>
        <v/>
      </c>
      <c r="M17" s="193"/>
      <c r="N17" s="192" t="n">
        <f aca="false">IF(OR(C17="",B17&gt;'ตั้งค่า Setup'!$C$15),"",SUM(M$7:M17))</f>
        <v>621140.4</v>
      </c>
      <c r="P17" s="178" t="n">
        <f aca="false">IF(C17&lt;&gt;"",C17,P16)</f>
        <v>46173</v>
      </c>
      <c r="Q17" s="194" t="n">
        <f aca="false">IF(D17&lt;&gt;"",D17,Q16)</f>
        <v>0.289911538461538</v>
      </c>
      <c r="R17" s="178" t="n">
        <f aca="false">IF(Dashboard!$C$63,P17,R16)</f>
        <v>46072</v>
      </c>
      <c r="S17" s="194" t="n">
        <f aca="false">IF(AND(Dashboard!$C$63,E17&lt;&gt;""),E17,S16)</f>
        <v>0</v>
      </c>
      <c r="T17" s="178" t="n">
        <f aca="false">IF(AND(F17&lt;&gt;"",C17&lt;&gt;""),C17,T16)</f>
        <v>46142</v>
      </c>
      <c r="U17" s="194" t="n">
        <f aca="false">IF(AND(F17&lt;&gt;"",C17&lt;&gt;""),F17,U16)</f>
        <v>0.0513</v>
      </c>
      <c r="V17" s="178" t="n">
        <f aca="false">IF(ISNUMBER(G17),C17,V16)</f>
        <v>46173</v>
      </c>
      <c r="W17" s="194" t="n">
        <f aca="false">IF(ISNUMBER(G17),G17,W16)</f>
        <v>0.0891016709511568</v>
      </c>
      <c r="X17" s="195" t="n">
        <f aca="false">IF(I17&lt;&gt;"",I17,X16)</f>
        <v>3510248.90769231</v>
      </c>
      <c r="Y17" s="195" t="n">
        <f aca="false">IF(AND(F17&lt;&gt;"",C17&lt;&gt;""),J17,Y16)</f>
        <v>621140.4</v>
      </c>
      <c r="Z17" s="178" t="n">
        <f aca="false">IF(AND(K17&lt;&gt;"",C17&lt;&gt;""),C17,Z16)</f>
        <v>46072</v>
      </c>
      <c r="AA17" s="195" t="n">
        <f aca="false">IF(AND(K17&lt;&gt;"",C17&lt;&gt;""),L17,AA16)</f>
        <v>0</v>
      </c>
    </row>
    <row r="18" customFormat="false" ht="15" hidden="false" customHeight="false" outlineLevel="0" collapsed="false">
      <c r="A18" s="187" t="n">
        <f aca="false">IF(B18="","",ROW()-6)</f>
        <v>12</v>
      </c>
      <c r="B18" s="188" t="n">
        <f aca="false">IF(C17="","",IF(C17&gt;='ตั้งค่า Setup'!$C$69,"",C17+1))</f>
        <v>46174</v>
      </c>
      <c r="C18" s="188" t="n">
        <f aca="false">IF(B18="","",IF('ตั้งค่า Setup'!$C$16="รายสัปดาห์ / Weekly",B18+6,IF('ตั้งค่า Setup'!$C$16="รายเดือน / Monthly",EOMONTH(B18,0),IF(DAY(B18)&lt;=10,DATE(YEAR(B18),MONTH(B18),10),IF(DAY(B18)&lt;=20,DATE(YEAR(B18),MONTH(B18),20),EOMONTH(B18,0))))))</f>
        <v>46183</v>
      </c>
      <c r="D18" s="189" t="n">
        <f aca="false">IF(C18="","",SUMPRODUCT('แผนงาน Schedule'!$F$7:$F$66,('แผนงาน Schedule'!$I$7:$I$66&lt;=C18)+('แผนงาน Schedule'!$H$7:$H$66&lt;=C18)*('แผนงาน Schedule'!$I$7:$I$66&gt;C18)*(C18-'แผนงาน Schedule'!$H$7:$H$66+1)/('แผนงาน Schedule'!$I$7:$I$66-'แผนงาน Schedule'!$H$7:$H$66+1)))</f>
        <v>0.32776</v>
      </c>
      <c r="E18" s="189" t="n">
        <f aca="false">IF(C18="","",SUMPRODUCT('แผนงาน Schedule'!$F$7:$F$66,('แผนงาน Schedule'!$AA$7:$AA$66&lt;=C18)+('แผนงาน Schedule'!$Z$7:$Z$66&lt;=C18)*('แผนงาน Schedule'!$AA$7:$AA$66&gt;C18)*(C18-'แผนงาน Schedule'!$Z$7:$Z$66+1)/('แผนงาน Schedule'!$AA$7:$AA$66-'แผนงาน Schedule'!$Z$7:$Z$66+1)))</f>
        <v>0.32776</v>
      </c>
      <c r="F18" s="190"/>
      <c r="G18" s="189" t="n">
        <f aca="false">IF(OR(C18="",NOT(ISNUMBER(Dashboard!$C$27))),"",IF(C18&lt;Dashboard!$C$7,"",IF(Dashboard!$C$27&lt;=Dashboard!$C$7,1,MIN(1,Dashboard!$C$19+(1-Dashboard!$C$19)*(C18-Dashboard!$C$7)/(Dashboard!$C$27-Dashboard!$C$7)))))</f>
        <v>0.101295758354756</v>
      </c>
      <c r="H18" s="191" t="str">
        <f aca="false">IF(OR(F18="",D18=""),"",F18-D18)</f>
        <v/>
      </c>
      <c r="I18" s="192" t="n">
        <f aca="false">IF(D18="","",D18*'ตั้งค่า Setup'!$C$9)</f>
        <v>3968518.08</v>
      </c>
      <c r="J18" s="192" t="str">
        <f aca="false">IF(OR(C18="",F18=""),"",F18*'ตั้งค่า Setup'!$C$9)</f>
        <v/>
      </c>
      <c r="K18" s="193"/>
      <c r="L18" s="192" t="str">
        <f aca="false">IF(OR(C18="",K18=""),"",SUM(K$7:K18))</f>
        <v/>
      </c>
      <c r="M18" s="193"/>
      <c r="N18" s="192" t="n">
        <f aca="false">IF(OR(C18="",B18&gt;'ตั้งค่า Setup'!$C$15),"",SUM(M$7:M18))</f>
        <v>621140.4</v>
      </c>
      <c r="P18" s="178" t="n">
        <f aca="false">IF(C18&lt;&gt;"",C18,P17)</f>
        <v>46183</v>
      </c>
      <c r="Q18" s="194" t="n">
        <f aca="false">IF(D18&lt;&gt;"",D18,Q17)</f>
        <v>0.32776</v>
      </c>
      <c r="R18" s="178" t="n">
        <f aca="false">IF(Dashboard!$C$63,P18,R17)</f>
        <v>46072</v>
      </c>
      <c r="S18" s="194" t="n">
        <f aca="false">IF(AND(Dashboard!$C$63,E18&lt;&gt;""),E18,S17)</f>
        <v>0</v>
      </c>
      <c r="T18" s="178" t="n">
        <f aca="false">IF(AND(F18&lt;&gt;"",C18&lt;&gt;""),C18,T17)</f>
        <v>46142</v>
      </c>
      <c r="U18" s="194" t="n">
        <f aca="false">IF(AND(F18&lt;&gt;"",C18&lt;&gt;""),F18,U17)</f>
        <v>0.0513</v>
      </c>
      <c r="V18" s="178" t="n">
        <f aca="false">IF(ISNUMBER(G18),C18,V17)</f>
        <v>46183</v>
      </c>
      <c r="W18" s="194" t="n">
        <f aca="false">IF(ISNUMBER(G18),G18,W17)</f>
        <v>0.101295758354756</v>
      </c>
      <c r="X18" s="195" t="n">
        <f aca="false">IF(I18&lt;&gt;"",I18,X17)</f>
        <v>3968518.08</v>
      </c>
      <c r="Y18" s="195" t="n">
        <f aca="false">IF(AND(F18&lt;&gt;"",C18&lt;&gt;""),J18,Y17)</f>
        <v>621140.4</v>
      </c>
      <c r="Z18" s="178" t="n">
        <f aca="false">IF(AND(K18&lt;&gt;"",C18&lt;&gt;""),C18,Z17)</f>
        <v>46072</v>
      </c>
      <c r="AA18" s="195" t="n">
        <f aca="false">IF(AND(K18&lt;&gt;"",C18&lt;&gt;""),L18,AA17)</f>
        <v>0</v>
      </c>
    </row>
    <row r="19" customFormat="false" ht="15" hidden="false" customHeight="false" outlineLevel="0" collapsed="false">
      <c r="A19" s="187" t="n">
        <f aca="false">IF(B19="","",ROW()-6)</f>
        <v>13</v>
      </c>
      <c r="B19" s="188" t="n">
        <f aca="false">IF(C18="","",IF(C18&gt;='ตั้งค่า Setup'!$C$69,"",C18+1))</f>
        <v>46184</v>
      </c>
      <c r="C19" s="188" t="n">
        <f aca="false">IF(B19="","",IF('ตั้งค่า Setup'!$C$16="รายสัปดาห์ / Weekly",B19+6,IF('ตั้งค่า Setup'!$C$16="รายเดือน / Monthly",EOMONTH(B19,0),IF(DAY(B19)&lt;=10,DATE(YEAR(B19),MONTH(B19),10),IF(DAY(B19)&lt;=20,DATE(YEAR(B19),MONTH(B19),20),EOMONTH(B19,0))))))</f>
        <v>46193</v>
      </c>
      <c r="D19" s="189" t="n">
        <f aca="false">IF(C19="","",SUMPRODUCT('แผนงาน Schedule'!$F$7:$F$66,('แผนงาน Schedule'!$I$7:$I$66&lt;=C19)+('แผนงาน Schedule'!$H$7:$H$66&lt;=C19)*('แผนงาน Schedule'!$I$7:$I$66&gt;C19)*(C19-'แผนงาน Schedule'!$H$7:$H$66+1)/('แผนงาน Schedule'!$I$7:$I$66-'แผนงาน Schedule'!$H$7:$H$66+1)))</f>
        <v>0.365358709677419</v>
      </c>
      <c r="E19" s="189" t="n">
        <f aca="false">IF(C19="","",SUMPRODUCT('แผนงาน Schedule'!$F$7:$F$66,('แผนงาน Schedule'!$AA$7:$AA$66&lt;=C19)+('แผนงาน Schedule'!$Z$7:$Z$66&lt;=C19)*('แผนงาน Schedule'!$AA$7:$AA$66&gt;C19)*(C19-'แผนงาน Schedule'!$Z$7:$Z$66+1)/('แผนงาน Schedule'!$AA$7:$AA$66-'แผนงาน Schedule'!$Z$7:$Z$66+1)))</f>
        <v>0.365358709677419</v>
      </c>
      <c r="F19" s="190"/>
      <c r="G19" s="189" t="n">
        <f aca="false">IF(OR(C19="",NOT(ISNUMBER(Dashboard!$C$27))),"",IF(C19&lt;Dashboard!$C$7,"",IF(Dashboard!$C$27&lt;=Dashboard!$C$7,1,MIN(1,Dashboard!$C$19+(1-Dashboard!$C$19)*(C19-Dashboard!$C$7)/(Dashboard!$C$27-Dashboard!$C$7)))))</f>
        <v>0.113489845758355</v>
      </c>
      <c r="H19" s="191" t="str">
        <f aca="false">IF(OR(F19="",D19=""),"",F19-D19)</f>
        <v/>
      </c>
      <c r="I19" s="192" t="n">
        <f aca="false">IF(D19="","",D19*'ตั้งค่า Setup'!$C$9)</f>
        <v>4423763.25677419</v>
      </c>
      <c r="J19" s="192" t="str">
        <f aca="false">IF(OR(C19="",F19=""),"",F19*'ตั้งค่า Setup'!$C$9)</f>
        <v/>
      </c>
      <c r="K19" s="193"/>
      <c r="L19" s="192" t="str">
        <f aca="false">IF(OR(C19="",K19=""),"",SUM(K$7:K19))</f>
        <v/>
      </c>
      <c r="M19" s="193"/>
      <c r="N19" s="192" t="n">
        <f aca="false">IF(OR(C19="",B19&gt;'ตั้งค่า Setup'!$C$15),"",SUM(M$7:M19))</f>
        <v>621140.4</v>
      </c>
      <c r="P19" s="178" t="n">
        <f aca="false">IF(C19&lt;&gt;"",C19,P18)</f>
        <v>46193</v>
      </c>
      <c r="Q19" s="194" t="n">
        <f aca="false">IF(D19&lt;&gt;"",D19,Q18)</f>
        <v>0.365358709677419</v>
      </c>
      <c r="R19" s="178" t="n">
        <f aca="false">IF(Dashboard!$C$63,P19,R18)</f>
        <v>46072</v>
      </c>
      <c r="S19" s="194" t="n">
        <f aca="false">IF(AND(Dashboard!$C$63,E19&lt;&gt;""),E19,S18)</f>
        <v>0</v>
      </c>
      <c r="T19" s="178" t="n">
        <f aca="false">IF(AND(F19&lt;&gt;"",C19&lt;&gt;""),C19,T18)</f>
        <v>46142</v>
      </c>
      <c r="U19" s="194" t="n">
        <f aca="false">IF(AND(F19&lt;&gt;"",C19&lt;&gt;""),F19,U18)</f>
        <v>0.0513</v>
      </c>
      <c r="V19" s="178" t="n">
        <f aca="false">IF(ISNUMBER(G19),C19,V18)</f>
        <v>46193</v>
      </c>
      <c r="W19" s="194" t="n">
        <f aca="false">IF(ISNUMBER(G19),G19,W18)</f>
        <v>0.113489845758355</v>
      </c>
      <c r="X19" s="195" t="n">
        <f aca="false">IF(I19&lt;&gt;"",I19,X18)</f>
        <v>4423763.25677419</v>
      </c>
      <c r="Y19" s="195" t="n">
        <f aca="false">IF(AND(F19&lt;&gt;"",C19&lt;&gt;""),J19,Y18)</f>
        <v>621140.4</v>
      </c>
      <c r="Z19" s="178" t="n">
        <f aca="false">IF(AND(K19&lt;&gt;"",C19&lt;&gt;""),C19,Z18)</f>
        <v>46072</v>
      </c>
      <c r="AA19" s="195" t="n">
        <f aca="false">IF(AND(K19&lt;&gt;"",C19&lt;&gt;""),L19,AA18)</f>
        <v>0</v>
      </c>
    </row>
    <row r="20" customFormat="false" ht="15" hidden="false" customHeight="false" outlineLevel="0" collapsed="false">
      <c r="A20" s="187" t="n">
        <f aca="false">IF(B20="","",ROW()-6)</f>
        <v>14</v>
      </c>
      <c r="B20" s="188" t="n">
        <f aca="false">IF(C19="","",IF(C19&gt;='ตั้งค่า Setup'!$C$69,"",C19+1))</f>
        <v>46194</v>
      </c>
      <c r="C20" s="188" t="n">
        <f aca="false">IF(B20="","",IF('ตั้งค่า Setup'!$C$16="รายสัปดาห์ / Weekly",B20+6,IF('ตั้งค่า Setup'!$C$16="รายเดือน / Monthly",EOMONTH(B20,0),IF(DAY(B20)&lt;=10,DATE(YEAR(B20),MONTH(B20),10),IF(DAY(B20)&lt;=20,DATE(YEAR(B20),MONTH(B20),20),EOMONTH(B20,0))))))</f>
        <v>46203</v>
      </c>
      <c r="D20" s="189" t="n">
        <f aca="false">IF(C20="","",SUMPRODUCT('แผนงาน Schedule'!$F$7:$F$66,('แผนงาน Schedule'!$I$7:$I$66&lt;=C20)+('แผนงาน Schedule'!$H$7:$H$66&lt;=C20)*('แผนงาน Schedule'!$I$7:$I$66&gt;C20)*(C20-'แผนงาน Schedule'!$H$7:$H$66+1)/('แผนงาน Schedule'!$I$7:$I$66-'แผนงาน Schedule'!$H$7:$H$66+1)))</f>
        <v>0.398203225806452</v>
      </c>
      <c r="E20" s="189" t="n">
        <f aca="false">IF(C20="","",SUMPRODUCT('แผนงาน Schedule'!$F$7:$F$66,('แผนงาน Schedule'!$AA$7:$AA$66&lt;=C20)+('แผนงาน Schedule'!$Z$7:$Z$66&lt;=C20)*('แผนงาน Schedule'!$AA$7:$AA$66&gt;C20)*(C20-'แผนงาน Schedule'!$Z$7:$Z$66+1)/('แผนงาน Schedule'!$AA$7:$AA$66-'แผนงาน Schedule'!$Z$7:$Z$66+1)))</f>
        <v>0.398203225806452</v>
      </c>
      <c r="F20" s="190"/>
      <c r="G20" s="189" t="n">
        <f aca="false">IF(OR(C20="",NOT(ISNUMBER(Dashboard!$C$27))),"",IF(C20&lt;Dashboard!$C$7,"",IF(Dashboard!$C$27&lt;=Dashboard!$C$7,1,MIN(1,Dashboard!$C$19+(1-Dashboard!$C$19)*(C20-Dashboard!$C$7)/(Dashboard!$C$27-Dashboard!$C$7)))))</f>
        <v>0.125683933161954</v>
      </c>
      <c r="H20" s="191" t="str">
        <f aca="false">IF(OR(F20="",D20=""),"",F20-D20)</f>
        <v/>
      </c>
      <c r="I20" s="192" t="n">
        <f aca="false">IF(D20="","",D20*'ตั้งค่า Setup'!$C$9)</f>
        <v>4821444.65806452</v>
      </c>
      <c r="J20" s="192" t="str">
        <f aca="false">IF(OR(C20="",F20=""),"",F20*'ตั้งค่า Setup'!$C$9)</f>
        <v/>
      </c>
      <c r="K20" s="193"/>
      <c r="L20" s="192" t="str">
        <f aca="false">IF(OR(C20="",K20=""),"",SUM(K$7:K20))</f>
        <v/>
      </c>
      <c r="M20" s="193"/>
      <c r="N20" s="192" t="n">
        <f aca="false">IF(OR(C20="",B20&gt;'ตั้งค่า Setup'!$C$15),"",SUM(M$7:M20))</f>
        <v>621140.4</v>
      </c>
      <c r="P20" s="178" t="n">
        <f aca="false">IF(C20&lt;&gt;"",C20,P19)</f>
        <v>46203</v>
      </c>
      <c r="Q20" s="194" t="n">
        <f aca="false">IF(D20&lt;&gt;"",D20,Q19)</f>
        <v>0.398203225806452</v>
      </c>
      <c r="R20" s="178" t="n">
        <f aca="false">IF(Dashboard!$C$63,P20,R19)</f>
        <v>46072</v>
      </c>
      <c r="S20" s="194" t="n">
        <f aca="false">IF(AND(Dashboard!$C$63,E20&lt;&gt;""),E20,S19)</f>
        <v>0</v>
      </c>
      <c r="T20" s="178" t="n">
        <f aca="false">IF(AND(F20&lt;&gt;"",C20&lt;&gt;""),C20,T19)</f>
        <v>46142</v>
      </c>
      <c r="U20" s="194" t="n">
        <f aca="false">IF(AND(F20&lt;&gt;"",C20&lt;&gt;""),F20,U19)</f>
        <v>0.0513</v>
      </c>
      <c r="V20" s="178" t="n">
        <f aca="false">IF(ISNUMBER(G20),C20,V19)</f>
        <v>46203</v>
      </c>
      <c r="W20" s="194" t="n">
        <f aca="false">IF(ISNUMBER(G20),G20,W19)</f>
        <v>0.125683933161954</v>
      </c>
      <c r="X20" s="195" t="n">
        <f aca="false">IF(I20&lt;&gt;"",I20,X19)</f>
        <v>4821444.65806452</v>
      </c>
      <c r="Y20" s="195" t="n">
        <f aca="false">IF(AND(F20&lt;&gt;"",C20&lt;&gt;""),J20,Y19)</f>
        <v>621140.4</v>
      </c>
      <c r="Z20" s="178" t="n">
        <f aca="false">IF(AND(K20&lt;&gt;"",C20&lt;&gt;""),C20,Z19)</f>
        <v>46072</v>
      </c>
      <c r="AA20" s="195" t="n">
        <f aca="false">IF(AND(K20&lt;&gt;"",C20&lt;&gt;""),L20,AA19)</f>
        <v>0</v>
      </c>
    </row>
    <row r="21" customFormat="false" ht="15" hidden="false" customHeight="false" outlineLevel="0" collapsed="false">
      <c r="A21" s="187" t="n">
        <f aca="false">IF(B21="","",ROW()-6)</f>
        <v>15</v>
      </c>
      <c r="B21" s="188" t="n">
        <f aca="false">IF(C20="","",IF(C20&gt;='ตั้งค่า Setup'!$C$69,"",C20+1))</f>
        <v>46204</v>
      </c>
      <c r="C21" s="188" t="n">
        <f aca="false">IF(B21="","",IF('ตั้งค่า Setup'!$C$16="รายสัปดาห์ / Weekly",B21+6,IF('ตั้งค่า Setup'!$C$16="รายเดือน / Monthly",EOMONTH(B21,0),IF(DAY(B21)&lt;=10,DATE(YEAR(B21),MONTH(B21),10),IF(DAY(B21)&lt;=20,DATE(YEAR(B21),MONTH(B21),20),EOMONTH(B21,0))))))</f>
        <v>46213</v>
      </c>
      <c r="D21" s="189" t="n">
        <f aca="false">IF(C21="","",SUMPRODUCT('แผนงาน Schedule'!$F$7:$F$66,('แผนงาน Schedule'!$I$7:$I$66&lt;=C21)+('แผนงาน Schedule'!$H$7:$H$66&lt;=C21)*('แผนงาน Schedule'!$I$7:$I$66&gt;C21)*(C21-'แผนงาน Schedule'!$H$7:$H$66+1)/('แผนงาน Schedule'!$I$7:$I$66-'แผนงาน Schedule'!$H$7:$H$66+1)))</f>
        <v>0.438919915848527</v>
      </c>
      <c r="E21" s="189" t="n">
        <f aca="false">IF(C21="","",SUMPRODUCT('แผนงาน Schedule'!$F$7:$F$66,('แผนงาน Schedule'!$AA$7:$AA$66&lt;=C21)+('แผนงาน Schedule'!$Z$7:$Z$66&lt;=C21)*('แผนงาน Schedule'!$AA$7:$AA$66&gt;C21)*(C21-'แผนงาน Schedule'!$Z$7:$Z$66+1)/('แผนงาน Schedule'!$AA$7:$AA$66-'แผนงาน Schedule'!$Z$7:$Z$66+1)))</f>
        <v>0.438919915848527</v>
      </c>
      <c r="F21" s="190"/>
      <c r="G21" s="189" t="n">
        <f aca="false">IF(OR(C21="",NOT(ISNUMBER(Dashboard!$C$27))),"",IF(C21&lt;Dashboard!$C$7,"",IF(Dashboard!$C$27&lt;=Dashboard!$C$7,1,MIN(1,Dashboard!$C$19+(1-Dashboard!$C$19)*(C21-Dashboard!$C$7)/(Dashboard!$C$27-Dashboard!$C$7)))))</f>
        <v>0.137878020565553</v>
      </c>
      <c r="H21" s="191" t="str">
        <f aca="false">IF(OR(F21="",D21=""),"",F21-D21)</f>
        <v/>
      </c>
      <c r="I21" s="192" t="n">
        <f aca="false">IF(D21="","",D21*'ตั้งค่า Setup'!$C$9)</f>
        <v>5314442.34109397</v>
      </c>
      <c r="J21" s="192" t="str">
        <f aca="false">IF(OR(C21="",F21=""),"",F21*'ตั้งค่า Setup'!$C$9)</f>
        <v/>
      </c>
      <c r="K21" s="193"/>
      <c r="L21" s="192" t="str">
        <f aca="false">IF(OR(C21="",K21=""),"",SUM(K$7:K21))</f>
        <v/>
      </c>
      <c r="M21" s="193"/>
      <c r="N21" s="192" t="n">
        <f aca="false">IF(OR(C21="",B21&gt;'ตั้งค่า Setup'!$C$15),"",SUM(M$7:M21))</f>
        <v>621140.4</v>
      </c>
      <c r="P21" s="178" t="n">
        <f aca="false">IF(C21&lt;&gt;"",C21,P20)</f>
        <v>46213</v>
      </c>
      <c r="Q21" s="194" t="n">
        <f aca="false">IF(D21&lt;&gt;"",D21,Q20)</f>
        <v>0.438919915848527</v>
      </c>
      <c r="R21" s="178" t="n">
        <f aca="false">IF(Dashboard!$C$63,P21,R20)</f>
        <v>46072</v>
      </c>
      <c r="S21" s="194" t="n">
        <f aca="false">IF(AND(Dashboard!$C$63,E21&lt;&gt;""),E21,S20)</f>
        <v>0</v>
      </c>
      <c r="T21" s="178" t="n">
        <f aca="false">IF(AND(F21&lt;&gt;"",C21&lt;&gt;""),C21,T20)</f>
        <v>46142</v>
      </c>
      <c r="U21" s="194" t="n">
        <f aca="false">IF(AND(F21&lt;&gt;"",C21&lt;&gt;""),F21,U20)</f>
        <v>0.0513</v>
      </c>
      <c r="V21" s="178" t="n">
        <f aca="false">IF(ISNUMBER(G21),C21,V20)</f>
        <v>46213</v>
      </c>
      <c r="W21" s="194" t="n">
        <f aca="false">IF(ISNUMBER(G21),G21,W20)</f>
        <v>0.137878020565553</v>
      </c>
      <c r="X21" s="195" t="n">
        <f aca="false">IF(I21&lt;&gt;"",I21,X20)</f>
        <v>5314442.34109397</v>
      </c>
      <c r="Y21" s="195" t="n">
        <f aca="false">IF(AND(F21&lt;&gt;"",C21&lt;&gt;""),J21,Y20)</f>
        <v>621140.4</v>
      </c>
      <c r="Z21" s="178" t="n">
        <f aca="false">IF(AND(K21&lt;&gt;"",C21&lt;&gt;""),C21,Z20)</f>
        <v>46072</v>
      </c>
      <c r="AA21" s="195" t="n">
        <f aca="false">IF(AND(K21&lt;&gt;"",C21&lt;&gt;""),L21,AA20)</f>
        <v>0</v>
      </c>
    </row>
    <row r="22" customFormat="false" ht="15" hidden="false" customHeight="false" outlineLevel="0" collapsed="false">
      <c r="A22" s="187" t="n">
        <f aca="false">IF(B22="","",ROW()-6)</f>
        <v>16</v>
      </c>
      <c r="B22" s="188" t="n">
        <f aca="false">IF(C21="","",IF(C21&gt;='ตั้งค่า Setup'!$C$69,"",C21+1))</f>
        <v>46214</v>
      </c>
      <c r="C22" s="188" t="n">
        <f aca="false">IF(B22="","",IF('ตั้งค่า Setup'!$C$16="รายสัปดาห์ / Weekly",B22+6,IF('ตั้งค่า Setup'!$C$16="รายเดือน / Monthly",EOMONTH(B22,0),IF(DAY(B22)&lt;=10,DATE(YEAR(B22),MONTH(B22),10),IF(DAY(B22)&lt;=20,DATE(YEAR(B22),MONTH(B22),20),EOMONTH(B22,0))))))</f>
        <v>46223</v>
      </c>
      <c r="D22" s="189" t="n">
        <f aca="false">IF(C22="","",SUMPRODUCT('แผนงาน Schedule'!$F$7:$F$66,('แผนงาน Schedule'!$I$7:$I$66&lt;=C22)+('แผนงาน Schedule'!$H$7:$H$66&lt;=C22)*('แผนงาน Schedule'!$I$7:$I$66&gt;C22)*(C22-'แผนงาน Schedule'!$H$7:$H$66+1)/('แผนงาน Schedule'!$I$7:$I$66-'แผนงาน Schedule'!$H$7:$H$66+1)))</f>
        <v>0.523866847826087</v>
      </c>
      <c r="E22" s="189" t="n">
        <f aca="false">IF(C22="","",SUMPRODUCT('แผนงาน Schedule'!$F$7:$F$66,('แผนงาน Schedule'!$AA$7:$AA$66&lt;=C22)+('แผนงาน Schedule'!$Z$7:$Z$66&lt;=C22)*('แผนงาน Schedule'!$AA$7:$AA$66&gt;C22)*(C22-'แผนงาน Schedule'!$Z$7:$Z$66+1)/('แผนงาน Schedule'!$AA$7:$AA$66-'แผนงาน Schedule'!$Z$7:$Z$66+1)))</f>
        <v>0.523866847826087</v>
      </c>
      <c r="F22" s="190"/>
      <c r="G22" s="189" t="n">
        <f aca="false">IF(OR(C22="",NOT(ISNUMBER(Dashboard!$C$27))),"",IF(C22&lt;Dashboard!$C$7,"",IF(Dashboard!$C$27&lt;=Dashboard!$C$7,1,MIN(1,Dashboard!$C$19+(1-Dashboard!$C$19)*(C22-Dashboard!$C$7)/(Dashboard!$C$27-Dashboard!$C$7)))))</f>
        <v>0.150072107969152</v>
      </c>
      <c r="H22" s="191" t="str">
        <f aca="false">IF(OR(F22="",D22=""),"",F22-D22)</f>
        <v/>
      </c>
      <c r="I22" s="192" t="n">
        <f aca="false">IF(D22="","",D22*'ตั้งค่า Setup'!$C$9)</f>
        <v>6342979.79347826</v>
      </c>
      <c r="J22" s="192" t="str">
        <f aca="false">IF(OR(C22="",F22=""),"",F22*'ตั้งค่า Setup'!$C$9)</f>
        <v/>
      </c>
      <c r="K22" s="193"/>
      <c r="L22" s="192" t="str">
        <f aca="false">IF(OR(C22="",K22=""),"",SUM(K$7:K22))</f>
        <v/>
      </c>
      <c r="M22" s="193"/>
      <c r="N22" s="192" t="n">
        <f aca="false">IF(OR(C22="",B22&gt;'ตั้งค่า Setup'!$C$15),"",SUM(M$7:M22))</f>
        <v>621140.4</v>
      </c>
      <c r="P22" s="178" t="n">
        <f aca="false">IF(C22&lt;&gt;"",C22,P21)</f>
        <v>46223</v>
      </c>
      <c r="Q22" s="194" t="n">
        <f aca="false">IF(D22&lt;&gt;"",D22,Q21)</f>
        <v>0.523866847826087</v>
      </c>
      <c r="R22" s="178" t="n">
        <f aca="false">IF(Dashboard!$C$63,P22,R21)</f>
        <v>46072</v>
      </c>
      <c r="S22" s="194" t="n">
        <f aca="false">IF(AND(Dashboard!$C$63,E22&lt;&gt;""),E22,S21)</f>
        <v>0</v>
      </c>
      <c r="T22" s="178" t="n">
        <f aca="false">IF(AND(F22&lt;&gt;"",C22&lt;&gt;""),C22,T21)</f>
        <v>46142</v>
      </c>
      <c r="U22" s="194" t="n">
        <f aca="false">IF(AND(F22&lt;&gt;"",C22&lt;&gt;""),F22,U21)</f>
        <v>0.0513</v>
      </c>
      <c r="V22" s="178" t="n">
        <f aca="false">IF(ISNUMBER(G22),C22,V21)</f>
        <v>46223</v>
      </c>
      <c r="W22" s="194" t="n">
        <f aca="false">IF(ISNUMBER(G22),G22,W21)</f>
        <v>0.150072107969152</v>
      </c>
      <c r="X22" s="195" t="n">
        <f aca="false">IF(I22&lt;&gt;"",I22,X21)</f>
        <v>6342979.79347826</v>
      </c>
      <c r="Y22" s="195" t="n">
        <f aca="false">IF(AND(F22&lt;&gt;"",C22&lt;&gt;""),J22,Y21)</f>
        <v>621140.4</v>
      </c>
      <c r="Z22" s="178" t="n">
        <f aca="false">IF(AND(K22&lt;&gt;"",C22&lt;&gt;""),C22,Z21)</f>
        <v>46072</v>
      </c>
      <c r="AA22" s="195" t="n">
        <f aca="false">IF(AND(K22&lt;&gt;"",C22&lt;&gt;""),L22,AA21)</f>
        <v>0</v>
      </c>
    </row>
    <row r="23" customFormat="false" ht="15" hidden="false" customHeight="false" outlineLevel="0" collapsed="false">
      <c r="A23" s="187" t="n">
        <f aca="false">IF(B23="","",ROW()-6)</f>
        <v>17</v>
      </c>
      <c r="B23" s="188" t="n">
        <f aca="false">IF(C22="","",IF(C22&gt;='ตั้งค่า Setup'!$C$69,"",C22+1))</f>
        <v>46224</v>
      </c>
      <c r="C23" s="188" t="n">
        <f aca="false">IF(B23="","",IF('ตั้งค่า Setup'!$C$16="รายสัปดาห์ / Weekly",B23+6,IF('ตั้งค่า Setup'!$C$16="รายเดือน / Monthly",EOMONTH(B23,0),IF(DAY(B23)&lt;=10,DATE(YEAR(B23),MONTH(B23),10),IF(DAY(B23)&lt;=20,DATE(YEAR(B23),MONTH(B23),20),EOMONTH(B23,0))))))</f>
        <v>46234</v>
      </c>
      <c r="D23" s="189" t="n">
        <f aca="false">IF(C23="","",SUMPRODUCT('แผนงาน Schedule'!$F$7:$F$66,('แผนงาน Schedule'!$I$7:$I$66&lt;=C23)+('แผนงาน Schedule'!$H$7:$H$66&lt;=C23)*('แผนงาน Schedule'!$I$7:$I$66&gt;C23)*(C23-'แผนงาน Schedule'!$H$7:$H$66+1)/('แผนงาน Schedule'!$I$7:$I$66-'แผนงาน Schedule'!$H$7:$H$66+1)))</f>
        <v>0.612124025715801</v>
      </c>
      <c r="E23" s="189" t="n">
        <f aca="false">IF(C23="","",SUMPRODUCT('แผนงาน Schedule'!$F$7:$F$66,('แผนงาน Schedule'!$AA$7:$AA$66&lt;=C23)+('แผนงาน Schedule'!$Z$7:$Z$66&lt;=C23)*('แผนงาน Schedule'!$AA$7:$AA$66&gt;C23)*(C23-'แผนงาน Schedule'!$Z$7:$Z$66+1)/('แผนงาน Schedule'!$AA$7:$AA$66-'แผนงาน Schedule'!$Z$7:$Z$66+1)))</f>
        <v>0.612124025715801</v>
      </c>
      <c r="F23" s="190"/>
      <c r="G23" s="189" t="n">
        <f aca="false">IF(OR(C23="",NOT(ISNUMBER(Dashboard!$C$27))),"",IF(C23&lt;Dashboard!$C$7,"",IF(Dashboard!$C$27&lt;=Dashboard!$C$7,1,MIN(1,Dashboard!$C$19+(1-Dashboard!$C$19)*(C23-Dashboard!$C$7)/(Dashboard!$C$27-Dashboard!$C$7)))))</f>
        <v>0.163485604113111</v>
      </c>
      <c r="H23" s="191" t="str">
        <f aca="false">IF(OR(F23="",D23=""),"",F23-D23)</f>
        <v/>
      </c>
      <c r="I23" s="192" t="n">
        <f aca="false">IF(D23="","",D23*'ตั้งค่า Setup'!$C$9)</f>
        <v>7411597.70336691</v>
      </c>
      <c r="J23" s="192" t="str">
        <f aca="false">IF(OR(C23="",F23=""),"",F23*'ตั้งค่า Setup'!$C$9)</f>
        <v/>
      </c>
      <c r="K23" s="193"/>
      <c r="L23" s="192" t="str">
        <f aca="false">IF(OR(C23="",K23=""),"",SUM(K$7:K23))</f>
        <v/>
      </c>
      <c r="M23" s="193"/>
      <c r="N23" s="192" t="n">
        <f aca="false">IF(OR(C23="",B23&gt;'ตั้งค่า Setup'!$C$15),"",SUM(M$7:M23))</f>
        <v>621140.4</v>
      </c>
      <c r="P23" s="178" t="n">
        <f aca="false">IF(C23&lt;&gt;"",C23,P22)</f>
        <v>46234</v>
      </c>
      <c r="Q23" s="194" t="n">
        <f aca="false">IF(D23&lt;&gt;"",D23,Q22)</f>
        <v>0.612124025715801</v>
      </c>
      <c r="R23" s="178" t="n">
        <f aca="false">IF(Dashboard!$C$63,P23,R22)</f>
        <v>46072</v>
      </c>
      <c r="S23" s="194" t="n">
        <f aca="false">IF(AND(Dashboard!$C$63,E23&lt;&gt;""),E23,S22)</f>
        <v>0</v>
      </c>
      <c r="T23" s="178" t="n">
        <f aca="false">IF(AND(F23&lt;&gt;"",C23&lt;&gt;""),C23,T22)</f>
        <v>46142</v>
      </c>
      <c r="U23" s="194" t="n">
        <f aca="false">IF(AND(F23&lt;&gt;"",C23&lt;&gt;""),F23,U22)</f>
        <v>0.0513</v>
      </c>
      <c r="V23" s="178" t="n">
        <f aca="false">IF(ISNUMBER(G23),C23,V22)</f>
        <v>46234</v>
      </c>
      <c r="W23" s="194" t="n">
        <f aca="false">IF(ISNUMBER(G23),G23,W22)</f>
        <v>0.163485604113111</v>
      </c>
      <c r="X23" s="195" t="n">
        <f aca="false">IF(I23&lt;&gt;"",I23,X22)</f>
        <v>7411597.70336691</v>
      </c>
      <c r="Y23" s="195" t="n">
        <f aca="false">IF(AND(F23&lt;&gt;"",C23&lt;&gt;""),J23,Y22)</f>
        <v>621140.4</v>
      </c>
      <c r="Z23" s="178" t="n">
        <f aca="false">IF(AND(K23&lt;&gt;"",C23&lt;&gt;""),C23,Z22)</f>
        <v>46072</v>
      </c>
      <c r="AA23" s="195" t="n">
        <f aca="false">IF(AND(K23&lt;&gt;"",C23&lt;&gt;""),L23,AA22)</f>
        <v>0</v>
      </c>
    </row>
    <row r="24" customFormat="false" ht="15" hidden="false" customHeight="false" outlineLevel="0" collapsed="false">
      <c r="A24" s="187" t="n">
        <f aca="false">IF(B24="","",ROW()-6)</f>
        <v>18</v>
      </c>
      <c r="B24" s="188" t="n">
        <f aca="false">IF(C23="","",IF(C23&gt;='ตั้งค่า Setup'!$C$69,"",C23+1))</f>
        <v>46235</v>
      </c>
      <c r="C24" s="188" t="n">
        <f aca="false">IF(B24="","",IF('ตั้งค่า Setup'!$C$16="รายสัปดาห์ / Weekly",B24+6,IF('ตั้งค่า Setup'!$C$16="รายเดือน / Monthly",EOMONTH(B24,0),IF(DAY(B24)&lt;=10,DATE(YEAR(B24),MONTH(B24),10),IF(DAY(B24)&lt;=20,DATE(YEAR(B24),MONTH(B24),20),EOMONTH(B24,0))))))</f>
        <v>46244</v>
      </c>
      <c r="D24" s="189" t="n">
        <f aca="false">IF(C24="","",SUMPRODUCT('แผนงาน Schedule'!$F$7:$F$66,('แผนงาน Schedule'!$I$7:$I$66&lt;=C24)+('แผนงาน Schedule'!$H$7:$H$66&lt;=C24)*('แผนงาน Schedule'!$I$7:$I$66&gt;C24)*(C24-'แผนงาน Schedule'!$H$7:$H$66+1)/('แผนงาน Schedule'!$I$7:$I$66-'แผนงาน Schedule'!$H$7:$H$66+1)))</f>
        <v>0.672994187433722</v>
      </c>
      <c r="E24" s="189" t="n">
        <f aca="false">IF(C24="","",SUMPRODUCT('แผนงาน Schedule'!$F$7:$F$66,('แผนงาน Schedule'!$AA$7:$AA$66&lt;=C24)+('แผนงาน Schedule'!$Z$7:$Z$66&lt;=C24)*('แผนงาน Schedule'!$AA$7:$AA$66&gt;C24)*(C24-'แผนงาน Schedule'!$Z$7:$Z$66+1)/('แผนงาน Schedule'!$AA$7:$AA$66-'แผนงาน Schedule'!$Z$7:$Z$66+1)))</f>
        <v>0.672994187433722</v>
      </c>
      <c r="F24" s="190"/>
      <c r="G24" s="189" t="n">
        <f aca="false">IF(OR(C24="",NOT(ISNUMBER(Dashboard!$C$27))),"",IF(C24&lt;Dashboard!$C$7,"",IF(Dashboard!$C$27&lt;=Dashboard!$C$7,1,MIN(1,Dashboard!$C$19+(1-Dashboard!$C$19)*(C24-Dashboard!$C$7)/(Dashboard!$C$27-Dashboard!$C$7)))))</f>
        <v>0.17567969151671</v>
      </c>
      <c r="H24" s="191" t="str">
        <f aca="false">IF(OR(F24="",D24=""),"",F24-D24)</f>
        <v/>
      </c>
      <c r="I24" s="192" t="n">
        <f aca="false">IF(D24="","",D24*'ตั้งค่า Setup'!$C$9)</f>
        <v>8148613.62144751</v>
      </c>
      <c r="J24" s="192" t="str">
        <f aca="false">IF(OR(C24="",F24=""),"",F24*'ตั้งค่า Setup'!$C$9)</f>
        <v/>
      </c>
      <c r="K24" s="193"/>
      <c r="L24" s="192" t="str">
        <f aca="false">IF(OR(C24="",K24=""),"",SUM(K$7:K24))</f>
        <v/>
      </c>
      <c r="M24" s="193"/>
      <c r="N24" s="192" t="n">
        <f aca="false">IF(OR(C24="",B24&gt;'ตั้งค่า Setup'!$C$15),"",SUM(M$7:M24))</f>
        <v>621140.4</v>
      </c>
      <c r="P24" s="178" t="n">
        <f aca="false">IF(C24&lt;&gt;"",C24,P23)</f>
        <v>46244</v>
      </c>
      <c r="Q24" s="194" t="n">
        <f aca="false">IF(D24&lt;&gt;"",D24,Q23)</f>
        <v>0.672994187433722</v>
      </c>
      <c r="R24" s="178" t="n">
        <f aca="false">IF(Dashboard!$C$63,P24,R23)</f>
        <v>46072</v>
      </c>
      <c r="S24" s="194" t="n">
        <f aca="false">IF(AND(Dashboard!$C$63,E24&lt;&gt;""),E24,S23)</f>
        <v>0</v>
      </c>
      <c r="T24" s="178" t="n">
        <f aca="false">IF(AND(F24&lt;&gt;"",C24&lt;&gt;""),C24,T23)</f>
        <v>46142</v>
      </c>
      <c r="U24" s="194" t="n">
        <f aca="false">IF(AND(F24&lt;&gt;"",C24&lt;&gt;""),F24,U23)</f>
        <v>0.0513</v>
      </c>
      <c r="V24" s="178" t="n">
        <f aca="false">IF(ISNUMBER(G24),C24,V23)</f>
        <v>46244</v>
      </c>
      <c r="W24" s="194" t="n">
        <f aca="false">IF(ISNUMBER(G24),G24,W23)</f>
        <v>0.17567969151671</v>
      </c>
      <c r="X24" s="195" t="n">
        <f aca="false">IF(I24&lt;&gt;"",I24,X23)</f>
        <v>8148613.62144751</v>
      </c>
      <c r="Y24" s="195" t="n">
        <f aca="false">IF(AND(F24&lt;&gt;"",C24&lt;&gt;""),J24,Y23)</f>
        <v>621140.4</v>
      </c>
      <c r="Z24" s="178" t="n">
        <f aca="false">IF(AND(K24&lt;&gt;"",C24&lt;&gt;""),C24,Z23)</f>
        <v>46072</v>
      </c>
      <c r="AA24" s="195" t="n">
        <f aca="false">IF(AND(K24&lt;&gt;"",C24&lt;&gt;""),L24,AA23)</f>
        <v>0</v>
      </c>
    </row>
    <row r="25" customFormat="false" ht="15" hidden="false" customHeight="false" outlineLevel="0" collapsed="false">
      <c r="A25" s="187" t="n">
        <f aca="false">IF(B25="","",ROW()-6)</f>
        <v>19</v>
      </c>
      <c r="B25" s="188" t="n">
        <f aca="false">IF(C24="","",IF(C24&gt;='ตั้งค่า Setup'!$C$69,"",C24+1))</f>
        <v>46245</v>
      </c>
      <c r="C25" s="188" t="n">
        <f aca="false">IF(B25="","",IF('ตั้งค่า Setup'!$C$16="รายสัปดาห์ / Weekly",B25+6,IF('ตั้งค่า Setup'!$C$16="รายเดือน / Monthly",EOMONTH(B25,0),IF(DAY(B25)&lt;=10,DATE(YEAR(B25),MONTH(B25),10),IF(DAY(B25)&lt;=20,DATE(YEAR(B25),MONTH(B25),20),EOMONTH(B25,0))))))</f>
        <v>46254</v>
      </c>
      <c r="D25" s="189" t="n">
        <f aca="false">IF(C25="","",SUMPRODUCT('แผนงาน Schedule'!$F$7:$F$66,('แผนงาน Schedule'!$I$7:$I$66&lt;=C25)+('แผนงาน Schedule'!$H$7:$H$66&lt;=C25)*('แผนงาน Schedule'!$I$7:$I$66&gt;C25)*(C25-'แผนงาน Schedule'!$H$7:$H$66+1)/('แผนงาน Schedule'!$I$7:$I$66-'แผนงาน Schedule'!$H$7:$H$66+1)))</f>
        <v>0.716724057649667</v>
      </c>
      <c r="E25" s="189" t="n">
        <f aca="false">IF(C25="","",SUMPRODUCT('แผนงาน Schedule'!$F$7:$F$66,('แผนงาน Schedule'!$AA$7:$AA$66&lt;=C25)+('แผนงาน Schedule'!$Z$7:$Z$66&lt;=C25)*('แผนงาน Schedule'!$AA$7:$AA$66&gt;C25)*(C25-'แผนงาน Schedule'!$Z$7:$Z$66+1)/('แผนงาน Schedule'!$AA$7:$AA$66-'แผนงาน Schedule'!$Z$7:$Z$66+1)))</f>
        <v>0.716724057649667</v>
      </c>
      <c r="F25" s="190"/>
      <c r="G25" s="189" t="n">
        <f aca="false">IF(OR(C25="",NOT(ISNUMBER(Dashboard!$C$27))),"",IF(C25&lt;Dashboard!$C$7,"",IF(Dashboard!$C$27&lt;=Dashboard!$C$7,1,MIN(1,Dashboard!$C$19+(1-Dashboard!$C$19)*(C25-Dashboard!$C$7)/(Dashboard!$C$27-Dashboard!$C$7)))))</f>
        <v>0.187873778920309</v>
      </c>
      <c r="H25" s="191" t="str">
        <f aca="false">IF(OR(F25="",D25=""),"",F25-D25)</f>
        <v/>
      </c>
      <c r="I25" s="192" t="n">
        <f aca="false">IF(D25="","",D25*'ตั้งค่า Setup'!$C$9)</f>
        <v>8678094.89002217</v>
      </c>
      <c r="J25" s="192" t="str">
        <f aca="false">IF(OR(C25="",F25=""),"",F25*'ตั้งค่า Setup'!$C$9)</f>
        <v/>
      </c>
      <c r="K25" s="193"/>
      <c r="L25" s="192" t="str">
        <f aca="false">IF(OR(C25="",K25=""),"",SUM(K$7:K25))</f>
        <v/>
      </c>
      <c r="M25" s="193"/>
      <c r="N25" s="192" t="n">
        <f aca="false">IF(OR(C25="",B25&gt;'ตั้งค่า Setup'!$C$15),"",SUM(M$7:M25))</f>
        <v>621140.4</v>
      </c>
      <c r="P25" s="178" t="n">
        <f aca="false">IF(C25&lt;&gt;"",C25,P24)</f>
        <v>46254</v>
      </c>
      <c r="Q25" s="194" t="n">
        <f aca="false">IF(D25&lt;&gt;"",D25,Q24)</f>
        <v>0.716724057649667</v>
      </c>
      <c r="R25" s="178" t="n">
        <f aca="false">IF(Dashboard!$C$63,P25,R24)</f>
        <v>46072</v>
      </c>
      <c r="S25" s="194" t="n">
        <f aca="false">IF(AND(Dashboard!$C$63,E25&lt;&gt;""),E25,S24)</f>
        <v>0</v>
      </c>
      <c r="T25" s="178" t="n">
        <f aca="false">IF(AND(F25&lt;&gt;"",C25&lt;&gt;""),C25,T24)</f>
        <v>46142</v>
      </c>
      <c r="U25" s="194" t="n">
        <f aca="false">IF(AND(F25&lt;&gt;"",C25&lt;&gt;""),F25,U24)</f>
        <v>0.0513</v>
      </c>
      <c r="V25" s="178" t="n">
        <f aca="false">IF(ISNUMBER(G25),C25,V24)</f>
        <v>46254</v>
      </c>
      <c r="W25" s="194" t="n">
        <f aca="false">IF(ISNUMBER(G25),G25,W24)</f>
        <v>0.187873778920309</v>
      </c>
      <c r="X25" s="195" t="n">
        <f aca="false">IF(I25&lt;&gt;"",I25,X24)</f>
        <v>8678094.89002217</v>
      </c>
      <c r="Y25" s="195" t="n">
        <f aca="false">IF(AND(F25&lt;&gt;"",C25&lt;&gt;""),J25,Y24)</f>
        <v>621140.4</v>
      </c>
      <c r="Z25" s="178" t="n">
        <f aca="false">IF(AND(K25&lt;&gt;"",C25&lt;&gt;""),C25,Z24)</f>
        <v>46072</v>
      </c>
      <c r="AA25" s="195" t="n">
        <f aca="false">IF(AND(K25&lt;&gt;"",C25&lt;&gt;""),L25,AA24)</f>
        <v>0</v>
      </c>
    </row>
    <row r="26" customFormat="false" ht="15" hidden="false" customHeight="false" outlineLevel="0" collapsed="false">
      <c r="A26" s="187" t="n">
        <f aca="false">IF(B26="","",ROW()-6)</f>
        <v>20</v>
      </c>
      <c r="B26" s="188" t="n">
        <f aca="false">IF(C25="","",IF(C25&gt;='ตั้งค่า Setup'!$C$69,"",C25+1))</f>
        <v>46255</v>
      </c>
      <c r="C26" s="188" t="n">
        <f aca="false">IF(B26="","",IF('ตั้งค่า Setup'!$C$16="รายสัปดาห์ / Weekly",B26+6,IF('ตั้งค่า Setup'!$C$16="รายเดือน / Monthly",EOMONTH(B26,0),IF(DAY(B26)&lt;=10,DATE(YEAR(B26),MONTH(B26),10),IF(DAY(B26)&lt;=20,DATE(YEAR(B26),MONTH(B26),20),EOMONTH(B26,0))))))</f>
        <v>46265</v>
      </c>
      <c r="D26" s="189" t="n">
        <f aca="false">IF(C26="","",SUMPRODUCT('แผนงาน Schedule'!$F$7:$F$66,('แผนงาน Schedule'!$I$7:$I$66&lt;=C26)+('แผนงาน Schedule'!$H$7:$H$66&lt;=C26)*('แผนงาน Schedule'!$I$7:$I$66&gt;C26)*(C26-'แผนงาน Schedule'!$H$7:$H$66+1)/('แผนงาน Schedule'!$I$7:$I$66-'แผนงาน Schedule'!$H$7:$H$66+1)))</f>
        <v>0.769454545454545</v>
      </c>
      <c r="E26" s="189" t="n">
        <f aca="false">IF(C26="","",SUMPRODUCT('แผนงาน Schedule'!$F$7:$F$66,('แผนงาน Schedule'!$AA$7:$AA$66&lt;=C26)+('แผนงาน Schedule'!$Z$7:$Z$66&lt;=C26)*('แผนงาน Schedule'!$AA$7:$AA$66&gt;C26)*(C26-'แผนงาน Schedule'!$Z$7:$Z$66+1)/('แผนงาน Schedule'!$AA$7:$AA$66-'แผนงาน Schedule'!$Z$7:$Z$66+1)))</f>
        <v>0.769454545454545</v>
      </c>
      <c r="F26" s="190"/>
      <c r="G26" s="189" t="n">
        <f aca="false">IF(OR(C26="",NOT(ISNUMBER(Dashboard!$C$27))),"",IF(C26&lt;Dashboard!$C$7,"",IF(Dashboard!$C$27&lt;=Dashboard!$C$7,1,MIN(1,Dashboard!$C$19+(1-Dashboard!$C$19)*(C26-Dashboard!$C$7)/(Dashboard!$C$27-Dashboard!$C$7)))))</f>
        <v>0.201287275064267</v>
      </c>
      <c r="H26" s="191" t="str">
        <f aca="false">IF(OR(F26="",D26=""),"",F26-D26)</f>
        <v/>
      </c>
      <c r="I26" s="192" t="n">
        <f aca="false">IF(D26="","",D26*'ตั้งค่า Setup'!$C$9)</f>
        <v>9316555.63636364</v>
      </c>
      <c r="J26" s="192" t="str">
        <f aca="false">IF(OR(C26="",F26=""),"",F26*'ตั้งค่า Setup'!$C$9)</f>
        <v/>
      </c>
      <c r="K26" s="193"/>
      <c r="L26" s="192" t="str">
        <f aca="false">IF(OR(C26="",K26=""),"",SUM(K$7:K26))</f>
        <v/>
      </c>
      <c r="M26" s="193"/>
      <c r="N26" s="192" t="n">
        <f aca="false">IF(OR(C26="",B26&gt;'ตั้งค่า Setup'!$C$15),"",SUM(M$7:M26))</f>
        <v>621140.4</v>
      </c>
      <c r="P26" s="178" t="n">
        <f aca="false">IF(C26&lt;&gt;"",C26,P25)</f>
        <v>46265</v>
      </c>
      <c r="Q26" s="194" t="n">
        <f aca="false">IF(D26&lt;&gt;"",D26,Q25)</f>
        <v>0.769454545454545</v>
      </c>
      <c r="R26" s="178" t="n">
        <f aca="false">IF(Dashboard!$C$63,P26,R25)</f>
        <v>46072</v>
      </c>
      <c r="S26" s="194" t="n">
        <f aca="false">IF(AND(Dashboard!$C$63,E26&lt;&gt;""),E26,S25)</f>
        <v>0</v>
      </c>
      <c r="T26" s="178" t="n">
        <f aca="false">IF(AND(F26&lt;&gt;"",C26&lt;&gt;""),C26,T25)</f>
        <v>46142</v>
      </c>
      <c r="U26" s="194" t="n">
        <f aca="false">IF(AND(F26&lt;&gt;"",C26&lt;&gt;""),F26,U25)</f>
        <v>0.0513</v>
      </c>
      <c r="V26" s="178" t="n">
        <f aca="false">IF(ISNUMBER(G26),C26,V25)</f>
        <v>46265</v>
      </c>
      <c r="W26" s="194" t="n">
        <f aca="false">IF(ISNUMBER(G26),G26,W25)</f>
        <v>0.201287275064267</v>
      </c>
      <c r="X26" s="195" t="n">
        <f aca="false">IF(I26&lt;&gt;"",I26,X25)</f>
        <v>9316555.63636364</v>
      </c>
      <c r="Y26" s="195" t="n">
        <f aca="false">IF(AND(F26&lt;&gt;"",C26&lt;&gt;""),J26,Y25)</f>
        <v>621140.4</v>
      </c>
      <c r="Z26" s="178" t="n">
        <f aca="false">IF(AND(K26&lt;&gt;"",C26&lt;&gt;""),C26,Z25)</f>
        <v>46072</v>
      </c>
      <c r="AA26" s="195" t="n">
        <f aca="false">IF(AND(K26&lt;&gt;"",C26&lt;&gt;""),L26,AA25)</f>
        <v>0</v>
      </c>
    </row>
    <row r="27" customFormat="false" ht="15" hidden="false" customHeight="false" outlineLevel="0" collapsed="false">
      <c r="A27" s="187" t="n">
        <f aca="false">IF(B27="","",ROW()-6)</f>
        <v>21</v>
      </c>
      <c r="B27" s="188" t="n">
        <f aca="false">IF(C26="","",IF(C26&gt;='ตั้งค่า Setup'!$C$69,"",C26+1))</f>
        <v>46266</v>
      </c>
      <c r="C27" s="188" t="n">
        <f aca="false">IF(B27="","",IF('ตั้งค่า Setup'!$C$16="รายสัปดาห์ / Weekly",B27+6,IF('ตั้งค่า Setup'!$C$16="รายเดือน / Monthly",EOMONTH(B27,0),IF(DAY(B27)&lt;=10,DATE(YEAR(B27),MONTH(B27),10),IF(DAY(B27)&lt;=20,DATE(YEAR(B27),MONTH(B27),20),EOMONTH(B27,0))))))</f>
        <v>46275</v>
      </c>
      <c r="D27" s="189" t="n">
        <f aca="false">IF(C27="","",SUMPRODUCT('แผนงาน Schedule'!$F$7:$F$66,('แผนงาน Schedule'!$I$7:$I$66&lt;=C27)+('แผนงาน Schedule'!$H$7:$H$66&lt;=C27)*('แผนงาน Schedule'!$I$7:$I$66&gt;C27)*(C27-'แผนงาน Schedule'!$H$7:$H$66+1)/('แผนงาน Schedule'!$I$7:$I$66-'แผนงาน Schedule'!$H$7:$H$66+1)))</f>
        <v>0.8198</v>
      </c>
      <c r="E27" s="189" t="n">
        <f aca="false">IF(C27="","",SUMPRODUCT('แผนงาน Schedule'!$F$7:$F$66,('แผนงาน Schedule'!$AA$7:$AA$66&lt;=C27)+('แผนงาน Schedule'!$Z$7:$Z$66&lt;=C27)*('แผนงาน Schedule'!$AA$7:$AA$66&gt;C27)*(C27-'แผนงาน Schedule'!$Z$7:$Z$66+1)/('แผนงาน Schedule'!$AA$7:$AA$66-'แผนงาน Schedule'!$Z$7:$Z$66+1)))</f>
        <v>0.8198</v>
      </c>
      <c r="F27" s="190"/>
      <c r="G27" s="189" t="n">
        <f aca="false">IF(OR(C27="",NOT(ISNUMBER(Dashboard!$C$27))),"",IF(C27&lt;Dashboard!$C$7,"",IF(Dashboard!$C$27&lt;=Dashboard!$C$7,1,MIN(1,Dashboard!$C$19+(1-Dashboard!$C$19)*(C27-Dashboard!$C$7)/(Dashboard!$C$27-Dashboard!$C$7)))))</f>
        <v>0.213481362467866</v>
      </c>
      <c r="H27" s="191" t="str">
        <f aca="false">IF(OR(F27="",D27=""),"",F27-D27)</f>
        <v/>
      </c>
      <c r="I27" s="192" t="n">
        <f aca="false">IF(D27="","",D27*'ตั้งค่า Setup'!$C$9)</f>
        <v>9926138.4</v>
      </c>
      <c r="J27" s="192" t="str">
        <f aca="false">IF(OR(C27="",F27=""),"",F27*'ตั้งค่า Setup'!$C$9)</f>
        <v/>
      </c>
      <c r="K27" s="193"/>
      <c r="L27" s="192" t="str">
        <f aca="false">IF(OR(C27="",K27=""),"",SUM(K$7:K27))</f>
        <v/>
      </c>
      <c r="M27" s="193"/>
      <c r="N27" s="192" t="n">
        <f aca="false">IF(OR(C27="",B27&gt;'ตั้งค่า Setup'!$C$15),"",SUM(M$7:M27))</f>
        <v>621140.4</v>
      </c>
      <c r="P27" s="178" t="n">
        <f aca="false">IF(C27&lt;&gt;"",C27,P26)</f>
        <v>46275</v>
      </c>
      <c r="Q27" s="194" t="n">
        <f aca="false">IF(D27&lt;&gt;"",D27,Q26)</f>
        <v>0.8198</v>
      </c>
      <c r="R27" s="178" t="n">
        <f aca="false">IF(Dashboard!$C$63,P27,R26)</f>
        <v>46072</v>
      </c>
      <c r="S27" s="194" t="n">
        <f aca="false">IF(AND(Dashboard!$C$63,E27&lt;&gt;""),E27,S26)</f>
        <v>0</v>
      </c>
      <c r="T27" s="178" t="n">
        <f aca="false">IF(AND(F27&lt;&gt;"",C27&lt;&gt;""),C27,T26)</f>
        <v>46142</v>
      </c>
      <c r="U27" s="194" t="n">
        <f aca="false">IF(AND(F27&lt;&gt;"",C27&lt;&gt;""),F27,U26)</f>
        <v>0.0513</v>
      </c>
      <c r="V27" s="178" t="n">
        <f aca="false">IF(ISNUMBER(G27),C27,V26)</f>
        <v>46275</v>
      </c>
      <c r="W27" s="194" t="n">
        <f aca="false">IF(ISNUMBER(G27),G27,W26)</f>
        <v>0.213481362467866</v>
      </c>
      <c r="X27" s="195" t="n">
        <f aca="false">IF(I27&lt;&gt;"",I27,X26)</f>
        <v>9926138.4</v>
      </c>
      <c r="Y27" s="195" t="n">
        <f aca="false">IF(AND(F27&lt;&gt;"",C27&lt;&gt;""),J27,Y26)</f>
        <v>621140.4</v>
      </c>
      <c r="Z27" s="178" t="n">
        <f aca="false">IF(AND(K27&lt;&gt;"",C27&lt;&gt;""),C27,Z26)</f>
        <v>46072</v>
      </c>
      <c r="AA27" s="195" t="n">
        <f aca="false">IF(AND(K27&lt;&gt;"",C27&lt;&gt;""),L27,AA26)</f>
        <v>0</v>
      </c>
    </row>
    <row r="28" customFormat="false" ht="15" hidden="false" customHeight="false" outlineLevel="0" collapsed="false">
      <c r="A28" s="187" t="n">
        <f aca="false">IF(B28="","",ROW()-6)</f>
        <v>22</v>
      </c>
      <c r="B28" s="188" t="n">
        <f aca="false">IF(C27="","",IF(C27&gt;='ตั้งค่า Setup'!$C$69,"",C27+1))</f>
        <v>46276</v>
      </c>
      <c r="C28" s="188" t="n">
        <f aca="false">IF(B28="","",IF('ตั้งค่า Setup'!$C$16="รายสัปดาห์ / Weekly",B28+6,IF('ตั้งค่า Setup'!$C$16="รายเดือน / Monthly",EOMONTH(B28,0),IF(DAY(B28)&lt;=10,DATE(YEAR(B28),MONTH(B28),10),IF(DAY(B28)&lt;=20,DATE(YEAR(B28),MONTH(B28),20),EOMONTH(B28,0))))))</f>
        <v>46285</v>
      </c>
      <c r="D28" s="189" t="n">
        <f aca="false">IF(C28="","",SUMPRODUCT('แผนงาน Schedule'!$F$7:$F$66,('แผนงาน Schedule'!$I$7:$I$66&lt;=C28)+('แผนงาน Schedule'!$H$7:$H$66&lt;=C28)*('แผนงาน Schedule'!$I$7:$I$66&gt;C28)*(C28-'แผนงาน Schedule'!$H$7:$H$66+1)/('แผนงาน Schedule'!$I$7:$I$66-'แผนงาน Schedule'!$H$7:$H$66+1)))</f>
        <v>0.8411</v>
      </c>
      <c r="E28" s="189" t="n">
        <f aca="false">IF(C28="","",SUMPRODUCT('แผนงาน Schedule'!$F$7:$F$66,('แผนงาน Schedule'!$AA$7:$AA$66&lt;=C28)+('แผนงาน Schedule'!$Z$7:$Z$66&lt;=C28)*('แผนงาน Schedule'!$AA$7:$AA$66&gt;C28)*(C28-'แผนงาน Schedule'!$Z$7:$Z$66+1)/('แผนงาน Schedule'!$AA$7:$AA$66-'แผนงาน Schedule'!$Z$7:$Z$66+1)))</f>
        <v>0.8411</v>
      </c>
      <c r="F28" s="190"/>
      <c r="G28" s="189" t="n">
        <f aca="false">IF(OR(C28="",NOT(ISNUMBER(Dashboard!$C$27))),"",IF(C28&lt;Dashboard!$C$7,"",IF(Dashboard!$C$27&lt;=Dashboard!$C$7,1,MIN(1,Dashboard!$C$19+(1-Dashboard!$C$19)*(C28-Dashboard!$C$7)/(Dashboard!$C$27-Dashboard!$C$7)))))</f>
        <v>0.225675449871465</v>
      </c>
      <c r="H28" s="191" t="str">
        <f aca="false">IF(OR(F28="",D28=""),"",F28-D28)</f>
        <v/>
      </c>
      <c r="I28" s="192" t="n">
        <f aca="false">IF(D28="","",D28*'ตั้งค่า Setup'!$C$9)</f>
        <v>10184038.8</v>
      </c>
      <c r="J28" s="192" t="str">
        <f aca="false">IF(OR(C28="",F28=""),"",F28*'ตั้งค่า Setup'!$C$9)</f>
        <v/>
      </c>
      <c r="K28" s="193"/>
      <c r="L28" s="192" t="str">
        <f aca="false">IF(OR(C28="",K28=""),"",SUM(K$7:K28))</f>
        <v/>
      </c>
      <c r="M28" s="193"/>
      <c r="N28" s="192" t="n">
        <f aca="false">IF(OR(C28="",B28&gt;'ตั้งค่า Setup'!$C$15),"",SUM(M$7:M28))</f>
        <v>621140.4</v>
      </c>
      <c r="P28" s="178" t="n">
        <f aca="false">IF(C28&lt;&gt;"",C28,P27)</f>
        <v>46285</v>
      </c>
      <c r="Q28" s="194" t="n">
        <f aca="false">IF(D28&lt;&gt;"",D28,Q27)</f>
        <v>0.8411</v>
      </c>
      <c r="R28" s="178" t="n">
        <f aca="false">IF(Dashboard!$C$63,P28,R27)</f>
        <v>46072</v>
      </c>
      <c r="S28" s="194" t="n">
        <f aca="false">IF(AND(Dashboard!$C$63,E28&lt;&gt;""),E28,S27)</f>
        <v>0</v>
      </c>
      <c r="T28" s="178" t="n">
        <f aca="false">IF(AND(F28&lt;&gt;"",C28&lt;&gt;""),C28,T27)</f>
        <v>46142</v>
      </c>
      <c r="U28" s="194" t="n">
        <f aca="false">IF(AND(F28&lt;&gt;"",C28&lt;&gt;""),F28,U27)</f>
        <v>0.0513</v>
      </c>
      <c r="V28" s="178" t="n">
        <f aca="false">IF(ISNUMBER(G28),C28,V27)</f>
        <v>46285</v>
      </c>
      <c r="W28" s="194" t="n">
        <f aca="false">IF(ISNUMBER(G28),G28,W27)</f>
        <v>0.225675449871465</v>
      </c>
      <c r="X28" s="195" t="n">
        <f aca="false">IF(I28&lt;&gt;"",I28,X27)</f>
        <v>10184038.8</v>
      </c>
      <c r="Y28" s="195" t="n">
        <f aca="false">IF(AND(F28&lt;&gt;"",C28&lt;&gt;""),J28,Y27)</f>
        <v>621140.4</v>
      </c>
      <c r="Z28" s="178" t="n">
        <f aca="false">IF(AND(K28&lt;&gt;"",C28&lt;&gt;""),C28,Z27)</f>
        <v>46072</v>
      </c>
      <c r="AA28" s="195" t="n">
        <f aca="false">IF(AND(K28&lt;&gt;"",C28&lt;&gt;""),L28,AA27)</f>
        <v>0</v>
      </c>
    </row>
    <row r="29" customFormat="false" ht="15" hidden="false" customHeight="false" outlineLevel="0" collapsed="false">
      <c r="A29" s="187" t="n">
        <f aca="false">IF(B29="","",ROW()-6)</f>
        <v>23</v>
      </c>
      <c r="B29" s="188" t="n">
        <f aca="false">IF(C28="","",IF(C28&gt;='ตั้งค่า Setup'!$C$69,"",C28+1))</f>
        <v>46286</v>
      </c>
      <c r="C29" s="188" t="n">
        <f aca="false">IF(B29="","",IF('ตั้งค่า Setup'!$C$16="รายสัปดาห์ / Weekly",B29+6,IF('ตั้งค่า Setup'!$C$16="รายเดือน / Monthly",EOMONTH(B29,0),IF(DAY(B29)&lt;=10,DATE(YEAR(B29),MONTH(B29),10),IF(DAY(B29)&lt;=20,DATE(YEAR(B29),MONTH(B29),20),EOMONTH(B29,0))))))</f>
        <v>46295</v>
      </c>
      <c r="D29" s="189" t="n">
        <f aca="false">IF(C29="","",SUMPRODUCT('แผนงาน Schedule'!$F$7:$F$66,('แผนงาน Schedule'!$I$7:$I$66&lt;=C29)+('แผนงาน Schedule'!$H$7:$H$66&lt;=C29)*('แผนงาน Schedule'!$I$7:$I$66&gt;C29)*(C29-'แผนงาน Schedule'!$H$7:$H$66+1)/('แผนงาน Schedule'!$I$7:$I$66-'แผนงาน Schedule'!$H$7:$H$66+1)))</f>
        <v>0.8624</v>
      </c>
      <c r="E29" s="189" t="n">
        <f aca="false">IF(C29="","",SUMPRODUCT('แผนงาน Schedule'!$F$7:$F$66,('แผนงาน Schedule'!$AA$7:$AA$66&lt;=C29)+('แผนงาน Schedule'!$Z$7:$Z$66&lt;=C29)*('แผนงาน Schedule'!$AA$7:$AA$66&gt;C29)*(C29-'แผนงาน Schedule'!$Z$7:$Z$66+1)/('แผนงาน Schedule'!$AA$7:$AA$66-'แผนงาน Schedule'!$Z$7:$Z$66+1)))</f>
        <v>0.8624</v>
      </c>
      <c r="F29" s="190"/>
      <c r="G29" s="189" t="n">
        <f aca="false">IF(OR(C29="",NOT(ISNUMBER(Dashboard!$C$27))),"",IF(C29&lt;Dashboard!$C$7,"",IF(Dashboard!$C$27&lt;=Dashboard!$C$7,1,MIN(1,Dashboard!$C$19+(1-Dashboard!$C$19)*(C29-Dashboard!$C$7)/(Dashboard!$C$27-Dashboard!$C$7)))))</f>
        <v>0.237869537275064</v>
      </c>
      <c r="H29" s="191" t="str">
        <f aca="false">IF(OR(F29="",D29=""),"",F29-D29)</f>
        <v/>
      </c>
      <c r="I29" s="192" t="n">
        <f aca="false">IF(D29="","",D29*'ตั้งค่า Setup'!$C$9)</f>
        <v>10441939.2</v>
      </c>
      <c r="J29" s="192" t="str">
        <f aca="false">IF(OR(C29="",F29=""),"",F29*'ตั้งค่า Setup'!$C$9)</f>
        <v/>
      </c>
      <c r="K29" s="193"/>
      <c r="L29" s="192" t="str">
        <f aca="false">IF(OR(C29="",K29=""),"",SUM(K$7:K29))</f>
        <v/>
      </c>
      <c r="M29" s="193"/>
      <c r="N29" s="192" t="n">
        <f aca="false">IF(OR(C29="",B29&gt;'ตั้งค่า Setup'!$C$15),"",SUM(M$7:M29))</f>
        <v>621140.4</v>
      </c>
      <c r="P29" s="178" t="n">
        <f aca="false">IF(C29&lt;&gt;"",C29,P28)</f>
        <v>46295</v>
      </c>
      <c r="Q29" s="194" t="n">
        <f aca="false">IF(D29&lt;&gt;"",D29,Q28)</f>
        <v>0.8624</v>
      </c>
      <c r="R29" s="178" t="n">
        <f aca="false">IF(Dashboard!$C$63,P29,R28)</f>
        <v>46072</v>
      </c>
      <c r="S29" s="194" t="n">
        <f aca="false">IF(AND(Dashboard!$C$63,E29&lt;&gt;""),E29,S28)</f>
        <v>0</v>
      </c>
      <c r="T29" s="178" t="n">
        <f aca="false">IF(AND(F29&lt;&gt;"",C29&lt;&gt;""),C29,T28)</f>
        <v>46142</v>
      </c>
      <c r="U29" s="194" t="n">
        <f aca="false">IF(AND(F29&lt;&gt;"",C29&lt;&gt;""),F29,U28)</f>
        <v>0.0513</v>
      </c>
      <c r="V29" s="178" t="n">
        <f aca="false">IF(ISNUMBER(G29),C29,V28)</f>
        <v>46295</v>
      </c>
      <c r="W29" s="194" t="n">
        <f aca="false">IF(ISNUMBER(G29),G29,W28)</f>
        <v>0.237869537275064</v>
      </c>
      <c r="X29" s="195" t="n">
        <f aca="false">IF(I29&lt;&gt;"",I29,X28)</f>
        <v>10441939.2</v>
      </c>
      <c r="Y29" s="195" t="n">
        <f aca="false">IF(AND(F29&lt;&gt;"",C29&lt;&gt;""),J29,Y28)</f>
        <v>621140.4</v>
      </c>
      <c r="Z29" s="178" t="n">
        <f aca="false">IF(AND(K29&lt;&gt;"",C29&lt;&gt;""),C29,Z28)</f>
        <v>46072</v>
      </c>
      <c r="AA29" s="195" t="n">
        <f aca="false">IF(AND(K29&lt;&gt;"",C29&lt;&gt;""),L29,AA28)</f>
        <v>0</v>
      </c>
    </row>
    <row r="30" customFormat="false" ht="15" hidden="false" customHeight="false" outlineLevel="0" collapsed="false">
      <c r="A30" s="187" t="n">
        <f aca="false">IF(B30="","",ROW()-6)</f>
        <v>24</v>
      </c>
      <c r="B30" s="188" t="n">
        <f aca="false">IF(C29="","",IF(C29&gt;='ตั้งค่า Setup'!$C$69,"",C29+1))</f>
        <v>46296</v>
      </c>
      <c r="C30" s="188" t="n">
        <f aca="false">IF(B30="","",IF('ตั้งค่า Setup'!$C$16="รายสัปดาห์ / Weekly",B30+6,IF('ตั้งค่า Setup'!$C$16="รายเดือน / Monthly",EOMONTH(B30,0),IF(DAY(B30)&lt;=10,DATE(YEAR(B30),MONTH(B30),10),IF(DAY(B30)&lt;=20,DATE(YEAR(B30),MONTH(B30),20),EOMONTH(B30,0))))))</f>
        <v>46305</v>
      </c>
      <c r="D30" s="189" t="n">
        <f aca="false">IF(C30="","",SUMPRODUCT('แผนงาน Schedule'!$F$7:$F$66,('แผนงาน Schedule'!$I$7:$I$66&lt;=C30)+('แผนงาน Schedule'!$H$7:$H$66&lt;=C30)*('แผนงาน Schedule'!$I$7:$I$66&gt;C30)*(C30-'แผนงาน Schedule'!$H$7:$H$66+1)/('แผนงาน Schedule'!$I$7:$I$66-'แผนงาน Schedule'!$H$7:$H$66+1)))</f>
        <v>0.8837</v>
      </c>
      <c r="E30" s="189" t="n">
        <f aca="false">IF(C30="","",SUMPRODUCT('แผนงาน Schedule'!$F$7:$F$66,('แผนงาน Schedule'!$AA$7:$AA$66&lt;=C30)+('แผนงาน Schedule'!$Z$7:$Z$66&lt;=C30)*('แผนงาน Schedule'!$AA$7:$AA$66&gt;C30)*(C30-'แผนงาน Schedule'!$Z$7:$Z$66+1)/('แผนงาน Schedule'!$AA$7:$AA$66-'แผนงาน Schedule'!$Z$7:$Z$66+1)))</f>
        <v>0.8837</v>
      </c>
      <c r="F30" s="190"/>
      <c r="G30" s="189" t="n">
        <f aca="false">IF(OR(C30="",NOT(ISNUMBER(Dashboard!$C$27))),"",IF(C30&lt;Dashboard!$C$7,"",IF(Dashboard!$C$27&lt;=Dashboard!$C$7,1,MIN(1,Dashboard!$C$19+(1-Dashboard!$C$19)*(C30-Dashboard!$C$7)/(Dashboard!$C$27-Dashboard!$C$7)))))</f>
        <v>0.250063624678663</v>
      </c>
      <c r="H30" s="191" t="str">
        <f aca="false">IF(OR(F30="",D30=""),"",F30-D30)</f>
        <v/>
      </c>
      <c r="I30" s="192" t="n">
        <f aca="false">IF(D30="","",D30*'ตั้งค่า Setup'!$C$9)</f>
        <v>10699839.6</v>
      </c>
      <c r="J30" s="192" t="str">
        <f aca="false">IF(OR(C30="",F30=""),"",F30*'ตั้งค่า Setup'!$C$9)</f>
        <v/>
      </c>
      <c r="K30" s="193"/>
      <c r="L30" s="192" t="str">
        <f aca="false">IF(OR(C30="",K30=""),"",SUM(K$7:K30))</f>
        <v/>
      </c>
      <c r="M30" s="193"/>
      <c r="N30" s="192" t="str">
        <f aca="false">IF(OR(C30="",B30&gt;'ตั้งค่า Setup'!$C$15),"",SUM(M$7:M30))</f>
        <v/>
      </c>
      <c r="P30" s="178" t="n">
        <f aca="false">IF(C30&lt;&gt;"",C30,P29)</f>
        <v>46305</v>
      </c>
      <c r="Q30" s="194" t="n">
        <f aca="false">IF(D30&lt;&gt;"",D30,Q29)</f>
        <v>0.8837</v>
      </c>
      <c r="R30" s="178" t="n">
        <f aca="false">IF(Dashboard!$C$63,P30,R29)</f>
        <v>46072</v>
      </c>
      <c r="S30" s="194" t="n">
        <f aca="false">IF(AND(Dashboard!$C$63,E30&lt;&gt;""),E30,S29)</f>
        <v>0</v>
      </c>
      <c r="T30" s="178" t="n">
        <f aca="false">IF(AND(F30&lt;&gt;"",C30&lt;&gt;""),C30,T29)</f>
        <v>46142</v>
      </c>
      <c r="U30" s="194" t="n">
        <f aca="false">IF(AND(F30&lt;&gt;"",C30&lt;&gt;""),F30,U29)</f>
        <v>0.0513</v>
      </c>
      <c r="V30" s="178" t="n">
        <f aca="false">IF(ISNUMBER(G30),C30,V29)</f>
        <v>46305</v>
      </c>
      <c r="W30" s="194" t="n">
        <f aca="false">IF(ISNUMBER(G30),G30,W29)</f>
        <v>0.250063624678663</v>
      </c>
      <c r="X30" s="195" t="n">
        <f aca="false">IF(I30&lt;&gt;"",I30,X29)</f>
        <v>10699839.6</v>
      </c>
      <c r="Y30" s="195" t="n">
        <f aca="false">IF(AND(F30&lt;&gt;"",C30&lt;&gt;""),J30,Y29)</f>
        <v>621140.4</v>
      </c>
      <c r="Z30" s="178" t="n">
        <f aca="false">IF(AND(K30&lt;&gt;"",C30&lt;&gt;""),C30,Z29)</f>
        <v>46072</v>
      </c>
      <c r="AA30" s="195" t="n">
        <f aca="false">IF(AND(K30&lt;&gt;"",C30&lt;&gt;""),L30,AA29)</f>
        <v>0</v>
      </c>
    </row>
    <row r="31" customFormat="false" ht="15" hidden="false" customHeight="false" outlineLevel="0" collapsed="false">
      <c r="A31" s="187" t="n">
        <f aca="false">IF(B31="","",ROW()-6)</f>
        <v>25</v>
      </c>
      <c r="B31" s="188" t="n">
        <f aca="false">IF(C30="","",IF(C30&gt;='ตั้งค่า Setup'!$C$69,"",C30+1))</f>
        <v>46306</v>
      </c>
      <c r="C31" s="188" t="n">
        <f aca="false">IF(B31="","",IF('ตั้งค่า Setup'!$C$16="รายสัปดาห์ / Weekly",B31+6,IF('ตั้งค่า Setup'!$C$16="รายเดือน / Monthly",EOMONTH(B31,0),IF(DAY(B31)&lt;=10,DATE(YEAR(B31),MONTH(B31),10),IF(DAY(B31)&lt;=20,DATE(YEAR(B31),MONTH(B31),20),EOMONTH(B31,0))))))</f>
        <v>46315</v>
      </c>
      <c r="D31" s="189" t="n">
        <f aca="false">IF(C31="","",SUMPRODUCT('แผนงาน Schedule'!$F$7:$F$66,('แผนงาน Schedule'!$I$7:$I$66&lt;=C31)+('แผนงาน Schedule'!$H$7:$H$66&lt;=C31)*('แผนงาน Schedule'!$I$7:$I$66&gt;C31)*(C31-'แผนงาน Schedule'!$H$7:$H$66+1)/('แผนงาน Schedule'!$I$7:$I$66-'แผนงาน Schedule'!$H$7:$H$66+1)))</f>
        <v>0.897516216216216</v>
      </c>
      <c r="E31" s="189" t="n">
        <f aca="false">IF(C31="","",SUMPRODUCT('แผนงาน Schedule'!$F$7:$F$66,('แผนงาน Schedule'!$AA$7:$AA$66&lt;=C31)+('แผนงาน Schedule'!$Z$7:$Z$66&lt;=C31)*('แผนงาน Schedule'!$AA$7:$AA$66&gt;C31)*(C31-'แผนงาน Schedule'!$Z$7:$Z$66+1)/('แผนงาน Schedule'!$AA$7:$AA$66-'แผนงาน Schedule'!$Z$7:$Z$66+1)))</f>
        <v>0.897516216216216</v>
      </c>
      <c r="F31" s="190"/>
      <c r="G31" s="189" t="n">
        <f aca="false">IF(OR(C31="",NOT(ISNUMBER(Dashboard!$C$27))),"",IF(C31&lt;Dashboard!$C$7,"",IF(Dashboard!$C$27&lt;=Dashboard!$C$7,1,MIN(1,Dashboard!$C$19+(1-Dashboard!$C$19)*(C31-Dashboard!$C$7)/(Dashboard!$C$27-Dashboard!$C$7)))))</f>
        <v>0.262257712082262</v>
      </c>
      <c r="H31" s="191" t="str">
        <f aca="false">IF(OR(F31="",D31=""),"",F31-D31)</f>
        <v/>
      </c>
      <c r="I31" s="192" t="n">
        <f aca="false">IF(D31="","",D31*'ตั้งค่า Setup'!$C$9)</f>
        <v>10867126.3459459</v>
      </c>
      <c r="J31" s="192" t="str">
        <f aca="false">IF(OR(C31="",F31=""),"",F31*'ตั้งค่า Setup'!$C$9)</f>
        <v/>
      </c>
      <c r="K31" s="193"/>
      <c r="L31" s="192" t="str">
        <f aca="false">IF(OR(C31="",K31=""),"",SUM(K$7:K31))</f>
        <v/>
      </c>
      <c r="M31" s="193"/>
      <c r="N31" s="192" t="str">
        <f aca="false">IF(OR(C31="",B31&gt;'ตั้งค่า Setup'!$C$15),"",SUM(M$7:M31))</f>
        <v/>
      </c>
      <c r="P31" s="178" t="n">
        <f aca="false">IF(C31&lt;&gt;"",C31,P30)</f>
        <v>46315</v>
      </c>
      <c r="Q31" s="194" t="n">
        <f aca="false">IF(D31&lt;&gt;"",D31,Q30)</f>
        <v>0.897516216216216</v>
      </c>
      <c r="R31" s="178" t="n">
        <f aca="false">IF(Dashboard!$C$63,P31,R30)</f>
        <v>46072</v>
      </c>
      <c r="S31" s="194" t="n">
        <f aca="false">IF(AND(Dashboard!$C$63,E31&lt;&gt;""),E31,S30)</f>
        <v>0</v>
      </c>
      <c r="T31" s="178" t="n">
        <f aca="false">IF(AND(F31&lt;&gt;"",C31&lt;&gt;""),C31,T30)</f>
        <v>46142</v>
      </c>
      <c r="U31" s="194" t="n">
        <f aca="false">IF(AND(F31&lt;&gt;"",C31&lt;&gt;""),F31,U30)</f>
        <v>0.0513</v>
      </c>
      <c r="V31" s="178" t="n">
        <f aca="false">IF(ISNUMBER(G31),C31,V30)</f>
        <v>46315</v>
      </c>
      <c r="W31" s="194" t="n">
        <f aca="false">IF(ISNUMBER(G31),G31,W30)</f>
        <v>0.262257712082262</v>
      </c>
      <c r="X31" s="195" t="n">
        <f aca="false">IF(I31&lt;&gt;"",I31,X30)</f>
        <v>10867126.3459459</v>
      </c>
      <c r="Y31" s="195" t="n">
        <f aca="false">IF(AND(F31&lt;&gt;"",C31&lt;&gt;""),J31,Y30)</f>
        <v>621140.4</v>
      </c>
      <c r="Z31" s="178" t="n">
        <f aca="false">IF(AND(K31&lt;&gt;"",C31&lt;&gt;""),C31,Z30)</f>
        <v>46072</v>
      </c>
      <c r="AA31" s="195" t="n">
        <f aca="false">IF(AND(K31&lt;&gt;"",C31&lt;&gt;""),L31,AA30)</f>
        <v>0</v>
      </c>
    </row>
    <row r="32" customFormat="false" ht="15" hidden="false" customHeight="false" outlineLevel="0" collapsed="false">
      <c r="A32" s="187" t="n">
        <f aca="false">IF(B32="","",ROW()-6)</f>
        <v>26</v>
      </c>
      <c r="B32" s="188" t="n">
        <f aca="false">IF(C31="","",IF(C31&gt;='ตั้งค่า Setup'!$C$69,"",C31+1))</f>
        <v>46316</v>
      </c>
      <c r="C32" s="188" t="n">
        <f aca="false">IF(B32="","",IF('ตั้งค่า Setup'!$C$16="รายสัปดาห์ / Weekly",B32+6,IF('ตั้งค่า Setup'!$C$16="รายเดือน / Monthly",EOMONTH(B32,0),IF(DAY(B32)&lt;=10,DATE(YEAR(B32),MONTH(B32),10),IF(DAY(B32)&lt;=20,DATE(YEAR(B32),MONTH(B32),20),EOMONTH(B32,0))))))</f>
        <v>46326</v>
      </c>
      <c r="D32" s="189" t="n">
        <f aca="false">IF(C32="","",SUMPRODUCT('แผนงาน Schedule'!$F$7:$F$66,('แผนงาน Schedule'!$I$7:$I$66&lt;=C32)+('แผนงาน Schedule'!$H$7:$H$66&lt;=C32)*('แผนงาน Schedule'!$I$7:$I$66&gt;C32)*(C32-'แผนงาน Schedule'!$H$7:$H$66+1)/('แผนงาน Schedule'!$I$7:$I$66-'แผนงาน Schedule'!$H$7:$H$66+1)))</f>
        <v>0.922845945945946</v>
      </c>
      <c r="E32" s="189" t="n">
        <f aca="false">IF(C32="","",SUMPRODUCT('แผนงาน Schedule'!$F$7:$F$66,('แผนงาน Schedule'!$AA$7:$AA$66&lt;=C32)+('แผนงาน Schedule'!$Z$7:$Z$66&lt;=C32)*('แผนงาน Schedule'!$AA$7:$AA$66&gt;C32)*(C32-'แผนงาน Schedule'!$Z$7:$Z$66+1)/('แผนงาน Schedule'!$AA$7:$AA$66-'แผนงาน Schedule'!$Z$7:$Z$66+1)))</f>
        <v>0.922845945945946</v>
      </c>
      <c r="F32" s="190"/>
      <c r="G32" s="189" t="n">
        <f aca="false">IF(OR(C32="",NOT(ISNUMBER(Dashboard!$C$27))),"",IF(C32&lt;Dashboard!$C$7,"",IF(Dashboard!$C$27&lt;=Dashboard!$C$7,1,MIN(1,Dashboard!$C$19+(1-Dashboard!$C$19)*(C32-Dashboard!$C$7)/(Dashboard!$C$27-Dashboard!$C$7)))))</f>
        <v>0.275671208226221</v>
      </c>
      <c r="H32" s="191" t="str">
        <f aca="false">IF(OR(F32="",D32=""),"",F32-D32)</f>
        <v/>
      </c>
      <c r="I32" s="192" t="n">
        <f aca="false">IF(D32="","",D32*'ตั้งค่า Setup'!$C$9)</f>
        <v>11173818.7135135</v>
      </c>
      <c r="J32" s="192" t="str">
        <f aca="false">IF(OR(C32="",F32=""),"",F32*'ตั้งค่า Setup'!$C$9)</f>
        <v/>
      </c>
      <c r="K32" s="193"/>
      <c r="L32" s="192" t="str">
        <f aca="false">IF(OR(C32="",K32=""),"",SUM(K$7:K32))</f>
        <v/>
      </c>
      <c r="M32" s="193"/>
      <c r="N32" s="192" t="str">
        <f aca="false">IF(OR(C32="",B32&gt;'ตั้งค่า Setup'!$C$15),"",SUM(M$7:M32))</f>
        <v/>
      </c>
      <c r="P32" s="178" t="n">
        <f aca="false">IF(C32&lt;&gt;"",C32,P31)</f>
        <v>46326</v>
      </c>
      <c r="Q32" s="194" t="n">
        <f aca="false">IF(D32&lt;&gt;"",D32,Q31)</f>
        <v>0.922845945945946</v>
      </c>
      <c r="R32" s="178" t="n">
        <f aca="false">IF(Dashboard!$C$63,P32,R31)</f>
        <v>46072</v>
      </c>
      <c r="S32" s="194" t="n">
        <f aca="false">IF(AND(Dashboard!$C$63,E32&lt;&gt;""),E32,S31)</f>
        <v>0</v>
      </c>
      <c r="T32" s="178" t="n">
        <f aca="false">IF(AND(F32&lt;&gt;"",C32&lt;&gt;""),C32,T31)</f>
        <v>46142</v>
      </c>
      <c r="U32" s="194" t="n">
        <f aca="false">IF(AND(F32&lt;&gt;"",C32&lt;&gt;""),F32,U31)</f>
        <v>0.0513</v>
      </c>
      <c r="V32" s="178" t="n">
        <f aca="false">IF(ISNUMBER(G32),C32,V31)</f>
        <v>46326</v>
      </c>
      <c r="W32" s="194" t="n">
        <f aca="false">IF(ISNUMBER(G32),G32,W31)</f>
        <v>0.275671208226221</v>
      </c>
      <c r="X32" s="195" t="n">
        <f aca="false">IF(I32&lt;&gt;"",I32,X31)</f>
        <v>11173818.7135135</v>
      </c>
      <c r="Y32" s="195" t="n">
        <f aca="false">IF(AND(F32&lt;&gt;"",C32&lt;&gt;""),J32,Y31)</f>
        <v>621140.4</v>
      </c>
      <c r="Z32" s="178" t="n">
        <f aca="false">IF(AND(K32&lt;&gt;"",C32&lt;&gt;""),C32,Z31)</f>
        <v>46072</v>
      </c>
      <c r="AA32" s="195" t="n">
        <f aca="false">IF(AND(K32&lt;&gt;"",C32&lt;&gt;""),L32,AA31)</f>
        <v>0</v>
      </c>
    </row>
    <row r="33" customFormat="false" ht="15" hidden="false" customHeight="false" outlineLevel="0" collapsed="false">
      <c r="A33" s="187" t="n">
        <f aca="false">IF(B33="","",ROW()-6)</f>
        <v>27</v>
      </c>
      <c r="B33" s="188" t="n">
        <f aca="false">IF(C32="","",IF(C32&gt;='ตั้งค่า Setup'!$C$69,"",C32+1))</f>
        <v>46327</v>
      </c>
      <c r="C33" s="188" t="n">
        <f aca="false">IF(B33="","",IF('ตั้งค่า Setup'!$C$16="รายสัปดาห์ / Weekly",B33+6,IF('ตั้งค่า Setup'!$C$16="รายเดือน / Monthly",EOMONTH(B33,0),IF(DAY(B33)&lt;=10,DATE(YEAR(B33),MONTH(B33),10),IF(DAY(B33)&lt;=20,DATE(YEAR(B33),MONTH(B33),20),EOMONTH(B33,0))))))</f>
        <v>46336</v>
      </c>
      <c r="D33" s="189" t="n">
        <f aca="false">IF(C33="","",SUMPRODUCT('แผนงาน Schedule'!$F$7:$F$66,('แผนงาน Schedule'!$I$7:$I$66&lt;=C33)+('แผนงาน Schedule'!$H$7:$H$66&lt;=C33)*('แผนงาน Schedule'!$I$7:$I$66&gt;C33)*(C33-'แผนงาน Schedule'!$H$7:$H$66+1)/('แผนงาน Schedule'!$I$7:$I$66-'แผนงาน Schedule'!$H$7:$H$66+1)))</f>
        <v>0.965310472972973</v>
      </c>
      <c r="E33" s="189" t="n">
        <f aca="false">IF(C33="","",SUMPRODUCT('แผนงาน Schedule'!$F$7:$F$66,('แผนงาน Schedule'!$AA$7:$AA$66&lt;=C33)+('แผนงาน Schedule'!$Z$7:$Z$66&lt;=C33)*('แผนงาน Schedule'!$AA$7:$AA$66&gt;C33)*(C33-'แผนงาน Schedule'!$Z$7:$Z$66+1)/('แผนงาน Schedule'!$AA$7:$AA$66-'แผนงาน Schedule'!$Z$7:$Z$66+1)))</f>
        <v>0.965310472972973</v>
      </c>
      <c r="F33" s="190"/>
      <c r="G33" s="189" t="n">
        <f aca="false">IF(OR(C33="",NOT(ISNUMBER(Dashboard!$C$27))),"",IF(C33&lt;Dashboard!$C$7,"",IF(Dashboard!$C$27&lt;=Dashboard!$C$7,1,MIN(1,Dashboard!$C$19+(1-Dashboard!$C$19)*(C33-Dashboard!$C$7)/(Dashboard!$C$27-Dashboard!$C$7)))))</f>
        <v>0.28786529562982</v>
      </c>
      <c r="H33" s="191" t="str">
        <f aca="false">IF(OR(F33="",D33=""),"",F33-D33)</f>
        <v/>
      </c>
      <c r="I33" s="192" t="n">
        <f aca="false">IF(D33="","",D33*'ตั้งค่า Setup'!$C$9)</f>
        <v>11687979.2067568</v>
      </c>
      <c r="J33" s="192" t="str">
        <f aca="false">IF(OR(C33="",F33=""),"",F33*'ตั้งค่า Setup'!$C$9)</f>
        <v/>
      </c>
      <c r="K33" s="193"/>
      <c r="L33" s="192" t="str">
        <f aca="false">IF(OR(C33="",K33=""),"",SUM(K$7:K33))</f>
        <v/>
      </c>
      <c r="M33" s="193"/>
      <c r="N33" s="192" t="str">
        <f aca="false">IF(OR(C33="",B33&gt;'ตั้งค่า Setup'!$C$15),"",SUM(M$7:M33))</f>
        <v/>
      </c>
      <c r="P33" s="178" t="n">
        <f aca="false">IF(C33&lt;&gt;"",C33,P32)</f>
        <v>46336</v>
      </c>
      <c r="Q33" s="194" t="n">
        <f aca="false">IF(D33&lt;&gt;"",D33,Q32)</f>
        <v>0.965310472972973</v>
      </c>
      <c r="R33" s="178" t="n">
        <f aca="false">IF(Dashboard!$C$63,P33,R32)</f>
        <v>46072</v>
      </c>
      <c r="S33" s="194" t="n">
        <f aca="false">IF(AND(Dashboard!$C$63,E33&lt;&gt;""),E33,S32)</f>
        <v>0</v>
      </c>
      <c r="T33" s="178" t="n">
        <f aca="false">IF(AND(F33&lt;&gt;"",C33&lt;&gt;""),C33,T32)</f>
        <v>46142</v>
      </c>
      <c r="U33" s="194" t="n">
        <f aca="false">IF(AND(F33&lt;&gt;"",C33&lt;&gt;""),F33,U32)</f>
        <v>0.0513</v>
      </c>
      <c r="V33" s="178" t="n">
        <f aca="false">IF(ISNUMBER(G33),C33,V32)</f>
        <v>46336</v>
      </c>
      <c r="W33" s="194" t="n">
        <f aca="false">IF(ISNUMBER(G33),G33,W32)</f>
        <v>0.28786529562982</v>
      </c>
      <c r="X33" s="195" t="n">
        <f aca="false">IF(I33&lt;&gt;"",I33,X32)</f>
        <v>11687979.2067568</v>
      </c>
      <c r="Y33" s="195" t="n">
        <f aca="false">IF(AND(F33&lt;&gt;"",C33&lt;&gt;""),J33,Y32)</f>
        <v>621140.4</v>
      </c>
      <c r="Z33" s="178" t="n">
        <f aca="false">IF(AND(K33&lt;&gt;"",C33&lt;&gt;""),C33,Z32)</f>
        <v>46072</v>
      </c>
      <c r="AA33" s="195" t="n">
        <f aca="false">IF(AND(K33&lt;&gt;"",C33&lt;&gt;""),L33,AA32)</f>
        <v>0</v>
      </c>
    </row>
    <row r="34" customFormat="false" ht="15" hidden="false" customHeight="false" outlineLevel="0" collapsed="false">
      <c r="A34" s="187" t="n">
        <f aca="false">IF(B34="","",ROW()-6)</f>
        <v>28</v>
      </c>
      <c r="B34" s="188" t="n">
        <f aca="false">IF(C33="","",IF(C33&gt;='ตั้งค่า Setup'!$C$69,"",C33+1))</f>
        <v>46337</v>
      </c>
      <c r="C34" s="188" t="n">
        <f aca="false">IF(B34="","",IF('ตั้งค่า Setup'!$C$16="รายสัปดาห์ / Weekly",B34+6,IF('ตั้งค่า Setup'!$C$16="รายเดือน / Monthly",EOMONTH(B34,0),IF(DAY(B34)&lt;=10,DATE(YEAR(B34),MONTH(B34),10),IF(DAY(B34)&lt;=20,DATE(YEAR(B34),MONTH(B34),20),EOMONTH(B34,0))))))</f>
        <v>46346</v>
      </c>
      <c r="D34" s="189" t="n">
        <f aca="false">IF(C34="","",SUMPRODUCT('แผนงาน Schedule'!$F$7:$F$66,('แผนงาน Schedule'!$I$7:$I$66&lt;=C34)+('แผนงาน Schedule'!$H$7:$H$66&lt;=C34)*('แผนงาน Schedule'!$I$7:$I$66&gt;C34)*(C34-'แผนงาน Schedule'!$H$7:$H$66+1)/('แผนงาน Schedule'!$I$7:$I$66-'แผนงาน Schedule'!$H$7:$H$66+1)))</f>
        <v>1</v>
      </c>
      <c r="E34" s="189" t="n">
        <f aca="false">IF(C34="","",SUMPRODUCT('แผนงาน Schedule'!$F$7:$F$66,('แผนงาน Schedule'!$AA$7:$AA$66&lt;=C34)+('แผนงาน Schedule'!$Z$7:$Z$66&lt;=C34)*('แผนงาน Schedule'!$AA$7:$AA$66&gt;C34)*(C34-'แผนงาน Schedule'!$Z$7:$Z$66+1)/('แผนงาน Schedule'!$AA$7:$AA$66-'แผนงาน Schedule'!$Z$7:$Z$66+1)))</f>
        <v>1</v>
      </c>
      <c r="F34" s="190"/>
      <c r="G34" s="189" t="n">
        <f aca="false">IF(OR(C34="",NOT(ISNUMBER(Dashboard!$C$27))),"",IF(C34&lt;Dashboard!$C$7,"",IF(Dashboard!$C$27&lt;=Dashboard!$C$7,1,MIN(1,Dashboard!$C$19+(1-Dashboard!$C$19)*(C34-Dashboard!$C$7)/(Dashboard!$C$27-Dashboard!$C$7)))))</f>
        <v>0.300059383033419</v>
      </c>
      <c r="H34" s="191" t="str">
        <f aca="false">IF(OR(F34="",D34=""),"",F34-D34)</f>
        <v/>
      </c>
      <c r="I34" s="192" t="n">
        <f aca="false">IF(D34="","",D34*'ตั้งค่า Setup'!$C$9)</f>
        <v>12108000</v>
      </c>
      <c r="J34" s="192" t="str">
        <f aca="false">IF(OR(C34="",F34=""),"",F34*'ตั้งค่า Setup'!$C$9)</f>
        <v/>
      </c>
      <c r="K34" s="193"/>
      <c r="L34" s="192" t="str">
        <f aca="false">IF(OR(C34="",K34=""),"",SUM(K$7:K34))</f>
        <v/>
      </c>
      <c r="M34" s="193"/>
      <c r="N34" s="192" t="str">
        <f aca="false">IF(OR(C34="",B34&gt;'ตั้งค่า Setup'!$C$15),"",SUM(M$7:M34))</f>
        <v/>
      </c>
      <c r="P34" s="178" t="n">
        <f aca="false">IF(C34&lt;&gt;"",C34,P33)</f>
        <v>46346</v>
      </c>
      <c r="Q34" s="194" t="n">
        <f aca="false">IF(D34&lt;&gt;"",D34,Q33)</f>
        <v>1</v>
      </c>
      <c r="R34" s="178" t="n">
        <f aca="false">IF(Dashboard!$C$63,P34,R33)</f>
        <v>46072</v>
      </c>
      <c r="S34" s="194" t="n">
        <f aca="false">IF(AND(Dashboard!$C$63,E34&lt;&gt;""),E34,S33)</f>
        <v>0</v>
      </c>
      <c r="T34" s="178" t="n">
        <f aca="false">IF(AND(F34&lt;&gt;"",C34&lt;&gt;""),C34,T33)</f>
        <v>46142</v>
      </c>
      <c r="U34" s="194" t="n">
        <f aca="false">IF(AND(F34&lt;&gt;"",C34&lt;&gt;""),F34,U33)</f>
        <v>0.0513</v>
      </c>
      <c r="V34" s="178" t="n">
        <f aca="false">IF(ISNUMBER(G34),C34,V33)</f>
        <v>46346</v>
      </c>
      <c r="W34" s="194" t="n">
        <f aca="false">IF(ISNUMBER(G34),G34,W33)</f>
        <v>0.300059383033419</v>
      </c>
      <c r="X34" s="195" t="n">
        <f aca="false">IF(I34&lt;&gt;"",I34,X33)</f>
        <v>12108000</v>
      </c>
      <c r="Y34" s="195" t="n">
        <f aca="false">IF(AND(F34&lt;&gt;"",C34&lt;&gt;""),J34,Y33)</f>
        <v>621140.4</v>
      </c>
      <c r="Z34" s="178" t="n">
        <f aca="false">IF(AND(K34&lt;&gt;"",C34&lt;&gt;""),C34,Z33)</f>
        <v>46072</v>
      </c>
      <c r="AA34" s="195" t="n">
        <f aca="false">IF(AND(K34&lt;&gt;"",C34&lt;&gt;""),L34,AA33)</f>
        <v>0</v>
      </c>
    </row>
    <row r="35" customFormat="false" ht="15" hidden="false" customHeight="false" outlineLevel="0" collapsed="false">
      <c r="A35" s="187" t="str">
        <f aca="false">IF(B35="","",ROW()-6)</f>
        <v/>
      </c>
      <c r="B35" s="188" t="str">
        <f aca="false">IF(C34="","",IF(C34&gt;='ตั้งค่า Setup'!$C$69,"",C34+1))</f>
        <v/>
      </c>
      <c r="C35" s="188" t="str">
        <f aca="false">IF(B35="","",IF('ตั้งค่า Setup'!$C$16="รายสัปดาห์ / Weekly",B35+6,IF('ตั้งค่า Setup'!$C$16="รายเดือน / Monthly",EOMONTH(B35,0),IF(DAY(B35)&lt;=10,DATE(YEAR(B35),MONTH(B35),10),IF(DAY(B35)&lt;=20,DATE(YEAR(B35),MONTH(B35),20),EOMONTH(B35,0))))))</f>
        <v/>
      </c>
      <c r="D35" s="189" t="str">
        <f aca="false">IF(C35="","",SUMPRODUCT('แผนงาน Schedule'!$F$7:$F$66,('แผนงาน Schedule'!$I$7:$I$66&lt;=C35)+('แผนงาน Schedule'!$H$7:$H$66&lt;=C35)*('แผนงาน Schedule'!$I$7:$I$66&gt;C35)*(C35-'แผนงาน Schedule'!$H$7:$H$66+1)/('แผนงาน Schedule'!$I$7:$I$66-'แผนงาน Schedule'!$H$7:$H$66+1)))</f>
        <v/>
      </c>
      <c r="E35" s="189" t="str">
        <f aca="false">IF(C35="","",SUMPRODUCT('แผนงาน Schedule'!$F$7:$F$66,('แผนงาน Schedule'!$AA$7:$AA$66&lt;=C35)+('แผนงาน Schedule'!$Z$7:$Z$66&lt;=C35)*('แผนงาน Schedule'!$AA$7:$AA$66&gt;C35)*(C35-'แผนงาน Schedule'!$Z$7:$Z$66+1)/('แผนงาน Schedule'!$AA$7:$AA$66-'แผนงาน Schedule'!$Z$7:$Z$66+1)))</f>
        <v/>
      </c>
      <c r="F35" s="190"/>
      <c r="G35" s="189" t="str">
        <f aca="false">IF(OR(C35="",NOT(ISNUMBER(Dashboard!$C$27))),"",IF(C35&lt;Dashboard!$C$7,"",IF(Dashboard!$C$27&lt;=Dashboard!$C$7,1,MIN(1,Dashboard!$C$19+(1-Dashboard!$C$19)*(C35-Dashboard!$C$7)/(Dashboard!$C$27-Dashboard!$C$7)))))</f>
        <v/>
      </c>
      <c r="H35" s="191" t="str">
        <f aca="false">IF(OR(F35="",D35=""),"",F35-D35)</f>
        <v/>
      </c>
      <c r="I35" s="192" t="str">
        <f aca="false">IF(D35="","",D35*'ตั้งค่า Setup'!$C$9)</f>
        <v/>
      </c>
      <c r="J35" s="192" t="str">
        <f aca="false">IF(OR(C35="",F35=""),"",F35*'ตั้งค่า Setup'!$C$9)</f>
        <v/>
      </c>
      <c r="K35" s="193"/>
      <c r="L35" s="192" t="str">
        <f aca="false">IF(OR(C35="",K35=""),"",SUM(K$7:K35))</f>
        <v/>
      </c>
      <c r="M35" s="193"/>
      <c r="N35" s="192" t="str">
        <f aca="false">IF(OR(C35="",B35&gt;'ตั้งค่า Setup'!$C$15),"",SUM(M$7:M35))</f>
        <v/>
      </c>
      <c r="P35" s="178" t="n">
        <f aca="false">IF(C35&lt;&gt;"",C35,P34)</f>
        <v>46346</v>
      </c>
      <c r="Q35" s="194" t="n">
        <f aca="false">IF(D35&lt;&gt;"",D35,Q34)</f>
        <v>1</v>
      </c>
      <c r="R35" s="178" t="n">
        <f aca="false">IF(Dashboard!$C$63,P35,R34)</f>
        <v>46072</v>
      </c>
      <c r="S35" s="194" t="n">
        <f aca="false">IF(AND(Dashboard!$C$63,E35&lt;&gt;""),E35,S34)</f>
        <v>0</v>
      </c>
      <c r="T35" s="178" t="n">
        <f aca="false">IF(AND(F35&lt;&gt;"",C35&lt;&gt;""),C35,T34)</f>
        <v>46142</v>
      </c>
      <c r="U35" s="194" t="n">
        <f aca="false">IF(AND(F35&lt;&gt;"",C35&lt;&gt;""),F35,U34)</f>
        <v>0.0513</v>
      </c>
      <c r="V35" s="178" t="n">
        <f aca="false">IF(ISNUMBER(G35),C35,V34)</f>
        <v>46346</v>
      </c>
      <c r="W35" s="194" t="n">
        <f aca="false">IF(ISNUMBER(G35),G35,W34)</f>
        <v>0.300059383033419</v>
      </c>
      <c r="X35" s="195" t="n">
        <f aca="false">IF(I35&lt;&gt;"",I35,X34)</f>
        <v>12108000</v>
      </c>
      <c r="Y35" s="195" t="n">
        <f aca="false">IF(AND(F35&lt;&gt;"",C35&lt;&gt;""),J35,Y34)</f>
        <v>621140.4</v>
      </c>
      <c r="Z35" s="178" t="n">
        <f aca="false">IF(AND(K35&lt;&gt;"",C35&lt;&gt;""),C35,Z34)</f>
        <v>46072</v>
      </c>
      <c r="AA35" s="195" t="n">
        <f aca="false">IF(AND(K35&lt;&gt;"",C35&lt;&gt;""),L35,AA34)</f>
        <v>0</v>
      </c>
    </row>
    <row r="36" customFormat="false" ht="15" hidden="false" customHeight="false" outlineLevel="0" collapsed="false">
      <c r="A36" s="187" t="str">
        <f aca="false">IF(B36="","",ROW()-6)</f>
        <v/>
      </c>
      <c r="B36" s="188" t="str">
        <f aca="false">IF(C35="","",IF(C35&gt;='ตั้งค่า Setup'!$C$69,"",C35+1))</f>
        <v/>
      </c>
      <c r="C36" s="188" t="str">
        <f aca="false">IF(B36="","",IF('ตั้งค่า Setup'!$C$16="รายสัปดาห์ / Weekly",B36+6,IF('ตั้งค่า Setup'!$C$16="รายเดือน / Monthly",EOMONTH(B36,0),IF(DAY(B36)&lt;=10,DATE(YEAR(B36),MONTH(B36),10),IF(DAY(B36)&lt;=20,DATE(YEAR(B36),MONTH(B36),20),EOMONTH(B36,0))))))</f>
        <v/>
      </c>
      <c r="D36" s="189" t="str">
        <f aca="false">IF(C36="","",SUMPRODUCT('แผนงาน Schedule'!$F$7:$F$66,('แผนงาน Schedule'!$I$7:$I$66&lt;=C36)+('แผนงาน Schedule'!$H$7:$H$66&lt;=C36)*('แผนงาน Schedule'!$I$7:$I$66&gt;C36)*(C36-'แผนงาน Schedule'!$H$7:$H$66+1)/('แผนงาน Schedule'!$I$7:$I$66-'แผนงาน Schedule'!$H$7:$H$66+1)))</f>
        <v/>
      </c>
      <c r="E36" s="189" t="str">
        <f aca="false">IF(C36="","",SUMPRODUCT('แผนงาน Schedule'!$F$7:$F$66,('แผนงาน Schedule'!$AA$7:$AA$66&lt;=C36)+('แผนงาน Schedule'!$Z$7:$Z$66&lt;=C36)*('แผนงาน Schedule'!$AA$7:$AA$66&gt;C36)*(C36-'แผนงาน Schedule'!$Z$7:$Z$66+1)/('แผนงาน Schedule'!$AA$7:$AA$66-'แผนงาน Schedule'!$Z$7:$Z$66+1)))</f>
        <v/>
      </c>
      <c r="F36" s="190"/>
      <c r="G36" s="189" t="str">
        <f aca="false">IF(OR(C36="",NOT(ISNUMBER(Dashboard!$C$27))),"",IF(C36&lt;Dashboard!$C$7,"",IF(Dashboard!$C$27&lt;=Dashboard!$C$7,1,MIN(1,Dashboard!$C$19+(1-Dashboard!$C$19)*(C36-Dashboard!$C$7)/(Dashboard!$C$27-Dashboard!$C$7)))))</f>
        <v/>
      </c>
      <c r="H36" s="191" t="str">
        <f aca="false">IF(OR(F36="",D36=""),"",F36-D36)</f>
        <v/>
      </c>
      <c r="I36" s="192" t="str">
        <f aca="false">IF(D36="","",D36*'ตั้งค่า Setup'!$C$9)</f>
        <v/>
      </c>
      <c r="J36" s="192" t="str">
        <f aca="false">IF(OR(C36="",F36=""),"",F36*'ตั้งค่า Setup'!$C$9)</f>
        <v/>
      </c>
      <c r="K36" s="193"/>
      <c r="L36" s="192" t="str">
        <f aca="false">IF(OR(C36="",K36=""),"",SUM(K$7:K36))</f>
        <v/>
      </c>
      <c r="M36" s="193"/>
      <c r="N36" s="192" t="str">
        <f aca="false">IF(OR(C36="",B36&gt;'ตั้งค่า Setup'!$C$15),"",SUM(M$7:M36))</f>
        <v/>
      </c>
      <c r="P36" s="178" t="n">
        <f aca="false">IF(C36&lt;&gt;"",C36,P35)</f>
        <v>46346</v>
      </c>
      <c r="Q36" s="194" t="n">
        <f aca="false">IF(D36&lt;&gt;"",D36,Q35)</f>
        <v>1</v>
      </c>
      <c r="R36" s="178" t="n">
        <f aca="false">IF(Dashboard!$C$63,P36,R35)</f>
        <v>46072</v>
      </c>
      <c r="S36" s="194" t="n">
        <f aca="false">IF(AND(Dashboard!$C$63,E36&lt;&gt;""),E36,S35)</f>
        <v>0</v>
      </c>
      <c r="T36" s="178" t="n">
        <f aca="false">IF(AND(F36&lt;&gt;"",C36&lt;&gt;""),C36,T35)</f>
        <v>46142</v>
      </c>
      <c r="U36" s="194" t="n">
        <f aca="false">IF(AND(F36&lt;&gt;"",C36&lt;&gt;""),F36,U35)</f>
        <v>0.0513</v>
      </c>
      <c r="V36" s="178" t="n">
        <f aca="false">IF(ISNUMBER(G36),C36,V35)</f>
        <v>46346</v>
      </c>
      <c r="W36" s="194" t="n">
        <f aca="false">IF(ISNUMBER(G36),G36,W35)</f>
        <v>0.300059383033419</v>
      </c>
      <c r="X36" s="195" t="n">
        <f aca="false">IF(I36&lt;&gt;"",I36,X35)</f>
        <v>12108000</v>
      </c>
      <c r="Y36" s="195" t="n">
        <f aca="false">IF(AND(F36&lt;&gt;"",C36&lt;&gt;""),J36,Y35)</f>
        <v>621140.4</v>
      </c>
      <c r="Z36" s="178" t="n">
        <f aca="false">IF(AND(K36&lt;&gt;"",C36&lt;&gt;""),C36,Z35)</f>
        <v>46072</v>
      </c>
      <c r="AA36" s="195" t="n">
        <f aca="false">IF(AND(K36&lt;&gt;"",C36&lt;&gt;""),L36,AA35)</f>
        <v>0</v>
      </c>
    </row>
    <row r="37" customFormat="false" ht="15" hidden="false" customHeight="false" outlineLevel="0" collapsed="false">
      <c r="A37" s="187" t="str">
        <f aca="false">IF(B37="","",ROW()-6)</f>
        <v/>
      </c>
      <c r="B37" s="188" t="str">
        <f aca="false">IF(C36="","",IF(C36&gt;='ตั้งค่า Setup'!$C$69,"",C36+1))</f>
        <v/>
      </c>
      <c r="C37" s="188" t="str">
        <f aca="false">IF(B37="","",IF('ตั้งค่า Setup'!$C$16="รายสัปดาห์ / Weekly",B37+6,IF('ตั้งค่า Setup'!$C$16="รายเดือน / Monthly",EOMONTH(B37,0),IF(DAY(B37)&lt;=10,DATE(YEAR(B37),MONTH(B37),10),IF(DAY(B37)&lt;=20,DATE(YEAR(B37),MONTH(B37),20),EOMONTH(B37,0))))))</f>
        <v/>
      </c>
      <c r="D37" s="189" t="str">
        <f aca="false">IF(C37="","",SUMPRODUCT('แผนงาน Schedule'!$F$7:$F$66,('แผนงาน Schedule'!$I$7:$I$66&lt;=C37)+('แผนงาน Schedule'!$H$7:$H$66&lt;=C37)*('แผนงาน Schedule'!$I$7:$I$66&gt;C37)*(C37-'แผนงาน Schedule'!$H$7:$H$66+1)/('แผนงาน Schedule'!$I$7:$I$66-'แผนงาน Schedule'!$H$7:$H$66+1)))</f>
        <v/>
      </c>
      <c r="E37" s="189" t="str">
        <f aca="false">IF(C37="","",SUMPRODUCT('แผนงาน Schedule'!$F$7:$F$66,('แผนงาน Schedule'!$AA$7:$AA$66&lt;=C37)+('แผนงาน Schedule'!$Z$7:$Z$66&lt;=C37)*('แผนงาน Schedule'!$AA$7:$AA$66&gt;C37)*(C37-'แผนงาน Schedule'!$Z$7:$Z$66+1)/('แผนงาน Schedule'!$AA$7:$AA$66-'แผนงาน Schedule'!$Z$7:$Z$66+1)))</f>
        <v/>
      </c>
      <c r="F37" s="190"/>
      <c r="G37" s="189" t="str">
        <f aca="false">IF(OR(C37="",NOT(ISNUMBER(Dashboard!$C$27))),"",IF(C37&lt;Dashboard!$C$7,"",IF(Dashboard!$C$27&lt;=Dashboard!$C$7,1,MIN(1,Dashboard!$C$19+(1-Dashboard!$C$19)*(C37-Dashboard!$C$7)/(Dashboard!$C$27-Dashboard!$C$7)))))</f>
        <v/>
      </c>
      <c r="H37" s="191" t="str">
        <f aca="false">IF(OR(F37="",D37=""),"",F37-D37)</f>
        <v/>
      </c>
      <c r="I37" s="192" t="str">
        <f aca="false">IF(D37="","",D37*'ตั้งค่า Setup'!$C$9)</f>
        <v/>
      </c>
      <c r="J37" s="192" t="str">
        <f aca="false">IF(OR(C37="",F37=""),"",F37*'ตั้งค่า Setup'!$C$9)</f>
        <v/>
      </c>
      <c r="K37" s="193"/>
      <c r="L37" s="192" t="str">
        <f aca="false">IF(OR(C37="",K37=""),"",SUM(K$7:K37))</f>
        <v/>
      </c>
      <c r="M37" s="193"/>
      <c r="N37" s="192" t="str">
        <f aca="false">IF(OR(C37="",B37&gt;'ตั้งค่า Setup'!$C$15),"",SUM(M$7:M37))</f>
        <v/>
      </c>
      <c r="P37" s="178" t="n">
        <f aca="false">IF(C37&lt;&gt;"",C37,P36)</f>
        <v>46346</v>
      </c>
      <c r="Q37" s="194" t="n">
        <f aca="false">IF(D37&lt;&gt;"",D37,Q36)</f>
        <v>1</v>
      </c>
      <c r="R37" s="178" t="n">
        <f aca="false">IF(Dashboard!$C$63,P37,R36)</f>
        <v>46072</v>
      </c>
      <c r="S37" s="194" t="n">
        <f aca="false">IF(AND(Dashboard!$C$63,E37&lt;&gt;""),E37,S36)</f>
        <v>0</v>
      </c>
      <c r="T37" s="178" t="n">
        <f aca="false">IF(AND(F37&lt;&gt;"",C37&lt;&gt;""),C37,T36)</f>
        <v>46142</v>
      </c>
      <c r="U37" s="194" t="n">
        <f aca="false">IF(AND(F37&lt;&gt;"",C37&lt;&gt;""),F37,U36)</f>
        <v>0.0513</v>
      </c>
      <c r="V37" s="178" t="n">
        <f aca="false">IF(ISNUMBER(G37),C37,V36)</f>
        <v>46346</v>
      </c>
      <c r="W37" s="194" t="n">
        <f aca="false">IF(ISNUMBER(G37),G37,W36)</f>
        <v>0.300059383033419</v>
      </c>
      <c r="X37" s="195" t="n">
        <f aca="false">IF(I37&lt;&gt;"",I37,X36)</f>
        <v>12108000</v>
      </c>
      <c r="Y37" s="195" t="n">
        <f aca="false">IF(AND(F37&lt;&gt;"",C37&lt;&gt;""),J37,Y36)</f>
        <v>621140.4</v>
      </c>
      <c r="Z37" s="178" t="n">
        <f aca="false">IF(AND(K37&lt;&gt;"",C37&lt;&gt;""),C37,Z36)</f>
        <v>46072</v>
      </c>
      <c r="AA37" s="195" t="n">
        <f aca="false">IF(AND(K37&lt;&gt;"",C37&lt;&gt;""),L37,AA36)</f>
        <v>0</v>
      </c>
    </row>
    <row r="38" customFormat="false" ht="15" hidden="false" customHeight="false" outlineLevel="0" collapsed="false">
      <c r="A38" s="187" t="str">
        <f aca="false">IF(B38="","",ROW()-6)</f>
        <v/>
      </c>
      <c r="B38" s="188" t="str">
        <f aca="false">IF(C37="","",IF(C37&gt;='ตั้งค่า Setup'!$C$69,"",C37+1))</f>
        <v/>
      </c>
      <c r="C38" s="188" t="str">
        <f aca="false">IF(B38="","",IF('ตั้งค่า Setup'!$C$16="รายสัปดาห์ / Weekly",B38+6,IF('ตั้งค่า Setup'!$C$16="รายเดือน / Monthly",EOMONTH(B38,0),IF(DAY(B38)&lt;=10,DATE(YEAR(B38),MONTH(B38),10),IF(DAY(B38)&lt;=20,DATE(YEAR(B38),MONTH(B38),20),EOMONTH(B38,0))))))</f>
        <v/>
      </c>
      <c r="D38" s="189" t="str">
        <f aca="false">IF(C38="","",SUMPRODUCT('แผนงาน Schedule'!$F$7:$F$66,('แผนงาน Schedule'!$I$7:$I$66&lt;=C38)+('แผนงาน Schedule'!$H$7:$H$66&lt;=C38)*('แผนงาน Schedule'!$I$7:$I$66&gt;C38)*(C38-'แผนงาน Schedule'!$H$7:$H$66+1)/('แผนงาน Schedule'!$I$7:$I$66-'แผนงาน Schedule'!$H$7:$H$66+1)))</f>
        <v/>
      </c>
      <c r="E38" s="189" t="str">
        <f aca="false">IF(C38="","",SUMPRODUCT('แผนงาน Schedule'!$F$7:$F$66,('แผนงาน Schedule'!$AA$7:$AA$66&lt;=C38)+('แผนงาน Schedule'!$Z$7:$Z$66&lt;=C38)*('แผนงาน Schedule'!$AA$7:$AA$66&gt;C38)*(C38-'แผนงาน Schedule'!$Z$7:$Z$66+1)/('แผนงาน Schedule'!$AA$7:$AA$66-'แผนงาน Schedule'!$Z$7:$Z$66+1)))</f>
        <v/>
      </c>
      <c r="F38" s="190"/>
      <c r="G38" s="189" t="str">
        <f aca="false">IF(OR(C38="",NOT(ISNUMBER(Dashboard!$C$27))),"",IF(C38&lt;Dashboard!$C$7,"",IF(Dashboard!$C$27&lt;=Dashboard!$C$7,1,MIN(1,Dashboard!$C$19+(1-Dashboard!$C$19)*(C38-Dashboard!$C$7)/(Dashboard!$C$27-Dashboard!$C$7)))))</f>
        <v/>
      </c>
      <c r="H38" s="191" t="str">
        <f aca="false">IF(OR(F38="",D38=""),"",F38-D38)</f>
        <v/>
      </c>
      <c r="I38" s="192" t="str">
        <f aca="false">IF(D38="","",D38*'ตั้งค่า Setup'!$C$9)</f>
        <v/>
      </c>
      <c r="J38" s="192" t="str">
        <f aca="false">IF(OR(C38="",F38=""),"",F38*'ตั้งค่า Setup'!$C$9)</f>
        <v/>
      </c>
      <c r="K38" s="193"/>
      <c r="L38" s="192" t="str">
        <f aca="false">IF(OR(C38="",K38=""),"",SUM(K$7:K38))</f>
        <v/>
      </c>
      <c r="M38" s="193"/>
      <c r="N38" s="192" t="str">
        <f aca="false">IF(OR(C38="",B38&gt;'ตั้งค่า Setup'!$C$15),"",SUM(M$7:M38))</f>
        <v/>
      </c>
      <c r="P38" s="178" t="n">
        <f aca="false">IF(C38&lt;&gt;"",C38,P37)</f>
        <v>46346</v>
      </c>
      <c r="Q38" s="194" t="n">
        <f aca="false">IF(D38&lt;&gt;"",D38,Q37)</f>
        <v>1</v>
      </c>
      <c r="R38" s="178" t="n">
        <f aca="false">IF(Dashboard!$C$63,P38,R37)</f>
        <v>46072</v>
      </c>
      <c r="S38" s="194" t="n">
        <f aca="false">IF(AND(Dashboard!$C$63,E38&lt;&gt;""),E38,S37)</f>
        <v>0</v>
      </c>
      <c r="T38" s="178" t="n">
        <f aca="false">IF(AND(F38&lt;&gt;"",C38&lt;&gt;""),C38,T37)</f>
        <v>46142</v>
      </c>
      <c r="U38" s="194" t="n">
        <f aca="false">IF(AND(F38&lt;&gt;"",C38&lt;&gt;""),F38,U37)</f>
        <v>0.0513</v>
      </c>
      <c r="V38" s="178" t="n">
        <f aca="false">IF(ISNUMBER(G38),C38,V37)</f>
        <v>46346</v>
      </c>
      <c r="W38" s="194" t="n">
        <f aca="false">IF(ISNUMBER(G38),G38,W37)</f>
        <v>0.300059383033419</v>
      </c>
      <c r="X38" s="195" t="n">
        <f aca="false">IF(I38&lt;&gt;"",I38,X37)</f>
        <v>12108000</v>
      </c>
      <c r="Y38" s="195" t="n">
        <f aca="false">IF(AND(F38&lt;&gt;"",C38&lt;&gt;""),J38,Y37)</f>
        <v>621140.4</v>
      </c>
      <c r="Z38" s="178" t="n">
        <f aca="false">IF(AND(K38&lt;&gt;"",C38&lt;&gt;""),C38,Z37)</f>
        <v>46072</v>
      </c>
      <c r="AA38" s="195" t="n">
        <f aca="false">IF(AND(K38&lt;&gt;"",C38&lt;&gt;""),L38,AA37)</f>
        <v>0</v>
      </c>
    </row>
    <row r="39" customFormat="false" ht="15" hidden="false" customHeight="false" outlineLevel="0" collapsed="false">
      <c r="A39" s="187" t="str">
        <f aca="false">IF(B39="","",ROW()-6)</f>
        <v/>
      </c>
      <c r="B39" s="188" t="str">
        <f aca="false">IF(C38="","",IF(C38&gt;='ตั้งค่า Setup'!$C$69,"",C38+1))</f>
        <v/>
      </c>
      <c r="C39" s="188" t="str">
        <f aca="false">IF(B39="","",IF('ตั้งค่า Setup'!$C$16="รายสัปดาห์ / Weekly",B39+6,IF('ตั้งค่า Setup'!$C$16="รายเดือน / Monthly",EOMONTH(B39,0),IF(DAY(B39)&lt;=10,DATE(YEAR(B39),MONTH(B39),10),IF(DAY(B39)&lt;=20,DATE(YEAR(B39),MONTH(B39),20),EOMONTH(B39,0))))))</f>
        <v/>
      </c>
      <c r="D39" s="189" t="str">
        <f aca="false">IF(C39="","",SUMPRODUCT('แผนงาน Schedule'!$F$7:$F$66,('แผนงาน Schedule'!$I$7:$I$66&lt;=C39)+('แผนงาน Schedule'!$H$7:$H$66&lt;=C39)*('แผนงาน Schedule'!$I$7:$I$66&gt;C39)*(C39-'แผนงาน Schedule'!$H$7:$H$66+1)/('แผนงาน Schedule'!$I$7:$I$66-'แผนงาน Schedule'!$H$7:$H$66+1)))</f>
        <v/>
      </c>
      <c r="E39" s="189" t="str">
        <f aca="false">IF(C39="","",SUMPRODUCT('แผนงาน Schedule'!$F$7:$F$66,('แผนงาน Schedule'!$AA$7:$AA$66&lt;=C39)+('แผนงาน Schedule'!$Z$7:$Z$66&lt;=C39)*('แผนงาน Schedule'!$AA$7:$AA$66&gt;C39)*(C39-'แผนงาน Schedule'!$Z$7:$Z$66+1)/('แผนงาน Schedule'!$AA$7:$AA$66-'แผนงาน Schedule'!$Z$7:$Z$66+1)))</f>
        <v/>
      </c>
      <c r="F39" s="190"/>
      <c r="G39" s="189" t="str">
        <f aca="false">IF(OR(C39="",NOT(ISNUMBER(Dashboard!$C$27))),"",IF(C39&lt;Dashboard!$C$7,"",IF(Dashboard!$C$27&lt;=Dashboard!$C$7,1,MIN(1,Dashboard!$C$19+(1-Dashboard!$C$19)*(C39-Dashboard!$C$7)/(Dashboard!$C$27-Dashboard!$C$7)))))</f>
        <v/>
      </c>
      <c r="H39" s="191" t="str">
        <f aca="false">IF(OR(F39="",D39=""),"",F39-D39)</f>
        <v/>
      </c>
      <c r="I39" s="192" t="str">
        <f aca="false">IF(D39="","",D39*'ตั้งค่า Setup'!$C$9)</f>
        <v/>
      </c>
      <c r="J39" s="192" t="str">
        <f aca="false">IF(OR(C39="",F39=""),"",F39*'ตั้งค่า Setup'!$C$9)</f>
        <v/>
      </c>
      <c r="K39" s="193"/>
      <c r="L39" s="192" t="str">
        <f aca="false">IF(OR(C39="",K39=""),"",SUM(K$7:K39))</f>
        <v/>
      </c>
      <c r="M39" s="193"/>
      <c r="N39" s="192" t="str">
        <f aca="false">IF(OR(C39="",B39&gt;'ตั้งค่า Setup'!$C$15),"",SUM(M$7:M39))</f>
        <v/>
      </c>
      <c r="P39" s="178" t="n">
        <f aca="false">IF(C39&lt;&gt;"",C39,P38)</f>
        <v>46346</v>
      </c>
      <c r="Q39" s="194" t="n">
        <f aca="false">IF(D39&lt;&gt;"",D39,Q38)</f>
        <v>1</v>
      </c>
      <c r="R39" s="178" t="n">
        <f aca="false">IF(Dashboard!$C$63,P39,R38)</f>
        <v>46072</v>
      </c>
      <c r="S39" s="194" t="n">
        <f aca="false">IF(AND(Dashboard!$C$63,E39&lt;&gt;""),E39,S38)</f>
        <v>0</v>
      </c>
      <c r="T39" s="178" t="n">
        <f aca="false">IF(AND(F39&lt;&gt;"",C39&lt;&gt;""),C39,T38)</f>
        <v>46142</v>
      </c>
      <c r="U39" s="194" t="n">
        <f aca="false">IF(AND(F39&lt;&gt;"",C39&lt;&gt;""),F39,U38)</f>
        <v>0.0513</v>
      </c>
      <c r="V39" s="178" t="n">
        <f aca="false">IF(ISNUMBER(G39),C39,V38)</f>
        <v>46346</v>
      </c>
      <c r="W39" s="194" t="n">
        <f aca="false">IF(ISNUMBER(G39),G39,W38)</f>
        <v>0.300059383033419</v>
      </c>
      <c r="X39" s="195" t="n">
        <f aca="false">IF(I39&lt;&gt;"",I39,X38)</f>
        <v>12108000</v>
      </c>
      <c r="Y39" s="195" t="n">
        <f aca="false">IF(AND(F39&lt;&gt;"",C39&lt;&gt;""),J39,Y38)</f>
        <v>621140.4</v>
      </c>
      <c r="Z39" s="178" t="n">
        <f aca="false">IF(AND(K39&lt;&gt;"",C39&lt;&gt;""),C39,Z38)</f>
        <v>46072</v>
      </c>
      <c r="AA39" s="195" t="n">
        <f aca="false">IF(AND(K39&lt;&gt;"",C39&lt;&gt;""),L39,AA38)</f>
        <v>0</v>
      </c>
    </row>
    <row r="40" customFormat="false" ht="15" hidden="false" customHeight="false" outlineLevel="0" collapsed="false">
      <c r="A40" s="187" t="str">
        <f aca="false">IF(B40="","",ROW()-6)</f>
        <v/>
      </c>
      <c r="B40" s="188" t="str">
        <f aca="false">IF(C39="","",IF(C39&gt;='ตั้งค่า Setup'!$C$69,"",C39+1))</f>
        <v/>
      </c>
      <c r="C40" s="188" t="str">
        <f aca="false">IF(B40="","",IF('ตั้งค่า Setup'!$C$16="รายสัปดาห์ / Weekly",B40+6,IF('ตั้งค่า Setup'!$C$16="รายเดือน / Monthly",EOMONTH(B40,0),IF(DAY(B40)&lt;=10,DATE(YEAR(B40),MONTH(B40),10),IF(DAY(B40)&lt;=20,DATE(YEAR(B40),MONTH(B40),20),EOMONTH(B40,0))))))</f>
        <v/>
      </c>
      <c r="D40" s="189" t="str">
        <f aca="false">IF(C40="","",SUMPRODUCT('แผนงาน Schedule'!$F$7:$F$66,('แผนงาน Schedule'!$I$7:$I$66&lt;=C40)+('แผนงาน Schedule'!$H$7:$H$66&lt;=C40)*('แผนงาน Schedule'!$I$7:$I$66&gt;C40)*(C40-'แผนงาน Schedule'!$H$7:$H$66+1)/('แผนงาน Schedule'!$I$7:$I$66-'แผนงาน Schedule'!$H$7:$H$66+1)))</f>
        <v/>
      </c>
      <c r="E40" s="189" t="str">
        <f aca="false">IF(C40="","",SUMPRODUCT('แผนงาน Schedule'!$F$7:$F$66,('แผนงาน Schedule'!$AA$7:$AA$66&lt;=C40)+('แผนงาน Schedule'!$Z$7:$Z$66&lt;=C40)*('แผนงาน Schedule'!$AA$7:$AA$66&gt;C40)*(C40-'แผนงาน Schedule'!$Z$7:$Z$66+1)/('แผนงาน Schedule'!$AA$7:$AA$66-'แผนงาน Schedule'!$Z$7:$Z$66+1)))</f>
        <v/>
      </c>
      <c r="F40" s="190"/>
      <c r="G40" s="189" t="str">
        <f aca="false">IF(OR(C40="",NOT(ISNUMBER(Dashboard!$C$27))),"",IF(C40&lt;Dashboard!$C$7,"",IF(Dashboard!$C$27&lt;=Dashboard!$C$7,1,MIN(1,Dashboard!$C$19+(1-Dashboard!$C$19)*(C40-Dashboard!$C$7)/(Dashboard!$C$27-Dashboard!$C$7)))))</f>
        <v/>
      </c>
      <c r="H40" s="191" t="str">
        <f aca="false">IF(OR(F40="",D40=""),"",F40-D40)</f>
        <v/>
      </c>
      <c r="I40" s="192" t="str">
        <f aca="false">IF(D40="","",D40*'ตั้งค่า Setup'!$C$9)</f>
        <v/>
      </c>
      <c r="J40" s="192" t="str">
        <f aca="false">IF(OR(C40="",F40=""),"",F40*'ตั้งค่า Setup'!$C$9)</f>
        <v/>
      </c>
      <c r="K40" s="193"/>
      <c r="L40" s="192" t="str">
        <f aca="false">IF(OR(C40="",K40=""),"",SUM(K$7:K40))</f>
        <v/>
      </c>
      <c r="M40" s="193"/>
      <c r="N40" s="192" t="str">
        <f aca="false">IF(OR(C40="",B40&gt;'ตั้งค่า Setup'!$C$15),"",SUM(M$7:M40))</f>
        <v/>
      </c>
      <c r="P40" s="178" t="n">
        <f aca="false">IF(C40&lt;&gt;"",C40,P39)</f>
        <v>46346</v>
      </c>
      <c r="Q40" s="194" t="n">
        <f aca="false">IF(D40&lt;&gt;"",D40,Q39)</f>
        <v>1</v>
      </c>
      <c r="R40" s="178" t="n">
        <f aca="false">IF(Dashboard!$C$63,P40,R39)</f>
        <v>46072</v>
      </c>
      <c r="S40" s="194" t="n">
        <f aca="false">IF(AND(Dashboard!$C$63,E40&lt;&gt;""),E40,S39)</f>
        <v>0</v>
      </c>
      <c r="T40" s="178" t="n">
        <f aca="false">IF(AND(F40&lt;&gt;"",C40&lt;&gt;""),C40,T39)</f>
        <v>46142</v>
      </c>
      <c r="U40" s="194" t="n">
        <f aca="false">IF(AND(F40&lt;&gt;"",C40&lt;&gt;""),F40,U39)</f>
        <v>0.0513</v>
      </c>
      <c r="V40" s="178" t="n">
        <f aca="false">IF(ISNUMBER(G40),C40,V39)</f>
        <v>46346</v>
      </c>
      <c r="W40" s="194" t="n">
        <f aca="false">IF(ISNUMBER(G40),G40,W39)</f>
        <v>0.300059383033419</v>
      </c>
      <c r="X40" s="195" t="n">
        <f aca="false">IF(I40&lt;&gt;"",I40,X39)</f>
        <v>12108000</v>
      </c>
      <c r="Y40" s="195" t="n">
        <f aca="false">IF(AND(F40&lt;&gt;"",C40&lt;&gt;""),J40,Y39)</f>
        <v>621140.4</v>
      </c>
      <c r="Z40" s="178" t="n">
        <f aca="false">IF(AND(K40&lt;&gt;"",C40&lt;&gt;""),C40,Z39)</f>
        <v>46072</v>
      </c>
      <c r="AA40" s="195" t="n">
        <f aca="false">IF(AND(K40&lt;&gt;"",C40&lt;&gt;""),L40,AA39)</f>
        <v>0</v>
      </c>
    </row>
    <row r="41" customFormat="false" ht="15" hidden="false" customHeight="false" outlineLevel="0" collapsed="false">
      <c r="A41" s="187" t="str">
        <f aca="false">IF(B41="","",ROW()-6)</f>
        <v/>
      </c>
      <c r="B41" s="188" t="str">
        <f aca="false">IF(C40="","",IF(C40&gt;='ตั้งค่า Setup'!$C$69,"",C40+1))</f>
        <v/>
      </c>
      <c r="C41" s="188" t="str">
        <f aca="false">IF(B41="","",IF('ตั้งค่า Setup'!$C$16="รายสัปดาห์ / Weekly",B41+6,IF('ตั้งค่า Setup'!$C$16="รายเดือน / Monthly",EOMONTH(B41,0),IF(DAY(B41)&lt;=10,DATE(YEAR(B41),MONTH(B41),10),IF(DAY(B41)&lt;=20,DATE(YEAR(B41),MONTH(B41),20),EOMONTH(B41,0))))))</f>
        <v/>
      </c>
      <c r="D41" s="189" t="str">
        <f aca="false">IF(C41="","",SUMPRODUCT('แผนงาน Schedule'!$F$7:$F$66,('แผนงาน Schedule'!$I$7:$I$66&lt;=C41)+('แผนงาน Schedule'!$H$7:$H$66&lt;=C41)*('แผนงาน Schedule'!$I$7:$I$66&gt;C41)*(C41-'แผนงาน Schedule'!$H$7:$H$66+1)/('แผนงาน Schedule'!$I$7:$I$66-'แผนงาน Schedule'!$H$7:$H$66+1)))</f>
        <v/>
      </c>
      <c r="E41" s="189" t="str">
        <f aca="false">IF(C41="","",SUMPRODUCT('แผนงาน Schedule'!$F$7:$F$66,('แผนงาน Schedule'!$AA$7:$AA$66&lt;=C41)+('แผนงาน Schedule'!$Z$7:$Z$66&lt;=C41)*('แผนงาน Schedule'!$AA$7:$AA$66&gt;C41)*(C41-'แผนงาน Schedule'!$Z$7:$Z$66+1)/('แผนงาน Schedule'!$AA$7:$AA$66-'แผนงาน Schedule'!$Z$7:$Z$66+1)))</f>
        <v/>
      </c>
      <c r="F41" s="190"/>
      <c r="G41" s="189" t="str">
        <f aca="false">IF(OR(C41="",NOT(ISNUMBER(Dashboard!$C$27))),"",IF(C41&lt;Dashboard!$C$7,"",IF(Dashboard!$C$27&lt;=Dashboard!$C$7,1,MIN(1,Dashboard!$C$19+(1-Dashboard!$C$19)*(C41-Dashboard!$C$7)/(Dashboard!$C$27-Dashboard!$C$7)))))</f>
        <v/>
      </c>
      <c r="H41" s="191" t="str">
        <f aca="false">IF(OR(F41="",D41=""),"",F41-D41)</f>
        <v/>
      </c>
      <c r="I41" s="192" t="str">
        <f aca="false">IF(D41="","",D41*'ตั้งค่า Setup'!$C$9)</f>
        <v/>
      </c>
      <c r="J41" s="192" t="str">
        <f aca="false">IF(OR(C41="",F41=""),"",F41*'ตั้งค่า Setup'!$C$9)</f>
        <v/>
      </c>
      <c r="K41" s="193"/>
      <c r="L41" s="192" t="str">
        <f aca="false">IF(OR(C41="",K41=""),"",SUM(K$7:K41))</f>
        <v/>
      </c>
      <c r="M41" s="193"/>
      <c r="N41" s="192" t="str">
        <f aca="false">IF(OR(C41="",B41&gt;'ตั้งค่า Setup'!$C$15),"",SUM(M$7:M41))</f>
        <v/>
      </c>
      <c r="P41" s="178" t="n">
        <f aca="false">IF(C41&lt;&gt;"",C41,P40)</f>
        <v>46346</v>
      </c>
      <c r="Q41" s="194" t="n">
        <f aca="false">IF(D41&lt;&gt;"",D41,Q40)</f>
        <v>1</v>
      </c>
      <c r="R41" s="178" t="n">
        <f aca="false">IF(Dashboard!$C$63,P41,R40)</f>
        <v>46072</v>
      </c>
      <c r="S41" s="194" t="n">
        <f aca="false">IF(AND(Dashboard!$C$63,E41&lt;&gt;""),E41,S40)</f>
        <v>0</v>
      </c>
      <c r="T41" s="178" t="n">
        <f aca="false">IF(AND(F41&lt;&gt;"",C41&lt;&gt;""),C41,T40)</f>
        <v>46142</v>
      </c>
      <c r="U41" s="194" t="n">
        <f aca="false">IF(AND(F41&lt;&gt;"",C41&lt;&gt;""),F41,U40)</f>
        <v>0.0513</v>
      </c>
      <c r="V41" s="178" t="n">
        <f aca="false">IF(ISNUMBER(G41),C41,V40)</f>
        <v>46346</v>
      </c>
      <c r="W41" s="194" t="n">
        <f aca="false">IF(ISNUMBER(G41),G41,W40)</f>
        <v>0.300059383033419</v>
      </c>
      <c r="X41" s="195" t="n">
        <f aca="false">IF(I41&lt;&gt;"",I41,X40)</f>
        <v>12108000</v>
      </c>
      <c r="Y41" s="195" t="n">
        <f aca="false">IF(AND(F41&lt;&gt;"",C41&lt;&gt;""),J41,Y40)</f>
        <v>621140.4</v>
      </c>
      <c r="Z41" s="178" t="n">
        <f aca="false">IF(AND(K41&lt;&gt;"",C41&lt;&gt;""),C41,Z40)</f>
        <v>46072</v>
      </c>
      <c r="AA41" s="195" t="n">
        <f aca="false">IF(AND(K41&lt;&gt;"",C41&lt;&gt;""),L41,AA40)</f>
        <v>0</v>
      </c>
    </row>
    <row r="42" customFormat="false" ht="15" hidden="false" customHeight="false" outlineLevel="0" collapsed="false">
      <c r="A42" s="187" t="str">
        <f aca="false">IF(B42="","",ROW()-6)</f>
        <v/>
      </c>
      <c r="B42" s="188" t="str">
        <f aca="false">IF(C41="","",IF(C41&gt;='ตั้งค่า Setup'!$C$69,"",C41+1))</f>
        <v/>
      </c>
      <c r="C42" s="188" t="str">
        <f aca="false">IF(B42="","",IF('ตั้งค่า Setup'!$C$16="รายสัปดาห์ / Weekly",B42+6,IF('ตั้งค่า Setup'!$C$16="รายเดือน / Monthly",EOMONTH(B42,0),IF(DAY(B42)&lt;=10,DATE(YEAR(B42),MONTH(B42),10),IF(DAY(B42)&lt;=20,DATE(YEAR(B42),MONTH(B42),20),EOMONTH(B42,0))))))</f>
        <v/>
      </c>
      <c r="D42" s="189" t="str">
        <f aca="false">IF(C42="","",SUMPRODUCT('แผนงาน Schedule'!$F$7:$F$66,('แผนงาน Schedule'!$I$7:$I$66&lt;=C42)+('แผนงาน Schedule'!$H$7:$H$66&lt;=C42)*('แผนงาน Schedule'!$I$7:$I$66&gt;C42)*(C42-'แผนงาน Schedule'!$H$7:$H$66+1)/('แผนงาน Schedule'!$I$7:$I$66-'แผนงาน Schedule'!$H$7:$H$66+1)))</f>
        <v/>
      </c>
      <c r="E42" s="189" t="str">
        <f aca="false">IF(C42="","",SUMPRODUCT('แผนงาน Schedule'!$F$7:$F$66,('แผนงาน Schedule'!$AA$7:$AA$66&lt;=C42)+('แผนงาน Schedule'!$Z$7:$Z$66&lt;=C42)*('แผนงาน Schedule'!$AA$7:$AA$66&gt;C42)*(C42-'แผนงาน Schedule'!$Z$7:$Z$66+1)/('แผนงาน Schedule'!$AA$7:$AA$66-'แผนงาน Schedule'!$Z$7:$Z$66+1)))</f>
        <v/>
      </c>
      <c r="F42" s="190"/>
      <c r="G42" s="189" t="str">
        <f aca="false">IF(OR(C42="",NOT(ISNUMBER(Dashboard!$C$27))),"",IF(C42&lt;Dashboard!$C$7,"",IF(Dashboard!$C$27&lt;=Dashboard!$C$7,1,MIN(1,Dashboard!$C$19+(1-Dashboard!$C$19)*(C42-Dashboard!$C$7)/(Dashboard!$C$27-Dashboard!$C$7)))))</f>
        <v/>
      </c>
      <c r="H42" s="191" t="str">
        <f aca="false">IF(OR(F42="",D42=""),"",F42-D42)</f>
        <v/>
      </c>
      <c r="I42" s="192" t="str">
        <f aca="false">IF(D42="","",D42*'ตั้งค่า Setup'!$C$9)</f>
        <v/>
      </c>
      <c r="J42" s="192" t="str">
        <f aca="false">IF(OR(C42="",F42=""),"",F42*'ตั้งค่า Setup'!$C$9)</f>
        <v/>
      </c>
      <c r="K42" s="193"/>
      <c r="L42" s="192" t="str">
        <f aca="false">IF(OR(C42="",K42=""),"",SUM(K$7:K42))</f>
        <v/>
      </c>
      <c r="M42" s="193"/>
      <c r="N42" s="192" t="str">
        <f aca="false">IF(OR(C42="",B42&gt;'ตั้งค่า Setup'!$C$15),"",SUM(M$7:M42))</f>
        <v/>
      </c>
      <c r="P42" s="178" t="n">
        <f aca="false">IF(C42&lt;&gt;"",C42,P41)</f>
        <v>46346</v>
      </c>
      <c r="Q42" s="194" t="n">
        <f aca="false">IF(D42&lt;&gt;"",D42,Q41)</f>
        <v>1</v>
      </c>
      <c r="R42" s="178" t="n">
        <f aca="false">IF(Dashboard!$C$63,P42,R41)</f>
        <v>46072</v>
      </c>
      <c r="S42" s="194" t="n">
        <f aca="false">IF(AND(Dashboard!$C$63,E42&lt;&gt;""),E42,S41)</f>
        <v>0</v>
      </c>
      <c r="T42" s="178" t="n">
        <f aca="false">IF(AND(F42&lt;&gt;"",C42&lt;&gt;""),C42,T41)</f>
        <v>46142</v>
      </c>
      <c r="U42" s="194" t="n">
        <f aca="false">IF(AND(F42&lt;&gt;"",C42&lt;&gt;""),F42,U41)</f>
        <v>0.0513</v>
      </c>
      <c r="V42" s="178" t="n">
        <f aca="false">IF(ISNUMBER(G42),C42,V41)</f>
        <v>46346</v>
      </c>
      <c r="W42" s="194" t="n">
        <f aca="false">IF(ISNUMBER(G42),G42,W41)</f>
        <v>0.300059383033419</v>
      </c>
      <c r="X42" s="195" t="n">
        <f aca="false">IF(I42&lt;&gt;"",I42,X41)</f>
        <v>12108000</v>
      </c>
      <c r="Y42" s="195" t="n">
        <f aca="false">IF(AND(F42&lt;&gt;"",C42&lt;&gt;""),J42,Y41)</f>
        <v>621140.4</v>
      </c>
      <c r="Z42" s="178" t="n">
        <f aca="false">IF(AND(K42&lt;&gt;"",C42&lt;&gt;""),C42,Z41)</f>
        <v>46072</v>
      </c>
      <c r="AA42" s="195" t="n">
        <f aca="false">IF(AND(K42&lt;&gt;"",C42&lt;&gt;""),L42,AA41)</f>
        <v>0</v>
      </c>
    </row>
    <row r="43" customFormat="false" ht="15" hidden="false" customHeight="false" outlineLevel="0" collapsed="false">
      <c r="A43" s="187" t="str">
        <f aca="false">IF(B43="","",ROW()-6)</f>
        <v/>
      </c>
      <c r="B43" s="188" t="str">
        <f aca="false">IF(C42="","",IF(C42&gt;='ตั้งค่า Setup'!$C$69,"",C42+1))</f>
        <v/>
      </c>
      <c r="C43" s="188" t="str">
        <f aca="false">IF(B43="","",IF('ตั้งค่า Setup'!$C$16="รายสัปดาห์ / Weekly",B43+6,IF('ตั้งค่า Setup'!$C$16="รายเดือน / Monthly",EOMONTH(B43,0),IF(DAY(B43)&lt;=10,DATE(YEAR(B43),MONTH(B43),10),IF(DAY(B43)&lt;=20,DATE(YEAR(B43),MONTH(B43),20),EOMONTH(B43,0))))))</f>
        <v/>
      </c>
      <c r="D43" s="189" t="str">
        <f aca="false">IF(C43="","",SUMPRODUCT('แผนงาน Schedule'!$F$7:$F$66,('แผนงาน Schedule'!$I$7:$I$66&lt;=C43)+('แผนงาน Schedule'!$H$7:$H$66&lt;=C43)*('แผนงาน Schedule'!$I$7:$I$66&gt;C43)*(C43-'แผนงาน Schedule'!$H$7:$H$66+1)/('แผนงาน Schedule'!$I$7:$I$66-'แผนงาน Schedule'!$H$7:$H$66+1)))</f>
        <v/>
      </c>
      <c r="E43" s="189" t="str">
        <f aca="false">IF(C43="","",SUMPRODUCT('แผนงาน Schedule'!$F$7:$F$66,('แผนงาน Schedule'!$AA$7:$AA$66&lt;=C43)+('แผนงาน Schedule'!$Z$7:$Z$66&lt;=C43)*('แผนงาน Schedule'!$AA$7:$AA$66&gt;C43)*(C43-'แผนงาน Schedule'!$Z$7:$Z$66+1)/('แผนงาน Schedule'!$AA$7:$AA$66-'แผนงาน Schedule'!$Z$7:$Z$66+1)))</f>
        <v/>
      </c>
      <c r="F43" s="190"/>
      <c r="G43" s="189" t="str">
        <f aca="false">IF(OR(C43="",NOT(ISNUMBER(Dashboard!$C$27))),"",IF(C43&lt;Dashboard!$C$7,"",IF(Dashboard!$C$27&lt;=Dashboard!$C$7,1,MIN(1,Dashboard!$C$19+(1-Dashboard!$C$19)*(C43-Dashboard!$C$7)/(Dashboard!$C$27-Dashboard!$C$7)))))</f>
        <v/>
      </c>
      <c r="H43" s="191" t="str">
        <f aca="false">IF(OR(F43="",D43=""),"",F43-D43)</f>
        <v/>
      </c>
      <c r="I43" s="192" t="str">
        <f aca="false">IF(D43="","",D43*'ตั้งค่า Setup'!$C$9)</f>
        <v/>
      </c>
      <c r="J43" s="192" t="str">
        <f aca="false">IF(OR(C43="",F43=""),"",F43*'ตั้งค่า Setup'!$C$9)</f>
        <v/>
      </c>
      <c r="K43" s="193"/>
      <c r="L43" s="192" t="str">
        <f aca="false">IF(OR(C43="",K43=""),"",SUM(K$7:K43))</f>
        <v/>
      </c>
      <c r="M43" s="193"/>
      <c r="N43" s="192" t="str">
        <f aca="false">IF(OR(C43="",B43&gt;'ตั้งค่า Setup'!$C$15),"",SUM(M$7:M43))</f>
        <v/>
      </c>
      <c r="P43" s="178" t="n">
        <f aca="false">IF(C43&lt;&gt;"",C43,P42)</f>
        <v>46346</v>
      </c>
      <c r="Q43" s="194" t="n">
        <f aca="false">IF(D43&lt;&gt;"",D43,Q42)</f>
        <v>1</v>
      </c>
      <c r="R43" s="178" t="n">
        <f aca="false">IF(Dashboard!$C$63,P43,R42)</f>
        <v>46072</v>
      </c>
      <c r="S43" s="194" t="n">
        <f aca="false">IF(AND(Dashboard!$C$63,E43&lt;&gt;""),E43,S42)</f>
        <v>0</v>
      </c>
      <c r="T43" s="178" t="n">
        <f aca="false">IF(AND(F43&lt;&gt;"",C43&lt;&gt;""),C43,T42)</f>
        <v>46142</v>
      </c>
      <c r="U43" s="194" t="n">
        <f aca="false">IF(AND(F43&lt;&gt;"",C43&lt;&gt;""),F43,U42)</f>
        <v>0.0513</v>
      </c>
      <c r="V43" s="178" t="n">
        <f aca="false">IF(ISNUMBER(G43),C43,V42)</f>
        <v>46346</v>
      </c>
      <c r="W43" s="194" t="n">
        <f aca="false">IF(ISNUMBER(G43),G43,W42)</f>
        <v>0.300059383033419</v>
      </c>
      <c r="X43" s="195" t="n">
        <f aca="false">IF(I43&lt;&gt;"",I43,X42)</f>
        <v>12108000</v>
      </c>
      <c r="Y43" s="195" t="n">
        <f aca="false">IF(AND(F43&lt;&gt;"",C43&lt;&gt;""),J43,Y42)</f>
        <v>621140.4</v>
      </c>
      <c r="Z43" s="178" t="n">
        <f aca="false">IF(AND(K43&lt;&gt;"",C43&lt;&gt;""),C43,Z42)</f>
        <v>46072</v>
      </c>
      <c r="AA43" s="195" t="n">
        <f aca="false">IF(AND(K43&lt;&gt;"",C43&lt;&gt;""),L43,AA42)</f>
        <v>0</v>
      </c>
    </row>
    <row r="44" customFormat="false" ht="15" hidden="false" customHeight="false" outlineLevel="0" collapsed="false">
      <c r="A44" s="187" t="str">
        <f aca="false">IF(B44="","",ROW()-6)</f>
        <v/>
      </c>
      <c r="B44" s="188" t="str">
        <f aca="false">IF(C43="","",IF(C43&gt;='ตั้งค่า Setup'!$C$69,"",C43+1))</f>
        <v/>
      </c>
      <c r="C44" s="188" t="str">
        <f aca="false">IF(B44="","",IF('ตั้งค่า Setup'!$C$16="รายสัปดาห์ / Weekly",B44+6,IF('ตั้งค่า Setup'!$C$16="รายเดือน / Monthly",EOMONTH(B44,0),IF(DAY(B44)&lt;=10,DATE(YEAR(B44),MONTH(B44),10),IF(DAY(B44)&lt;=20,DATE(YEAR(B44),MONTH(B44),20),EOMONTH(B44,0))))))</f>
        <v/>
      </c>
      <c r="D44" s="189" t="str">
        <f aca="false">IF(C44="","",SUMPRODUCT('แผนงาน Schedule'!$F$7:$F$66,('แผนงาน Schedule'!$I$7:$I$66&lt;=C44)+('แผนงาน Schedule'!$H$7:$H$66&lt;=C44)*('แผนงาน Schedule'!$I$7:$I$66&gt;C44)*(C44-'แผนงาน Schedule'!$H$7:$H$66+1)/('แผนงาน Schedule'!$I$7:$I$66-'แผนงาน Schedule'!$H$7:$H$66+1)))</f>
        <v/>
      </c>
      <c r="E44" s="189" t="str">
        <f aca="false">IF(C44="","",SUMPRODUCT('แผนงาน Schedule'!$F$7:$F$66,('แผนงาน Schedule'!$AA$7:$AA$66&lt;=C44)+('แผนงาน Schedule'!$Z$7:$Z$66&lt;=C44)*('แผนงาน Schedule'!$AA$7:$AA$66&gt;C44)*(C44-'แผนงาน Schedule'!$Z$7:$Z$66+1)/('แผนงาน Schedule'!$AA$7:$AA$66-'แผนงาน Schedule'!$Z$7:$Z$66+1)))</f>
        <v/>
      </c>
      <c r="F44" s="190"/>
      <c r="G44" s="189" t="str">
        <f aca="false">IF(OR(C44="",NOT(ISNUMBER(Dashboard!$C$27))),"",IF(C44&lt;Dashboard!$C$7,"",IF(Dashboard!$C$27&lt;=Dashboard!$C$7,1,MIN(1,Dashboard!$C$19+(1-Dashboard!$C$19)*(C44-Dashboard!$C$7)/(Dashboard!$C$27-Dashboard!$C$7)))))</f>
        <v/>
      </c>
      <c r="H44" s="191" t="str">
        <f aca="false">IF(OR(F44="",D44=""),"",F44-D44)</f>
        <v/>
      </c>
      <c r="I44" s="192" t="str">
        <f aca="false">IF(D44="","",D44*'ตั้งค่า Setup'!$C$9)</f>
        <v/>
      </c>
      <c r="J44" s="192" t="str">
        <f aca="false">IF(OR(C44="",F44=""),"",F44*'ตั้งค่า Setup'!$C$9)</f>
        <v/>
      </c>
      <c r="K44" s="193"/>
      <c r="L44" s="192" t="str">
        <f aca="false">IF(OR(C44="",K44=""),"",SUM(K$7:K44))</f>
        <v/>
      </c>
      <c r="M44" s="193"/>
      <c r="N44" s="192" t="str">
        <f aca="false">IF(OR(C44="",B44&gt;'ตั้งค่า Setup'!$C$15),"",SUM(M$7:M44))</f>
        <v/>
      </c>
      <c r="P44" s="178" t="n">
        <f aca="false">IF(C44&lt;&gt;"",C44,P43)</f>
        <v>46346</v>
      </c>
      <c r="Q44" s="194" t="n">
        <f aca="false">IF(D44&lt;&gt;"",D44,Q43)</f>
        <v>1</v>
      </c>
      <c r="R44" s="178" t="n">
        <f aca="false">IF(Dashboard!$C$63,P44,R43)</f>
        <v>46072</v>
      </c>
      <c r="S44" s="194" t="n">
        <f aca="false">IF(AND(Dashboard!$C$63,E44&lt;&gt;""),E44,S43)</f>
        <v>0</v>
      </c>
      <c r="T44" s="178" t="n">
        <f aca="false">IF(AND(F44&lt;&gt;"",C44&lt;&gt;""),C44,T43)</f>
        <v>46142</v>
      </c>
      <c r="U44" s="194" t="n">
        <f aca="false">IF(AND(F44&lt;&gt;"",C44&lt;&gt;""),F44,U43)</f>
        <v>0.0513</v>
      </c>
      <c r="V44" s="178" t="n">
        <f aca="false">IF(ISNUMBER(G44),C44,V43)</f>
        <v>46346</v>
      </c>
      <c r="W44" s="194" t="n">
        <f aca="false">IF(ISNUMBER(G44),G44,W43)</f>
        <v>0.300059383033419</v>
      </c>
      <c r="X44" s="195" t="n">
        <f aca="false">IF(I44&lt;&gt;"",I44,X43)</f>
        <v>12108000</v>
      </c>
      <c r="Y44" s="195" t="n">
        <f aca="false">IF(AND(F44&lt;&gt;"",C44&lt;&gt;""),J44,Y43)</f>
        <v>621140.4</v>
      </c>
      <c r="Z44" s="178" t="n">
        <f aca="false">IF(AND(K44&lt;&gt;"",C44&lt;&gt;""),C44,Z43)</f>
        <v>46072</v>
      </c>
      <c r="AA44" s="195" t="n">
        <f aca="false">IF(AND(K44&lt;&gt;"",C44&lt;&gt;""),L44,AA43)</f>
        <v>0</v>
      </c>
    </row>
    <row r="45" customFormat="false" ht="15" hidden="false" customHeight="false" outlineLevel="0" collapsed="false">
      <c r="A45" s="187" t="str">
        <f aca="false">IF(B45="","",ROW()-6)</f>
        <v/>
      </c>
      <c r="B45" s="188" t="str">
        <f aca="false">IF(C44="","",IF(C44&gt;='ตั้งค่า Setup'!$C$69,"",C44+1))</f>
        <v/>
      </c>
      <c r="C45" s="188" t="str">
        <f aca="false">IF(B45="","",IF('ตั้งค่า Setup'!$C$16="รายสัปดาห์ / Weekly",B45+6,IF('ตั้งค่า Setup'!$C$16="รายเดือน / Monthly",EOMONTH(B45,0),IF(DAY(B45)&lt;=10,DATE(YEAR(B45),MONTH(B45),10),IF(DAY(B45)&lt;=20,DATE(YEAR(B45),MONTH(B45),20),EOMONTH(B45,0))))))</f>
        <v/>
      </c>
      <c r="D45" s="189" t="str">
        <f aca="false">IF(C45="","",SUMPRODUCT('แผนงาน Schedule'!$F$7:$F$66,('แผนงาน Schedule'!$I$7:$I$66&lt;=C45)+('แผนงาน Schedule'!$H$7:$H$66&lt;=C45)*('แผนงาน Schedule'!$I$7:$I$66&gt;C45)*(C45-'แผนงาน Schedule'!$H$7:$H$66+1)/('แผนงาน Schedule'!$I$7:$I$66-'แผนงาน Schedule'!$H$7:$H$66+1)))</f>
        <v/>
      </c>
      <c r="E45" s="189" t="str">
        <f aca="false">IF(C45="","",SUMPRODUCT('แผนงาน Schedule'!$F$7:$F$66,('แผนงาน Schedule'!$AA$7:$AA$66&lt;=C45)+('แผนงาน Schedule'!$Z$7:$Z$66&lt;=C45)*('แผนงาน Schedule'!$AA$7:$AA$66&gt;C45)*(C45-'แผนงาน Schedule'!$Z$7:$Z$66+1)/('แผนงาน Schedule'!$AA$7:$AA$66-'แผนงาน Schedule'!$Z$7:$Z$66+1)))</f>
        <v/>
      </c>
      <c r="F45" s="190"/>
      <c r="G45" s="189" t="str">
        <f aca="false">IF(OR(C45="",NOT(ISNUMBER(Dashboard!$C$27))),"",IF(C45&lt;Dashboard!$C$7,"",IF(Dashboard!$C$27&lt;=Dashboard!$C$7,1,MIN(1,Dashboard!$C$19+(1-Dashboard!$C$19)*(C45-Dashboard!$C$7)/(Dashboard!$C$27-Dashboard!$C$7)))))</f>
        <v/>
      </c>
      <c r="H45" s="191" t="str">
        <f aca="false">IF(OR(F45="",D45=""),"",F45-D45)</f>
        <v/>
      </c>
      <c r="I45" s="192" t="str">
        <f aca="false">IF(D45="","",D45*'ตั้งค่า Setup'!$C$9)</f>
        <v/>
      </c>
      <c r="J45" s="192" t="str">
        <f aca="false">IF(OR(C45="",F45=""),"",F45*'ตั้งค่า Setup'!$C$9)</f>
        <v/>
      </c>
      <c r="K45" s="193"/>
      <c r="L45" s="192" t="str">
        <f aca="false">IF(OR(C45="",K45=""),"",SUM(K$7:K45))</f>
        <v/>
      </c>
      <c r="M45" s="193"/>
      <c r="N45" s="192" t="str">
        <f aca="false">IF(OR(C45="",B45&gt;'ตั้งค่า Setup'!$C$15),"",SUM(M$7:M45))</f>
        <v/>
      </c>
      <c r="P45" s="178" t="n">
        <f aca="false">IF(C45&lt;&gt;"",C45,P44)</f>
        <v>46346</v>
      </c>
      <c r="Q45" s="194" t="n">
        <f aca="false">IF(D45&lt;&gt;"",D45,Q44)</f>
        <v>1</v>
      </c>
      <c r="R45" s="178" t="n">
        <f aca="false">IF(Dashboard!$C$63,P45,R44)</f>
        <v>46072</v>
      </c>
      <c r="S45" s="194" t="n">
        <f aca="false">IF(AND(Dashboard!$C$63,E45&lt;&gt;""),E45,S44)</f>
        <v>0</v>
      </c>
      <c r="T45" s="178" t="n">
        <f aca="false">IF(AND(F45&lt;&gt;"",C45&lt;&gt;""),C45,T44)</f>
        <v>46142</v>
      </c>
      <c r="U45" s="194" t="n">
        <f aca="false">IF(AND(F45&lt;&gt;"",C45&lt;&gt;""),F45,U44)</f>
        <v>0.0513</v>
      </c>
      <c r="V45" s="178" t="n">
        <f aca="false">IF(ISNUMBER(G45),C45,V44)</f>
        <v>46346</v>
      </c>
      <c r="W45" s="194" t="n">
        <f aca="false">IF(ISNUMBER(G45),G45,W44)</f>
        <v>0.300059383033419</v>
      </c>
      <c r="X45" s="195" t="n">
        <f aca="false">IF(I45&lt;&gt;"",I45,X44)</f>
        <v>12108000</v>
      </c>
      <c r="Y45" s="195" t="n">
        <f aca="false">IF(AND(F45&lt;&gt;"",C45&lt;&gt;""),J45,Y44)</f>
        <v>621140.4</v>
      </c>
      <c r="Z45" s="178" t="n">
        <f aca="false">IF(AND(K45&lt;&gt;"",C45&lt;&gt;""),C45,Z44)</f>
        <v>46072</v>
      </c>
      <c r="AA45" s="195" t="n">
        <f aca="false">IF(AND(K45&lt;&gt;"",C45&lt;&gt;""),L45,AA44)</f>
        <v>0</v>
      </c>
    </row>
    <row r="46" customFormat="false" ht="15" hidden="false" customHeight="false" outlineLevel="0" collapsed="false">
      <c r="A46" s="187" t="str">
        <f aca="false">IF(B46="","",ROW()-6)</f>
        <v/>
      </c>
      <c r="B46" s="188" t="str">
        <f aca="false">IF(C45="","",IF(C45&gt;='ตั้งค่า Setup'!$C$69,"",C45+1))</f>
        <v/>
      </c>
      <c r="C46" s="188" t="str">
        <f aca="false">IF(B46="","",IF('ตั้งค่า Setup'!$C$16="รายสัปดาห์ / Weekly",B46+6,IF('ตั้งค่า Setup'!$C$16="รายเดือน / Monthly",EOMONTH(B46,0),IF(DAY(B46)&lt;=10,DATE(YEAR(B46),MONTH(B46),10),IF(DAY(B46)&lt;=20,DATE(YEAR(B46),MONTH(B46),20),EOMONTH(B46,0))))))</f>
        <v/>
      </c>
      <c r="D46" s="189" t="str">
        <f aca="false">IF(C46="","",SUMPRODUCT('แผนงาน Schedule'!$F$7:$F$66,('แผนงาน Schedule'!$I$7:$I$66&lt;=C46)+('แผนงาน Schedule'!$H$7:$H$66&lt;=C46)*('แผนงาน Schedule'!$I$7:$I$66&gt;C46)*(C46-'แผนงาน Schedule'!$H$7:$H$66+1)/('แผนงาน Schedule'!$I$7:$I$66-'แผนงาน Schedule'!$H$7:$H$66+1)))</f>
        <v/>
      </c>
      <c r="E46" s="189" t="str">
        <f aca="false">IF(C46="","",SUMPRODUCT('แผนงาน Schedule'!$F$7:$F$66,('แผนงาน Schedule'!$AA$7:$AA$66&lt;=C46)+('แผนงาน Schedule'!$Z$7:$Z$66&lt;=C46)*('แผนงาน Schedule'!$AA$7:$AA$66&gt;C46)*(C46-'แผนงาน Schedule'!$Z$7:$Z$66+1)/('แผนงาน Schedule'!$AA$7:$AA$66-'แผนงาน Schedule'!$Z$7:$Z$66+1)))</f>
        <v/>
      </c>
      <c r="F46" s="190"/>
      <c r="G46" s="189" t="str">
        <f aca="false">IF(OR(C46="",NOT(ISNUMBER(Dashboard!$C$27))),"",IF(C46&lt;Dashboard!$C$7,"",IF(Dashboard!$C$27&lt;=Dashboard!$C$7,1,MIN(1,Dashboard!$C$19+(1-Dashboard!$C$19)*(C46-Dashboard!$C$7)/(Dashboard!$C$27-Dashboard!$C$7)))))</f>
        <v/>
      </c>
      <c r="H46" s="191" t="str">
        <f aca="false">IF(OR(F46="",D46=""),"",F46-D46)</f>
        <v/>
      </c>
      <c r="I46" s="192" t="str">
        <f aca="false">IF(D46="","",D46*'ตั้งค่า Setup'!$C$9)</f>
        <v/>
      </c>
      <c r="J46" s="192" t="str">
        <f aca="false">IF(OR(C46="",F46=""),"",F46*'ตั้งค่า Setup'!$C$9)</f>
        <v/>
      </c>
      <c r="K46" s="193"/>
      <c r="L46" s="192" t="str">
        <f aca="false">IF(OR(C46="",K46=""),"",SUM(K$7:K46))</f>
        <v/>
      </c>
      <c r="M46" s="193"/>
      <c r="N46" s="192" t="str">
        <f aca="false">IF(OR(C46="",B46&gt;'ตั้งค่า Setup'!$C$15),"",SUM(M$7:M46))</f>
        <v/>
      </c>
      <c r="P46" s="178" t="n">
        <f aca="false">IF(C46&lt;&gt;"",C46,P45)</f>
        <v>46346</v>
      </c>
      <c r="Q46" s="194" t="n">
        <f aca="false">IF(D46&lt;&gt;"",D46,Q45)</f>
        <v>1</v>
      </c>
      <c r="R46" s="178" t="n">
        <f aca="false">IF(Dashboard!$C$63,P46,R45)</f>
        <v>46072</v>
      </c>
      <c r="S46" s="194" t="n">
        <f aca="false">IF(AND(Dashboard!$C$63,E46&lt;&gt;""),E46,S45)</f>
        <v>0</v>
      </c>
      <c r="T46" s="178" t="n">
        <f aca="false">IF(AND(F46&lt;&gt;"",C46&lt;&gt;""),C46,T45)</f>
        <v>46142</v>
      </c>
      <c r="U46" s="194" t="n">
        <f aca="false">IF(AND(F46&lt;&gt;"",C46&lt;&gt;""),F46,U45)</f>
        <v>0.0513</v>
      </c>
      <c r="V46" s="178" t="n">
        <f aca="false">IF(ISNUMBER(G46),C46,V45)</f>
        <v>46346</v>
      </c>
      <c r="W46" s="194" t="n">
        <f aca="false">IF(ISNUMBER(G46),G46,W45)</f>
        <v>0.300059383033419</v>
      </c>
      <c r="X46" s="195" t="n">
        <f aca="false">IF(I46&lt;&gt;"",I46,X45)</f>
        <v>12108000</v>
      </c>
      <c r="Y46" s="195" t="n">
        <f aca="false">IF(AND(F46&lt;&gt;"",C46&lt;&gt;""),J46,Y45)</f>
        <v>621140.4</v>
      </c>
      <c r="Z46" s="178" t="n">
        <f aca="false">IF(AND(K46&lt;&gt;"",C46&lt;&gt;""),C46,Z45)</f>
        <v>46072</v>
      </c>
      <c r="AA46" s="195" t="n">
        <f aca="false">IF(AND(K46&lt;&gt;"",C46&lt;&gt;""),L46,AA45)</f>
        <v>0</v>
      </c>
    </row>
    <row r="47" customFormat="false" ht="15" hidden="false" customHeight="false" outlineLevel="0" collapsed="false">
      <c r="A47" s="187" t="str">
        <f aca="false">IF(B47="","",ROW()-6)</f>
        <v/>
      </c>
      <c r="B47" s="188" t="str">
        <f aca="false">IF(C46="","",IF(C46&gt;='ตั้งค่า Setup'!$C$69,"",C46+1))</f>
        <v/>
      </c>
      <c r="C47" s="188" t="str">
        <f aca="false">IF(B47="","",IF('ตั้งค่า Setup'!$C$16="รายสัปดาห์ / Weekly",B47+6,IF('ตั้งค่า Setup'!$C$16="รายเดือน / Monthly",EOMONTH(B47,0),IF(DAY(B47)&lt;=10,DATE(YEAR(B47),MONTH(B47),10),IF(DAY(B47)&lt;=20,DATE(YEAR(B47),MONTH(B47),20),EOMONTH(B47,0))))))</f>
        <v/>
      </c>
      <c r="D47" s="189" t="str">
        <f aca="false">IF(C47="","",SUMPRODUCT('แผนงาน Schedule'!$F$7:$F$66,('แผนงาน Schedule'!$I$7:$I$66&lt;=C47)+('แผนงาน Schedule'!$H$7:$H$66&lt;=C47)*('แผนงาน Schedule'!$I$7:$I$66&gt;C47)*(C47-'แผนงาน Schedule'!$H$7:$H$66+1)/('แผนงาน Schedule'!$I$7:$I$66-'แผนงาน Schedule'!$H$7:$H$66+1)))</f>
        <v/>
      </c>
      <c r="E47" s="189" t="str">
        <f aca="false">IF(C47="","",SUMPRODUCT('แผนงาน Schedule'!$F$7:$F$66,('แผนงาน Schedule'!$AA$7:$AA$66&lt;=C47)+('แผนงาน Schedule'!$Z$7:$Z$66&lt;=C47)*('แผนงาน Schedule'!$AA$7:$AA$66&gt;C47)*(C47-'แผนงาน Schedule'!$Z$7:$Z$66+1)/('แผนงาน Schedule'!$AA$7:$AA$66-'แผนงาน Schedule'!$Z$7:$Z$66+1)))</f>
        <v/>
      </c>
      <c r="F47" s="190"/>
      <c r="G47" s="189" t="str">
        <f aca="false">IF(OR(C47="",NOT(ISNUMBER(Dashboard!$C$27))),"",IF(C47&lt;Dashboard!$C$7,"",IF(Dashboard!$C$27&lt;=Dashboard!$C$7,1,MIN(1,Dashboard!$C$19+(1-Dashboard!$C$19)*(C47-Dashboard!$C$7)/(Dashboard!$C$27-Dashboard!$C$7)))))</f>
        <v/>
      </c>
      <c r="H47" s="191" t="str">
        <f aca="false">IF(OR(F47="",D47=""),"",F47-D47)</f>
        <v/>
      </c>
      <c r="I47" s="192" t="str">
        <f aca="false">IF(D47="","",D47*'ตั้งค่า Setup'!$C$9)</f>
        <v/>
      </c>
      <c r="J47" s="192" t="str">
        <f aca="false">IF(OR(C47="",F47=""),"",F47*'ตั้งค่า Setup'!$C$9)</f>
        <v/>
      </c>
      <c r="K47" s="193"/>
      <c r="L47" s="192" t="str">
        <f aca="false">IF(OR(C47="",K47=""),"",SUM(K$7:K47))</f>
        <v/>
      </c>
      <c r="M47" s="193"/>
      <c r="N47" s="192" t="str">
        <f aca="false">IF(OR(C47="",B47&gt;'ตั้งค่า Setup'!$C$15),"",SUM(M$7:M47))</f>
        <v/>
      </c>
      <c r="P47" s="178" t="n">
        <f aca="false">IF(C47&lt;&gt;"",C47,P46)</f>
        <v>46346</v>
      </c>
      <c r="Q47" s="194" t="n">
        <f aca="false">IF(D47&lt;&gt;"",D47,Q46)</f>
        <v>1</v>
      </c>
      <c r="R47" s="178" t="n">
        <f aca="false">IF(Dashboard!$C$63,P47,R46)</f>
        <v>46072</v>
      </c>
      <c r="S47" s="194" t="n">
        <f aca="false">IF(AND(Dashboard!$C$63,E47&lt;&gt;""),E47,S46)</f>
        <v>0</v>
      </c>
      <c r="T47" s="178" t="n">
        <f aca="false">IF(AND(F47&lt;&gt;"",C47&lt;&gt;""),C47,T46)</f>
        <v>46142</v>
      </c>
      <c r="U47" s="194" t="n">
        <f aca="false">IF(AND(F47&lt;&gt;"",C47&lt;&gt;""),F47,U46)</f>
        <v>0.0513</v>
      </c>
      <c r="V47" s="178" t="n">
        <f aca="false">IF(ISNUMBER(G47),C47,V46)</f>
        <v>46346</v>
      </c>
      <c r="W47" s="194" t="n">
        <f aca="false">IF(ISNUMBER(G47),G47,W46)</f>
        <v>0.300059383033419</v>
      </c>
      <c r="X47" s="195" t="n">
        <f aca="false">IF(I47&lt;&gt;"",I47,X46)</f>
        <v>12108000</v>
      </c>
      <c r="Y47" s="195" t="n">
        <f aca="false">IF(AND(F47&lt;&gt;"",C47&lt;&gt;""),J47,Y46)</f>
        <v>621140.4</v>
      </c>
      <c r="Z47" s="178" t="n">
        <f aca="false">IF(AND(K47&lt;&gt;"",C47&lt;&gt;""),C47,Z46)</f>
        <v>46072</v>
      </c>
      <c r="AA47" s="195" t="n">
        <f aca="false">IF(AND(K47&lt;&gt;"",C47&lt;&gt;""),L47,AA46)</f>
        <v>0</v>
      </c>
    </row>
    <row r="48" customFormat="false" ht="15" hidden="false" customHeight="false" outlineLevel="0" collapsed="false">
      <c r="A48" s="187" t="str">
        <f aca="false">IF(B48="","",ROW()-6)</f>
        <v/>
      </c>
      <c r="B48" s="188" t="str">
        <f aca="false">IF(C47="","",IF(C47&gt;='ตั้งค่า Setup'!$C$69,"",C47+1))</f>
        <v/>
      </c>
      <c r="C48" s="188" t="str">
        <f aca="false">IF(B48="","",IF('ตั้งค่า Setup'!$C$16="รายสัปดาห์ / Weekly",B48+6,IF('ตั้งค่า Setup'!$C$16="รายเดือน / Monthly",EOMONTH(B48,0),IF(DAY(B48)&lt;=10,DATE(YEAR(B48),MONTH(B48),10),IF(DAY(B48)&lt;=20,DATE(YEAR(B48),MONTH(B48),20),EOMONTH(B48,0))))))</f>
        <v/>
      </c>
      <c r="D48" s="189" t="str">
        <f aca="false">IF(C48="","",SUMPRODUCT('แผนงาน Schedule'!$F$7:$F$66,('แผนงาน Schedule'!$I$7:$I$66&lt;=C48)+('แผนงาน Schedule'!$H$7:$H$66&lt;=C48)*('แผนงาน Schedule'!$I$7:$I$66&gt;C48)*(C48-'แผนงาน Schedule'!$H$7:$H$66+1)/('แผนงาน Schedule'!$I$7:$I$66-'แผนงาน Schedule'!$H$7:$H$66+1)))</f>
        <v/>
      </c>
      <c r="E48" s="189" t="str">
        <f aca="false">IF(C48="","",SUMPRODUCT('แผนงาน Schedule'!$F$7:$F$66,('แผนงาน Schedule'!$AA$7:$AA$66&lt;=C48)+('แผนงาน Schedule'!$Z$7:$Z$66&lt;=C48)*('แผนงาน Schedule'!$AA$7:$AA$66&gt;C48)*(C48-'แผนงาน Schedule'!$Z$7:$Z$66+1)/('แผนงาน Schedule'!$AA$7:$AA$66-'แผนงาน Schedule'!$Z$7:$Z$66+1)))</f>
        <v/>
      </c>
      <c r="F48" s="190"/>
      <c r="G48" s="189" t="str">
        <f aca="false">IF(OR(C48="",NOT(ISNUMBER(Dashboard!$C$27))),"",IF(C48&lt;Dashboard!$C$7,"",IF(Dashboard!$C$27&lt;=Dashboard!$C$7,1,MIN(1,Dashboard!$C$19+(1-Dashboard!$C$19)*(C48-Dashboard!$C$7)/(Dashboard!$C$27-Dashboard!$C$7)))))</f>
        <v/>
      </c>
      <c r="H48" s="191" t="str">
        <f aca="false">IF(OR(F48="",D48=""),"",F48-D48)</f>
        <v/>
      </c>
      <c r="I48" s="192" t="str">
        <f aca="false">IF(D48="","",D48*'ตั้งค่า Setup'!$C$9)</f>
        <v/>
      </c>
      <c r="J48" s="192" t="str">
        <f aca="false">IF(OR(C48="",F48=""),"",F48*'ตั้งค่า Setup'!$C$9)</f>
        <v/>
      </c>
      <c r="K48" s="193"/>
      <c r="L48" s="192" t="str">
        <f aca="false">IF(OR(C48="",K48=""),"",SUM(K$7:K48))</f>
        <v/>
      </c>
      <c r="M48" s="193"/>
      <c r="N48" s="192" t="str">
        <f aca="false">IF(OR(C48="",B48&gt;'ตั้งค่า Setup'!$C$15),"",SUM(M$7:M48))</f>
        <v/>
      </c>
      <c r="P48" s="178" t="n">
        <f aca="false">IF(C48&lt;&gt;"",C48,P47)</f>
        <v>46346</v>
      </c>
      <c r="Q48" s="194" t="n">
        <f aca="false">IF(D48&lt;&gt;"",D48,Q47)</f>
        <v>1</v>
      </c>
      <c r="R48" s="178" t="n">
        <f aca="false">IF(Dashboard!$C$63,P48,R47)</f>
        <v>46072</v>
      </c>
      <c r="S48" s="194" t="n">
        <f aca="false">IF(AND(Dashboard!$C$63,E48&lt;&gt;""),E48,S47)</f>
        <v>0</v>
      </c>
      <c r="T48" s="178" t="n">
        <f aca="false">IF(AND(F48&lt;&gt;"",C48&lt;&gt;""),C48,T47)</f>
        <v>46142</v>
      </c>
      <c r="U48" s="194" t="n">
        <f aca="false">IF(AND(F48&lt;&gt;"",C48&lt;&gt;""),F48,U47)</f>
        <v>0.0513</v>
      </c>
      <c r="V48" s="178" t="n">
        <f aca="false">IF(ISNUMBER(G48),C48,V47)</f>
        <v>46346</v>
      </c>
      <c r="W48" s="194" t="n">
        <f aca="false">IF(ISNUMBER(G48),G48,W47)</f>
        <v>0.300059383033419</v>
      </c>
      <c r="X48" s="195" t="n">
        <f aca="false">IF(I48&lt;&gt;"",I48,X47)</f>
        <v>12108000</v>
      </c>
      <c r="Y48" s="195" t="n">
        <f aca="false">IF(AND(F48&lt;&gt;"",C48&lt;&gt;""),J48,Y47)</f>
        <v>621140.4</v>
      </c>
      <c r="Z48" s="178" t="n">
        <f aca="false">IF(AND(K48&lt;&gt;"",C48&lt;&gt;""),C48,Z47)</f>
        <v>46072</v>
      </c>
      <c r="AA48" s="195" t="n">
        <f aca="false">IF(AND(K48&lt;&gt;"",C48&lt;&gt;""),L48,AA47)</f>
        <v>0</v>
      </c>
    </row>
    <row r="49" customFormat="false" ht="15" hidden="false" customHeight="false" outlineLevel="0" collapsed="false">
      <c r="A49" s="187" t="str">
        <f aca="false">IF(B49="","",ROW()-6)</f>
        <v/>
      </c>
      <c r="B49" s="188" t="str">
        <f aca="false">IF(C48="","",IF(C48&gt;='ตั้งค่า Setup'!$C$69,"",C48+1))</f>
        <v/>
      </c>
      <c r="C49" s="188" t="str">
        <f aca="false">IF(B49="","",IF('ตั้งค่า Setup'!$C$16="รายสัปดาห์ / Weekly",B49+6,IF('ตั้งค่า Setup'!$C$16="รายเดือน / Monthly",EOMONTH(B49,0),IF(DAY(B49)&lt;=10,DATE(YEAR(B49),MONTH(B49),10),IF(DAY(B49)&lt;=20,DATE(YEAR(B49),MONTH(B49),20),EOMONTH(B49,0))))))</f>
        <v/>
      </c>
      <c r="D49" s="189" t="str">
        <f aca="false">IF(C49="","",SUMPRODUCT('แผนงาน Schedule'!$F$7:$F$66,('แผนงาน Schedule'!$I$7:$I$66&lt;=C49)+('แผนงาน Schedule'!$H$7:$H$66&lt;=C49)*('แผนงาน Schedule'!$I$7:$I$66&gt;C49)*(C49-'แผนงาน Schedule'!$H$7:$H$66+1)/('แผนงาน Schedule'!$I$7:$I$66-'แผนงาน Schedule'!$H$7:$H$66+1)))</f>
        <v/>
      </c>
      <c r="E49" s="189" t="str">
        <f aca="false">IF(C49="","",SUMPRODUCT('แผนงาน Schedule'!$F$7:$F$66,('แผนงาน Schedule'!$AA$7:$AA$66&lt;=C49)+('แผนงาน Schedule'!$Z$7:$Z$66&lt;=C49)*('แผนงาน Schedule'!$AA$7:$AA$66&gt;C49)*(C49-'แผนงาน Schedule'!$Z$7:$Z$66+1)/('แผนงาน Schedule'!$AA$7:$AA$66-'แผนงาน Schedule'!$Z$7:$Z$66+1)))</f>
        <v/>
      </c>
      <c r="F49" s="190"/>
      <c r="G49" s="189" t="str">
        <f aca="false">IF(OR(C49="",NOT(ISNUMBER(Dashboard!$C$27))),"",IF(C49&lt;Dashboard!$C$7,"",IF(Dashboard!$C$27&lt;=Dashboard!$C$7,1,MIN(1,Dashboard!$C$19+(1-Dashboard!$C$19)*(C49-Dashboard!$C$7)/(Dashboard!$C$27-Dashboard!$C$7)))))</f>
        <v/>
      </c>
      <c r="H49" s="191" t="str">
        <f aca="false">IF(OR(F49="",D49=""),"",F49-D49)</f>
        <v/>
      </c>
      <c r="I49" s="192" t="str">
        <f aca="false">IF(D49="","",D49*'ตั้งค่า Setup'!$C$9)</f>
        <v/>
      </c>
      <c r="J49" s="192" t="str">
        <f aca="false">IF(OR(C49="",F49=""),"",F49*'ตั้งค่า Setup'!$C$9)</f>
        <v/>
      </c>
      <c r="K49" s="193"/>
      <c r="L49" s="192" t="str">
        <f aca="false">IF(OR(C49="",K49=""),"",SUM(K$7:K49))</f>
        <v/>
      </c>
      <c r="M49" s="193"/>
      <c r="N49" s="192" t="str">
        <f aca="false">IF(OR(C49="",B49&gt;'ตั้งค่า Setup'!$C$15),"",SUM(M$7:M49))</f>
        <v/>
      </c>
      <c r="P49" s="178" t="n">
        <f aca="false">IF(C49&lt;&gt;"",C49,P48)</f>
        <v>46346</v>
      </c>
      <c r="Q49" s="194" t="n">
        <f aca="false">IF(D49&lt;&gt;"",D49,Q48)</f>
        <v>1</v>
      </c>
      <c r="R49" s="178" t="n">
        <f aca="false">IF(Dashboard!$C$63,P49,R48)</f>
        <v>46072</v>
      </c>
      <c r="S49" s="194" t="n">
        <f aca="false">IF(AND(Dashboard!$C$63,E49&lt;&gt;""),E49,S48)</f>
        <v>0</v>
      </c>
      <c r="T49" s="178" t="n">
        <f aca="false">IF(AND(F49&lt;&gt;"",C49&lt;&gt;""),C49,T48)</f>
        <v>46142</v>
      </c>
      <c r="U49" s="194" t="n">
        <f aca="false">IF(AND(F49&lt;&gt;"",C49&lt;&gt;""),F49,U48)</f>
        <v>0.0513</v>
      </c>
      <c r="V49" s="178" t="n">
        <f aca="false">IF(ISNUMBER(G49),C49,V48)</f>
        <v>46346</v>
      </c>
      <c r="W49" s="194" t="n">
        <f aca="false">IF(ISNUMBER(G49),G49,W48)</f>
        <v>0.300059383033419</v>
      </c>
      <c r="X49" s="195" t="n">
        <f aca="false">IF(I49&lt;&gt;"",I49,X48)</f>
        <v>12108000</v>
      </c>
      <c r="Y49" s="195" t="n">
        <f aca="false">IF(AND(F49&lt;&gt;"",C49&lt;&gt;""),J49,Y48)</f>
        <v>621140.4</v>
      </c>
      <c r="Z49" s="178" t="n">
        <f aca="false">IF(AND(K49&lt;&gt;"",C49&lt;&gt;""),C49,Z48)</f>
        <v>46072</v>
      </c>
      <c r="AA49" s="195" t="n">
        <f aca="false">IF(AND(K49&lt;&gt;"",C49&lt;&gt;""),L49,AA48)</f>
        <v>0</v>
      </c>
    </row>
    <row r="50" customFormat="false" ht="15" hidden="false" customHeight="false" outlineLevel="0" collapsed="false">
      <c r="A50" s="187" t="str">
        <f aca="false">IF(B50="","",ROW()-6)</f>
        <v/>
      </c>
      <c r="B50" s="188" t="str">
        <f aca="false">IF(C49="","",IF(C49&gt;='ตั้งค่า Setup'!$C$69,"",C49+1))</f>
        <v/>
      </c>
      <c r="C50" s="188" t="str">
        <f aca="false">IF(B50="","",IF('ตั้งค่า Setup'!$C$16="รายสัปดาห์ / Weekly",B50+6,IF('ตั้งค่า Setup'!$C$16="รายเดือน / Monthly",EOMONTH(B50,0),IF(DAY(B50)&lt;=10,DATE(YEAR(B50),MONTH(B50),10),IF(DAY(B50)&lt;=20,DATE(YEAR(B50),MONTH(B50),20),EOMONTH(B50,0))))))</f>
        <v/>
      </c>
      <c r="D50" s="189" t="str">
        <f aca="false">IF(C50="","",SUMPRODUCT('แผนงาน Schedule'!$F$7:$F$66,('แผนงาน Schedule'!$I$7:$I$66&lt;=C50)+('แผนงาน Schedule'!$H$7:$H$66&lt;=C50)*('แผนงาน Schedule'!$I$7:$I$66&gt;C50)*(C50-'แผนงาน Schedule'!$H$7:$H$66+1)/('แผนงาน Schedule'!$I$7:$I$66-'แผนงาน Schedule'!$H$7:$H$66+1)))</f>
        <v/>
      </c>
      <c r="E50" s="189" t="str">
        <f aca="false">IF(C50="","",SUMPRODUCT('แผนงาน Schedule'!$F$7:$F$66,('แผนงาน Schedule'!$AA$7:$AA$66&lt;=C50)+('แผนงาน Schedule'!$Z$7:$Z$66&lt;=C50)*('แผนงาน Schedule'!$AA$7:$AA$66&gt;C50)*(C50-'แผนงาน Schedule'!$Z$7:$Z$66+1)/('แผนงาน Schedule'!$AA$7:$AA$66-'แผนงาน Schedule'!$Z$7:$Z$66+1)))</f>
        <v/>
      </c>
      <c r="F50" s="190"/>
      <c r="G50" s="189" t="str">
        <f aca="false">IF(OR(C50="",NOT(ISNUMBER(Dashboard!$C$27))),"",IF(C50&lt;Dashboard!$C$7,"",IF(Dashboard!$C$27&lt;=Dashboard!$C$7,1,MIN(1,Dashboard!$C$19+(1-Dashboard!$C$19)*(C50-Dashboard!$C$7)/(Dashboard!$C$27-Dashboard!$C$7)))))</f>
        <v/>
      </c>
      <c r="H50" s="191" t="str">
        <f aca="false">IF(OR(F50="",D50=""),"",F50-D50)</f>
        <v/>
      </c>
      <c r="I50" s="192" t="str">
        <f aca="false">IF(D50="","",D50*'ตั้งค่า Setup'!$C$9)</f>
        <v/>
      </c>
      <c r="J50" s="192" t="str">
        <f aca="false">IF(OR(C50="",F50=""),"",F50*'ตั้งค่า Setup'!$C$9)</f>
        <v/>
      </c>
      <c r="K50" s="193"/>
      <c r="L50" s="192" t="str">
        <f aca="false">IF(OR(C50="",K50=""),"",SUM(K$7:K50))</f>
        <v/>
      </c>
      <c r="M50" s="193"/>
      <c r="N50" s="192" t="str">
        <f aca="false">IF(OR(C50="",B50&gt;'ตั้งค่า Setup'!$C$15),"",SUM(M$7:M50))</f>
        <v/>
      </c>
      <c r="P50" s="178" t="n">
        <f aca="false">IF(C50&lt;&gt;"",C50,P49)</f>
        <v>46346</v>
      </c>
      <c r="Q50" s="194" t="n">
        <f aca="false">IF(D50&lt;&gt;"",D50,Q49)</f>
        <v>1</v>
      </c>
      <c r="R50" s="178" t="n">
        <f aca="false">IF(Dashboard!$C$63,P50,R49)</f>
        <v>46072</v>
      </c>
      <c r="S50" s="194" t="n">
        <f aca="false">IF(AND(Dashboard!$C$63,E50&lt;&gt;""),E50,S49)</f>
        <v>0</v>
      </c>
      <c r="T50" s="178" t="n">
        <f aca="false">IF(AND(F50&lt;&gt;"",C50&lt;&gt;""),C50,T49)</f>
        <v>46142</v>
      </c>
      <c r="U50" s="194" t="n">
        <f aca="false">IF(AND(F50&lt;&gt;"",C50&lt;&gt;""),F50,U49)</f>
        <v>0.0513</v>
      </c>
      <c r="V50" s="178" t="n">
        <f aca="false">IF(ISNUMBER(G50),C50,V49)</f>
        <v>46346</v>
      </c>
      <c r="W50" s="194" t="n">
        <f aca="false">IF(ISNUMBER(G50),G50,W49)</f>
        <v>0.300059383033419</v>
      </c>
      <c r="X50" s="195" t="n">
        <f aca="false">IF(I50&lt;&gt;"",I50,X49)</f>
        <v>12108000</v>
      </c>
      <c r="Y50" s="195" t="n">
        <f aca="false">IF(AND(F50&lt;&gt;"",C50&lt;&gt;""),J50,Y49)</f>
        <v>621140.4</v>
      </c>
      <c r="Z50" s="178" t="n">
        <f aca="false">IF(AND(K50&lt;&gt;"",C50&lt;&gt;""),C50,Z49)</f>
        <v>46072</v>
      </c>
      <c r="AA50" s="195" t="n">
        <f aca="false">IF(AND(K50&lt;&gt;"",C50&lt;&gt;""),L50,AA49)</f>
        <v>0</v>
      </c>
    </row>
    <row r="51" customFormat="false" ht="15" hidden="false" customHeight="false" outlineLevel="0" collapsed="false">
      <c r="A51" s="187" t="str">
        <f aca="false">IF(B51="","",ROW()-6)</f>
        <v/>
      </c>
      <c r="B51" s="188" t="str">
        <f aca="false">IF(C50="","",IF(C50&gt;='ตั้งค่า Setup'!$C$69,"",C50+1))</f>
        <v/>
      </c>
      <c r="C51" s="188" t="str">
        <f aca="false">IF(B51="","",IF('ตั้งค่า Setup'!$C$16="รายสัปดาห์ / Weekly",B51+6,IF('ตั้งค่า Setup'!$C$16="รายเดือน / Monthly",EOMONTH(B51,0),IF(DAY(B51)&lt;=10,DATE(YEAR(B51),MONTH(B51),10),IF(DAY(B51)&lt;=20,DATE(YEAR(B51),MONTH(B51),20),EOMONTH(B51,0))))))</f>
        <v/>
      </c>
      <c r="D51" s="189" t="str">
        <f aca="false">IF(C51="","",SUMPRODUCT('แผนงาน Schedule'!$F$7:$F$66,('แผนงาน Schedule'!$I$7:$I$66&lt;=C51)+('แผนงาน Schedule'!$H$7:$H$66&lt;=C51)*('แผนงาน Schedule'!$I$7:$I$66&gt;C51)*(C51-'แผนงาน Schedule'!$H$7:$H$66+1)/('แผนงาน Schedule'!$I$7:$I$66-'แผนงาน Schedule'!$H$7:$H$66+1)))</f>
        <v/>
      </c>
      <c r="E51" s="189" t="str">
        <f aca="false">IF(C51="","",SUMPRODUCT('แผนงาน Schedule'!$F$7:$F$66,('แผนงาน Schedule'!$AA$7:$AA$66&lt;=C51)+('แผนงาน Schedule'!$Z$7:$Z$66&lt;=C51)*('แผนงาน Schedule'!$AA$7:$AA$66&gt;C51)*(C51-'แผนงาน Schedule'!$Z$7:$Z$66+1)/('แผนงาน Schedule'!$AA$7:$AA$66-'แผนงาน Schedule'!$Z$7:$Z$66+1)))</f>
        <v/>
      </c>
      <c r="F51" s="190"/>
      <c r="G51" s="189" t="str">
        <f aca="false">IF(OR(C51="",NOT(ISNUMBER(Dashboard!$C$27))),"",IF(C51&lt;Dashboard!$C$7,"",IF(Dashboard!$C$27&lt;=Dashboard!$C$7,1,MIN(1,Dashboard!$C$19+(1-Dashboard!$C$19)*(C51-Dashboard!$C$7)/(Dashboard!$C$27-Dashboard!$C$7)))))</f>
        <v/>
      </c>
      <c r="H51" s="191" t="str">
        <f aca="false">IF(OR(F51="",D51=""),"",F51-D51)</f>
        <v/>
      </c>
      <c r="I51" s="192" t="str">
        <f aca="false">IF(D51="","",D51*'ตั้งค่า Setup'!$C$9)</f>
        <v/>
      </c>
      <c r="J51" s="192" t="str">
        <f aca="false">IF(OR(C51="",F51=""),"",F51*'ตั้งค่า Setup'!$C$9)</f>
        <v/>
      </c>
      <c r="K51" s="193"/>
      <c r="L51" s="192" t="str">
        <f aca="false">IF(OR(C51="",K51=""),"",SUM(K$7:K51))</f>
        <v/>
      </c>
      <c r="M51" s="193"/>
      <c r="N51" s="192" t="str">
        <f aca="false">IF(OR(C51="",B51&gt;'ตั้งค่า Setup'!$C$15),"",SUM(M$7:M51))</f>
        <v/>
      </c>
      <c r="P51" s="178" t="n">
        <f aca="false">IF(C51&lt;&gt;"",C51,P50)</f>
        <v>46346</v>
      </c>
      <c r="Q51" s="194" t="n">
        <f aca="false">IF(D51&lt;&gt;"",D51,Q50)</f>
        <v>1</v>
      </c>
      <c r="R51" s="178" t="n">
        <f aca="false">IF(Dashboard!$C$63,P51,R50)</f>
        <v>46072</v>
      </c>
      <c r="S51" s="194" t="n">
        <f aca="false">IF(AND(Dashboard!$C$63,E51&lt;&gt;""),E51,S50)</f>
        <v>0</v>
      </c>
      <c r="T51" s="178" t="n">
        <f aca="false">IF(AND(F51&lt;&gt;"",C51&lt;&gt;""),C51,T50)</f>
        <v>46142</v>
      </c>
      <c r="U51" s="194" t="n">
        <f aca="false">IF(AND(F51&lt;&gt;"",C51&lt;&gt;""),F51,U50)</f>
        <v>0.0513</v>
      </c>
      <c r="V51" s="178" t="n">
        <f aca="false">IF(ISNUMBER(G51),C51,V50)</f>
        <v>46346</v>
      </c>
      <c r="W51" s="194" t="n">
        <f aca="false">IF(ISNUMBER(G51),G51,W50)</f>
        <v>0.300059383033419</v>
      </c>
      <c r="X51" s="195" t="n">
        <f aca="false">IF(I51&lt;&gt;"",I51,X50)</f>
        <v>12108000</v>
      </c>
      <c r="Y51" s="195" t="n">
        <f aca="false">IF(AND(F51&lt;&gt;"",C51&lt;&gt;""),J51,Y50)</f>
        <v>621140.4</v>
      </c>
      <c r="Z51" s="178" t="n">
        <f aca="false">IF(AND(K51&lt;&gt;"",C51&lt;&gt;""),C51,Z50)</f>
        <v>46072</v>
      </c>
      <c r="AA51" s="195" t="n">
        <f aca="false">IF(AND(K51&lt;&gt;"",C51&lt;&gt;""),L51,AA50)</f>
        <v>0</v>
      </c>
    </row>
    <row r="52" customFormat="false" ht="15" hidden="false" customHeight="false" outlineLevel="0" collapsed="false">
      <c r="A52" s="187" t="str">
        <f aca="false">IF(B52="","",ROW()-6)</f>
        <v/>
      </c>
      <c r="B52" s="188" t="str">
        <f aca="false">IF(C51="","",IF(C51&gt;='ตั้งค่า Setup'!$C$69,"",C51+1))</f>
        <v/>
      </c>
      <c r="C52" s="188" t="str">
        <f aca="false">IF(B52="","",IF('ตั้งค่า Setup'!$C$16="รายสัปดาห์ / Weekly",B52+6,IF('ตั้งค่า Setup'!$C$16="รายเดือน / Monthly",EOMONTH(B52,0),IF(DAY(B52)&lt;=10,DATE(YEAR(B52),MONTH(B52),10),IF(DAY(B52)&lt;=20,DATE(YEAR(B52),MONTH(B52),20),EOMONTH(B52,0))))))</f>
        <v/>
      </c>
      <c r="D52" s="189" t="str">
        <f aca="false">IF(C52="","",SUMPRODUCT('แผนงาน Schedule'!$F$7:$F$66,('แผนงาน Schedule'!$I$7:$I$66&lt;=C52)+('แผนงาน Schedule'!$H$7:$H$66&lt;=C52)*('แผนงาน Schedule'!$I$7:$I$66&gt;C52)*(C52-'แผนงาน Schedule'!$H$7:$H$66+1)/('แผนงาน Schedule'!$I$7:$I$66-'แผนงาน Schedule'!$H$7:$H$66+1)))</f>
        <v/>
      </c>
      <c r="E52" s="189" t="str">
        <f aca="false">IF(C52="","",SUMPRODUCT('แผนงาน Schedule'!$F$7:$F$66,('แผนงาน Schedule'!$AA$7:$AA$66&lt;=C52)+('แผนงาน Schedule'!$Z$7:$Z$66&lt;=C52)*('แผนงาน Schedule'!$AA$7:$AA$66&gt;C52)*(C52-'แผนงาน Schedule'!$Z$7:$Z$66+1)/('แผนงาน Schedule'!$AA$7:$AA$66-'แผนงาน Schedule'!$Z$7:$Z$66+1)))</f>
        <v/>
      </c>
      <c r="F52" s="190"/>
      <c r="G52" s="189" t="str">
        <f aca="false">IF(OR(C52="",NOT(ISNUMBER(Dashboard!$C$27))),"",IF(C52&lt;Dashboard!$C$7,"",IF(Dashboard!$C$27&lt;=Dashboard!$C$7,1,MIN(1,Dashboard!$C$19+(1-Dashboard!$C$19)*(C52-Dashboard!$C$7)/(Dashboard!$C$27-Dashboard!$C$7)))))</f>
        <v/>
      </c>
      <c r="H52" s="191" t="str">
        <f aca="false">IF(OR(F52="",D52=""),"",F52-D52)</f>
        <v/>
      </c>
      <c r="I52" s="192" t="str">
        <f aca="false">IF(D52="","",D52*'ตั้งค่า Setup'!$C$9)</f>
        <v/>
      </c>
      <c r="J52" s="192" t="str">
        <f aca="false">IF(OR(C52="",F52=""),"",F52*'ตั้งค่า Setup'!$C$9)</f>
        <v/>
      </c>
      <c r="K52" s="193"/>
      <c r="L52" s="192" t="str">
        <f aca="false">IF(OR(C52="",K52=""),"",SUM(K$7:K52))</f>
        <v/>
      </c>
      <c r="M52" s="193"/>
      <c r="N52" s="192" t="str">
        <f aca="false">IF(OR(C52="",B52&gt;'ตั้งค่า Setup'!$C$15),"",SUM(M$7:M52))</f>
        <v/>
      </c>
      <c r="P52" s="178" t="n">
        <f aca="false">IF(C52&lt;&gt;"",C52,P51)</f>
        <v>46346</v>
      </c>
      <c r="Q52" s="194" t="n">
        <f aca="false">IF(D52&lt;&gt;"",D52,Q51)</f>
        <v>1</v>
      </c>
      <c r="R52" s="178" t="n">
        <f aca="false">IF(Dashboard!$C$63,P52,R51)</f>
        <v>46072</v>
      </c>
      <c r="S52" s="194" t="n">
        <f aca="false">IF(AND(Dashboard!$C$63,E52&lt;&gt;""),E52,S51)</f>
        <v>0</v>
      </c>
      <c r="T52" s="178" t="n">
        <f aca="false">IF(AND(F52&lt;&gt;"",C52&lt;&gt;""),C52,T51)</f>
        <v>46142</v>
      </c>
      <c r="U52" s="194" t="n">
        <f aca="false">IF(AND(F52&lt;&gt;"",C52&lt;&gt;""),F52,U51)</f>
        <v>0.0513</v>
      </c>
      <c r="V52" s="178" t="n">
        <f aca="false">IF(ISNUMBER(G52),C52,V51)</f>
        <v>46346</v>
      </c>
      <c r="W52" s="194" t="n">
        <f aca="false">IF(ISNUMBER(G52),G52,W51)</f>
        <v>0.300059383033419</v>
      </c>
      <c r="X52" s="195" t="n">
        <f aca="false">IF(I52&lt;&gt;"",I52,X51)</f>
        <v>12108000</v>
      </c>
      <c r="Y52" s="195" t="n">
        <f aca="false">IF(AND(F52&lt;&gt;"",C52&lt;&gt;""),J52,Y51)</f>
        <v>621140.4</v>
      </c>
      <c r="Z52" s="178" t="n">
        <f aca="false">IF(AND(K52&lt;&gt;"",C52&lt;&gt;""),C52,Z51)</f>
        <v>46072</v>
      </c>
      <c r="AA52" s="195" t="n">
        <f aca="false">IF(AND(K52&lt;&gt;"",C52&lt;&gt;""),L52,AA51)</f>
        <v>0</v>
      </c>
    </row>
    <row r="53" customFormat="false" ht="15" hidden="false" customHeight="false" outlineLevel="0" collapsed="false">
      <c r="A53" s="187" t="str">
        <f aca="false">IF(B53="","",ROW()-6)</f>
        <v/>
      </c>
      <c r="B53" s="188" t="str">
        <f aca="false">IF(C52="","",IF(C52&gt;='ตั้งค่า Setup'!$C$69,"",C52+1))</f>
        <v/>
      </c>
      <c r="C53" s="188" t="str">
        <f aca="false">IF(B53="","",IF('ตั้งค่า Setup'!$C$16="รายสัปดาห์ / Weekly",B53+6,IF('ตั้งค่า Setup'!$C$16="รายเดือน / Monthly",EOMONTH(B53,0),IF(DAY(B53)&lt;=10,DATE(YEAR(B53),MONTH(B53),10),IF(DAY(B53)&lt;=20,DATE(YEAR(B53),MONTH(B53),20),EOMONTH(B53,0))))))</f>
        <v/>
      </c>
      <c r="D53" s="189" t="str">
        <f aca="false">IF(C53="","",SUMPRODUCT('แผนงาน Schedule'!$F$7:$F$66,('แผนงาน Schedule'!$I$7:$I$66&lt;=C53)+('แผนงาน Schedule'!$H$7:$H$66&lt;=C53)*('แผนงาน Schedule'!$I$7:$I$66&gt;C53)*(C53-'แผนงาน Schedule'!$H$7:$H$66+1)/('แผนงาน Schedule'!$I$7:$I$66-'แผนงาน Schedule'!$H$7:$H$66+1)))</f>
        <v/>
      </c>
      <c r="E53" s="189" t="str">
        <f aca="false">IF(C53="","",SUMPRODUCT('แผนงาน Schedule'!$F$7:$F$66,('แผนงาน Schedule'!$AA$7:$AA$66&lt;=C53)+('แผนงาน Schedule'!$Z$7:$Z$66&lt;=C53)*('แผนงาน Schedule'!$AA$7:$AA$66&gt;C53)*(C53-'แผนงาน Schedule'!$Z$7:$Z$66+1)/('แผนงาน Schedule'!$AA$7:$AA$66-'แผนงาน Schedule'!$Z$7:$Z$66+1)))</f>
        <v/>
      </c>
      <c r="F53" s="190"/>
      <c r="G53" s="189" t="str">
        <f aca="false">IF(OR(C53="",NOT(ISNUMBER(Dashboard!$C$27))),"",IF(C53&lt;Dashboard!$C$7,"",IF(Dashboard!$C$27&lt;=Dashboard!$C$7,1,MIN(1,Dashboard!$C$19+(1-Dashboard!$C$19)*(C53-Dashboard!$C$7)/(Dashboard!$C$27-Dashboard!$C$7)))))</f>
        <v/>
      </c>
      <c r="H53" s="191" t="str">
        <f aca="false">IF(OR(F53="",D53=""),"",F53-D53)</f>
        <v/>
      </c>
      <c r="I53" s="192" t="str">
        <f aca="false">IF(D53="","",D53*'ตั้งค่า Setup'!$C$9)</f>
        <v/>
      </c>
      <c r="J53" s="192" t="str">
        <f aca="false">IF(OR(C53="",F53=""),"",F53*'ตั้งค่า Setup'!$C$9)</f>
        <v/>
      </c>
      <c r="K53" s="193"/>
      <c r="L53" s="192" t="str">
        <f aca="false">IF(OR(C53="",K53=""),"",SUM(K$7:K53))</f>
        <v/>
      </c>
      <c r="M53" s="193"/>
      <c r="N53" s="192" t="str">
        <f aca="false">IF(OR(C53="",B53&gt;'ตั้งค่า Setup'!$C$15),"",SUM(M$7:M53))</f>
        <v/>
      </c>
      <c r="P53" s="178" t="n">
        <f aca="false">IF(C53&lt;&gt;"",C53,P52)</f>
        <v>46346</v>
      </c>
      <c r="Q53" s="194" t="n">
        <f aca="false">IF(D53&lt;&gt;"",D53,Q52)</f>
        <v>1</v>
      </c>
      <c r="R53" s="178" t="n">
        <f aca="false">IF(Dashboard!$C$63,P53,R52)</f>
        <v>46072</v>
      </c>
      <c r="S53" s="194" t="n">
        <f aca="false">IF(AND(Dashboard!$C$63,E53&lt;&gt;""),E53,S52)</f>
        <v>0</v>
      </c>
      <c r="T53" s="178" t="n">
        <f aca="false">IF(AND(F53&lt;&gt;"",C53&lt;&gt;""),C53,T52)</f>
        <v>46142</v>
      </c>
      <c r="U53" s="194" t="n">
        <f aca="false">IF(AND(F53&lt;&gt;"",C53&lt;&gt;""),F53,U52)</f>
        <v>0.0513</v>
      </c>
      <c r="V53" s="178" t="n">
        <f aca="false">IF(ISNUMBER(G53),C53,V52)</f>
        <v>46346</v>
      </c>
      <c r="W53" s="194" t="n">
        <f aca="false">IF(ISNUMBER(G53),G53,W52)</f>
        <v>0.300059383033419</v>
      </c>
      <c r="X53" s="195" t="n">
        <f aca="false">IF(I53&lt;&gt;"",I53,X52)</f>
        <v>12108000</v>
      </c>
      <c r="Y53" s="195" t="n">
        <f aca="false">IF(AND(F53&lt;&gt;"",C53&lt;&gt;""),J53,Y52)</f>
        <v>621140.4</v>
      </c>
      <c r="Z53" s="178" t="n">
        <f aca="false">IF(AND(K53&lt;&gt;"",C53&lt;&gt;""),C53,Z52)</f>
        <v>46072</v>
      </c>
      <c r="AA53" s="195" t="n">
        <f aca="false">IF(AND(K53&lt;&gt;"",C53&lt;&gt;""),L53,AA52)</f>
        <v>0</v>
      </c>
    </row>
    <row r="54" customFormat="false" ht="15" hidden="false" customHeight="false" outlineLevel="0" collapsed="false">
      <c r="A54" s="187" t="str">
        <f aca="false">IF(B54="","",ROW()-6)</f>
        <v/>
      </c>
      <c r="B54" s="188" t="str">
        <f aca="false">IF(C53="","",IF(C53&gt;='ตั้งค่า Setup'!$C$69,"",C53+1))</f>
        <v/>
      </c>
      <c r="C54" s="188" t="str">
        <f aca="false">IF(B54="","",IF('ตั้งค่า Setup'!$C$16="รายสัปดาห์ / Weekly",B54+6,IF('ตั้งค่า Setup'!$C$16="รายเดือน / Monthly",EOMONTH(B54,0),IF(DAY(B54)&lt;=10,DATE(YEAR(B54),MONTH(B54),10),IF(DAY(B54)&lt;=20,DATE(YEAR(B54),MONTH(B54),20),EOMONTH(B54,0))))))</f>
        <v/>
      </c>
      <c r="D54" s="189" t="str">
        <f aca="false">IF(C54="","",SUMPRODUCT('แผนงาน Schedule'!$F$7:$F$66,('แผนงาน Schedule'!$I$7:$I$66&lt;=C54)+('แผนงาน Schedule'!$H$7:$H$66&lt;=C54)*('แผนงาน Schedule'!$I$7:$I$66&gt;C54)*(C54-'แผนงาน Schedule'!$H$7:$H$66+1)/('แผนงาน Schedule'!$I$7:$I$66-'แผนงาน Schedule'!$H$7:$H$66+1)))</f>
        <v/>
      </c>
      <c r="E54" s="189" t="str">
        <f aca="false">IF(C54="","",SUMPRODUCT('แผนงาน Schedule'!$F$7:$F$66,('แผนงาน Schedule'!$AA$7:$AA$66&lt;=C54)+('แผนงาน Schedule'!$Z$7:$Z$66&lt;=C54)*('แผนงาน Schedule'!$AA$7:$AA$66&gt;C54)*(C54-'แผนงาน Schedule'!$Z$7:$Z$66+1)/('แผนงาน Schedule'!$AA$7:$AA$66-'แผนงาน Schedule'!$Z$7:$Z$66+1)))</f>
        <v/>
      </c>
      <c r="F54" s="190"/>
      <c r="G54" s="189" t="str">
        <f aca="false">IF(OR(C54="",NOT(ISNUMBER(Dashboard!$C$27))),"",IF(C54&lt;Dashboard!$C$7,"",IF(Dashboard!$C$27&lt;=Dashboard!$C$7,1,MIN(1,Dashboard!$C$19+(1-Dashboard!$C$19)*(C54-Dashboard!$C$7)/(Dashboard!$C$27-Dashboard!$C$7)))))</f>
        <v/>
      </c>
      <c r="H54" s="191" t="str">
        <f aca="false">IF(OR(F54="",D54=""),"",F54-D54)</f>
        <v/>
      </c>
      <c r="I54" s="192" t="str">
        <f aca="false">IF(D54="","",D54*'ตั้งค่า Setup'!$C$9)</f>
        <v/>
      </c>
      <c r="J54" s="192" t="str">
        <f aca="false">IF(OR(C54="",F54=""),"",F54*'ตั้งค่า Setup'!$C$9)</f>
        <v/>
      </c>
      <c r="K54" s="193"/>
      <c r="L54" s="192" t="str">
        <f aca="false">IF(OR(C54="",K54=""),"",SUM(K$7:K54))</f>
        <v/>
      </c>
      <c r="M54" s="193"/>
      <c r="N54" s="192" t="str">
        <f aca="false">IF(OR(C54="",B54&gt;'ตั้งค่า Setup'!$C$15),"",SUM(M$7:M54))</f>
        <v/>
      </c>
      <c r="P54" s="178" t="n">
        <f aca="false">IF(C54&lt;&gt;"",C54,P53)</f>
        <v>46346</v>
      </c>
      <c r="Q54" s="194" t="n">
        <f aca="false">IF(D54&lt;&gt;"",D54,Q53)</f>
        <v>1</v>
      </c>
      <c r="R54" s="178" t="n">
        <f aca="false">IF(Dashboard!$C$63,P54,R53)</f>
        <v>46072</v>
      </c>
      <c r="S54" s="194" t="n">
        <f aca="false">IF(AND(Dashboard!$C$63,E54&lt;&gt;""),E54,S53)</f>
        <v>0</v>
      </c>
      <c r="T54" s="178" t="n">
        <f aca="false">IF(AND(F54&lt;&gt;"",C54&lt;&gt;""),C54,T53)</f>
        <v>46142</v>
      </c>
      <c r="U54" s="194" t="n">
        <f aca="false">IF(AND(F54&lt;&gt;"",C54&lt;&gt;""),F54,U53)</f>
        <v>0.0513</v>
      </c>
      <c r="V54" s="178" t="n">
        <f aca="false">IF(ISNUMBER(G54),C54,V53)</f>
        <v>46346</v>
      </c>
      <c r="W54" s="194" t="n">
        <f aca="false">IF(ISNUMBER(G54),G54,W53)</f>
        <v>0.300059383033419</v>
      </c>
      <c r="X54" s="195" t="n">
        <f aca="false">IF(I54&lt;&gt;"",I54,X53)</f>
        <v>12108000</v>
      </c>
      <c r="Y54" s="195" t="n">
        <f aca="false">IF(AND(F54&lt;&gt;"",C54&lt;&gt;""),J54,Y53)</f>
        <v>621140.4</v>
      </c>
      <c r="Z54" s="178" t="n">
        <f aca="false">IF(AND(K54&lt;&gt;"",C54&lt;&gt;""),C54,Z53)</f>
        <v>46072</v>
      </c>
      <c r="AA54" s="195" t="n">
        <f aca="false">IF(AND(K54&lt;&gt;"",C54&lt;&gt;""),L54,AA53)</f>
        <v>0</v>
      </c>
    </row>
    <row r="55" customFormat="false" ht="15" hidden="false" customHeight="false" outlineLevel="0" collapsed="false">
      <c r="A55" s="187" t="str">
        <f aca="false">IF(B55="","",ROW()-6)</f>
        <v/>
      </c>
      <c r="B55" s="188" t="str">
        <f aca="false">IF(C54="","",IF(C54&gt;='ตั้งค่า Setup'!$C$69,"",C54+1))</f>
        <v/>
      </c>
      <c r="C55" s="188" t="str">
        <f aca="false">IF(B55="","",IF('ตั้งค่า Setup'!$C$16="รายสัปดาห์ / Weekly",B55+6,IF('ตั้งค่า Setup'!$C$16="รายเดือน / Monthly",EOMONTH(B55,0),IF(DAY(B55)&lt;=10,DATE(YEAR(B55),MONTH(B55),10),IF(DAY(B55)&lt;=20,DATE(YEAR(B55),MONTH(B55),20),EOMONTH(B55,0))))))</f>
        <v/>
      </c>
      <c r="D55" s="189" t="str">
        <f aca="false">IF(C55="","",SUMPRODUCT('แผนงาน Schedule'!$F$7:$F$66,('แผนงาน Schedule'!$I$7:$I$66&lt;=C55)+('แผนงาน Schedule'!$H$7:$H$66&lt;=C55)*('แผนงาน Schedule'!$I$7:$I$66&gt;C55)*(C55-'แผนงาน Schedule'!$H$7:$H$66+1)/('แผนงาน Schedule'!$I$7:$I$66-'แผนงาน Schedule'!$H$7:$H$66+1)))</f>
        <v/>
      </c>
      <c r="E55" s="189" t="str">
        <f aca="false">IF(C55="","",SUMPRODUCT('แผนงาน Schedule'!$F$7:$F$66,('แผนงาน Schedule'!$AA$7:$AA$66&lt;=C55)+('แผนงาน Schedule'!$Z$7:$Z$66&lt;=C55)*('แผนงาน Schedule'!$AA$7:$AA$66&gt;C55)*(C55-'แผนงาน Schedule'!$Z$7:$Z$66+1)/('แผนงาน Schedule'!$AA$7:$AA$66-'แผนงาน Schedule'!$Z$7:$Z$66+1)))</f>
        <v/>
      </c>
      <c r="F55" s="190"/>
      <c r="G55" s="189" t="str">
        <f aca="false">IF(OR(C55="",NOT(ISNUMBER(Dashboard!$C$27))),"",IF(C55&lt;Dashboard!$C$7,"",IF(Dashboard!$C$27&lt;=Dashboard!$C$7,1,MIN(1,Dashboard!$C$19+(1-Dashboard!$C$19)*(C55-Dashboard!$C$7)/(Dashboard!$C$27-Dashboard!$C$7)))))</f>
        <v/>
      </c>
      <c r="H55" s="191" t="str">
        <f aca="false">IF(OR(F55="",D55=""),"",F55-D55)</f>
        <v/>
      </c>
      <c r="I55" s="192" t="str">
        <f aca="false">IF(D55="","",D55*'ตั้งค่า Setup'!$C$9)</f>
        <v/>
      </c>
      <c r="J55" s="192" t="str">
        <f aca="false">IF(OR(C55="",F55=""),"",F55*'ตั้งค่า Setup'!$C$9)</f>
        <v/>
      </c>
      <c r="K55" s="193"/>
      <c r="L55" s="192" t="str">
        <f aca="false">IF(OR(C55="",K55=""),"",SUM(K$7:K55))</f>
        <v/>
      </c>
      <c r="M55" s="193"/>
      <c r="N55" s="192" t="str">
        <f aca="false">IF(OR(C55="",B55&gt;'ตั้งค่า Setup'!$C$15),"",SUM(M$7:M55))</f>
        <v/>
      </c>
      <c r="P55" s="178" t="n">
        <f aca="false">IF(C55&lt;&gt;"",C55,P54)</f>
        <v>46346</v>
      </c>
      <c r="Q55" s="194" t="n">
        <f aca="false">IF(D55&lt;&gt;"",D55,Q54)</f>
        <v>1</v>
      </c>
      <c r="R55" s="178" t="n">
        <f aca="false">IF(Dashboard!$C$63,P55,R54)</f>
        <v>46072</v>
      </c>
      <c r="S55" s="194" t="n">
        <f aca="false">IF(AND(Dashboard!$C$63,E55&lt;&gt;""),E55,S54)</f>
        <v>0</v>
      </c>
      <c r="T55" s="178" t="n">
        <f aca="false">IF(AND(F55&lt;&gt;"",C55&lt;&gt;""),C55,T54)</f>
        <v>46142</v>
      </c>
      <c r="U55" s="194" t="n">
        <f aca="false">IF(AND(F55&lt;&gt;"",C55&lt;&gt;""),F55,U54)</f>
        <v>0.0513</v>
      </c>
      <c r="V55" s="178" t="n">
        <f aca="false">IF(ISNUMBER(G55),C55,V54)</f>
        <v>46346</v>
      </c>
      <c r="W55" s="194" t="n">
        <f aca="false">IF(ISNUMBER(G55),G55,W54)</f>
        <v>0.300059383033419</v>
      </c>
      <c r="X55" s="195" t="n">
        <f aca="false">IF(I55&lt;&gt;"",I55,X54)</f>
        <v>12108000</v>
      </c>
      <c r="Y55" s="195" t="n">
        <f aca="false">IF(AND(F55&lt;&gt;"",C55&lt;&gt;""),J55,Y54)</f>
        <v>621140.4</v>
      </c>
      <c r="Z55" s="178" t="n">
        <f aca="false">IF(AND(K55&lt;&gt;"",C55&lt;&gt;""),C55,Z54)</f>
        <v>46072</v>
      </c>
      <c r="AA55" s="195" t="n">
        <f aca="false">IF(AND(K55&lt;&gt;"",C55&lt;&gt;""),L55,AA54)</f>
        <v>0</v>
      </c>
    </row>
    <row r="56" customFormat="false" ht="15" hidden="false" customHeight="false" outlineLevel="0" collapsed="false">
      <c r="A56" s="187" t="str">
        <f aca="false">IF(B56="","",ROW()-6)</f>
        <v/>
      </c>
      <c r="B56" s="188" t="str">
        <f aca="false">IF(C55="","",IF(C55&gt;='ตั้งค่า Setup'!$C$69,"",C55+1))</f>
        <v/>
      </c>
      <c r="C56" s="188" t="str">
        <f aca="false">IF(B56="","",IF('ตั้งค่า Setup'!$C$16="รายสัปดาห์ / Weekly",B56+6,IF('ตั้งค่า Setup'!$C$16="รายเดือน / Monthly",EOMONTH(B56,0),IF(DAY(B56)&lt;=10,DATE(YEAR(B56),MONTH(B56),10),IF(DAY(B56)&lt;=20,DATE(YEAR(B56),MONTH(B56),20),EOMONTH(B56,0))))))</f>
        <v/>
      </c>
      <c r="D56" s="189" t="str">
        <f aca="false">IF(C56="","",SUMPRODUCT('แผนงาน Schedule'!$F$7:$F$66,('แผนงาน Schedule'!$I$7:$I$66&lt;=C56)+('แผนงาน Schedule'!$H$7:$H$66&lt;=C56)*('แผนงาน Schedule'!$I$7:$I$66&gt;C56)*(C56-'แผนงาน Schedule'!$H$7:$H$66+1)/('แผนงาน Schedule'!$I$7:$I$66-'แผนงาน Schedule'!$H$7:$H$66+1)))</f>
        <v/>
      </c>
      <c r="E56" s="189" t="str">
        <f aca="false">IF(C56="","",SUMPRODUCT('แผนงาน Schedule'!$F$7:$F$66,('แผนงาน Schedule'!$AA$7:$AA$66&lt;=C56)+('แผนงาน Schedule'!$Z$7:$Z$66&lt;=C56)*('แผนงาน Schedule'!$AA$7:$AA$66&gt;C56)*(C56-'แผนงาน Schedule'!$Z$7:$Z$66+1)/('แผนงาน Schedule'!$AA$7:$AA$66-'แผนงาน Schedule'!$Z$7:$Z$66+1)))</f>
        <v/>
      </c>
      <c r="F56" s="190"/>
      <c r="G56" s="189" t="str">
        <f aca="false">IF(OR(C56="",NOT(ISNUMBER(Dashboard!$C$27))),"",IF(C56&lt;Dashboard!$C$7,"",IF(Dashboard!$C$27&lt;=Dashboard!$C$7,1,MIN(1,Dashboard!$C$19+(1-Dashboard!$C$19)*(C56-Dashboard!$C$7)/(Dashboard!$C$27-Dashboard!$C$7)))))</f>
        <v/>
      </c>
      <c r="H56" s="191" t="str">
        <f aca="false">IF(OR(F56="",D56=""),"",F56-D56)</f>
        <v/>
      </c>
      <c r="I56" s="192" t="str">
        <f aca="false">IF(D56="","",D56*'ตั้งค่า Setup'!$C$9)</f>
        <v/>
      </c>
      <c r="J56" s="192" t="str">
        <f aca="false">IF(OR(C56="",F56=""),"",F56*'ตั้งค่า Setup'!$C$9)</f>
        <v/>
      </c>
      <c r="K56" s="193"/>
      <c r="L56" s="192" t="str">
        <f aca="false">IF(OR(C56="",K56=""),"",SUM(K$7:K56))</f>
        <v/>
      </c>
      <c r="M56" s="193"/>
      <c r="N56" s="192" t="str">
        <f aca="false">IF(OR(C56="",B56&gt;'ตั้งค่า Setup'!$C$15),"",SUM(M$7:M56))</f>
        <v/>
      </c>
      <c r="P56" s="178" t="n">
        <f aca="false">IF(C56&lt;&gt;"",C56,P55)</f>
        <v>46346</v>
      </c>
      <c r="Q56" s="194" t="n">
        <f aca="false">IF(D56&lt;&gt;"",D56,Q55)</f>
        <v>1</v>
      </c>
      <c r="R56" s="178" t="n">
        <f aca="false">IF(Dashboard!$C$63,P56,R55)</f>
        <v>46072</v>
      </c>
      <c r="S56" s="194" t="n">
        <f aca="false">IF(AND(Dashboard!$C$63,E56&lt;&gt;""),E56,S55)</f>
        <v>0</v>
      </c>
      <c r="T56" s="178" t="n">
        <f aca="false">IF(AND(F56&lt;&gt;"",C56&lt;&gt;""),C56,T55)</f>
        <v>46142</v>
      </c>
      <c r="U56" s="194" t="n">
        <f aca="false">IF(AND(F56&lt;&gt;"",C56&lt;&gt;""),F56,U55)</f>
        <v>0.0513</v>
      </c>
      <c r="V56" s="178" t="n">
        <f aca="false">IF(ISNUMBER(G56),C56,V55)</f>
        <v>46346</v>
      </c>
      <c r="W56" s="194" t="n">
        <f aca="false">IF(ISNUMBER(G56),G56,W55)</f>
        <v>0.300059383033419</v>
      </c>
      <c r="X56" s="195" t="n">
        <f aca="false">IF(I56&lt;&gt;"",I56,X55)</f>
        <v>12108000</v>
      </c>
      <c r="Y56" s="195" t="n">
        <f aca="false">IF(AND(F56&lt;&gt;"",C56&lt;&gt;""),J56,Y55)</f>
        <v>621140.4</v>
      </c>
      <c r="Z56" s="178" t="n">
        <f aca="false">IF(AND(K56&lt;&gt;"",C56&lt;&gt;""),C56,Z55)</f>
        <v>46072</v>
      </c>
      <c r="AA56" s="195" t="n">
        <f aca="false">IF(AND(K56&lt;&gt;"",C56&lt;&gt;""),L56,AA55)</f>
        <v>0</v>
      </c>
    </row>
    <row r="57" customFormat="false" ht="15" hidden="false" customHeight="false" outlineLevel="0" collapsed="false">
      <c r="A57" s="187" t="str">
        <f aca="false">IF(B57="","",ROW()-6)</f>
        <v/>
      </c>
      <c r="B57" s="188" t="str">
        <f aca="false">IF(C56="","",IF(C56&gt;='ตั้งค่า Setup'!$C$69,"",C56+1))</f>
        <v/>
      </c>
      <c r="C57" s="188" t="str">
        <f aca="false">IF(B57="","",IF('ตั้งค่า Setup'!$C$16="รายสัปดาห์ / Weekly",B57+6,IF('ตั้งค่า Setup'!$C$16="รายเดือน / Monthly",EOMONTH(B57,0),IF(DAY(B57)&lt;=10,DATE(YEAR(B57),MONTH(B57),10),IF(DAY(B57)&lt;=20,DATE(YEAR(B57),MONTH(B57),20),EOMONTH(B57,0))))))</f>
        <v/>
      </c>
      <c r="D57" s="189" t="str">
        <f aca="false">IF(C57="","",SUMPRODUCT('แผนงาน Schedule'!$F$7:$F$66,('แผนงาน Schedule'!$I$7:$I$66&lt;=C57)+('แผนงาน Schedule'!$H$7:$H$66&lt;=C57)*('แผนงาน Schedule'!$I$7:$I$66&gt;C57)*(C57-'แผนงาน Schedule'!$H$7:$H$66+1)/('แผนงาน Schedule'!$I$7:$I$66-'แผนงาน Schedule'!$H$7:$H$66+1)))</f>
        <v/>
      </c>
      <c r="E57" s="189" t="str">
        <f aca="false">IF(C57="","",SUMPRODUCT('แผนงาน Schedule'!$F$7:$F$66,('แผนงาน Schedule'!$AA$7:$AA$66&lt;=C57)+('แผนงาน Schedule'!$Z$7:$Z$66&lt;=C57)*('แผนงาน Schedule'!$AA$7:$AA$66&gt;C57)*(C57-'แผนงาน Schedule'!$Z$7:$Z$66+1)/('แผนงาน Schedule'!$AA$7:$AA$66-'แผนงาน Schedule'!$Z$7:$Z$66+1)))</f>
        <v/>
      </c>
      <c r="F57" s="190"/>
      <c r="G57" s="189" t="str">
        <f aca="false">IF(OR(C57="",NOT(ISNUMBER(Dashboard!$C$27))),"",IF(C57&lt;Dashboard!$C$7,"",IF(Dashboard!$C$27&lt;=Dashboard!$C$7,1,MIN(1,Dashboard!$C$19+(1-Dashboard!$C$19)*(C57-Dashboard!$C$7)/(Dashboard!$C$27-Dashboard!$C$7)))))</f>
        <v/>
      </c>
      <c r="H57" s="191" t="str">
        <f aca="false">IF(OR(F57="",D57=""),"",F57-D57)</f>
        <v/>
      </c>
      <c r="I57" s="192" t="str">
        <f aca="false">IF(D57="","",D57*'ตั้งค่า Setup'!$C$9)</f>
        <v/>
      </c>
      <c r="J57" s="192" t="str">
        <f aca="false">IF(OR(C57="",F57=""),"",F57*'ตั้งค่า Setup'!$C$9)</f>
        <v/>
      </c>
      <c r="K57" s="193"/>
      <c r="L57" s="192" t="str">
        <f aca="false">IF(OR(C57="",K57=""),"",SUM(K$7:K57))</f>
        <v/>
      </c>
      <c r="M57" s="193"/>
      <c r="N57" s="192" t="str">
        <f aca="false">IF(OR(C57="",B57&gt;'ตั้งค่า Setup'!$C$15),"",SUM(M$7:M57))</f>
        <v/>
      </c>
      <c r="P57" s="178" t="n">
        <f aca="false">IF(C57&lt;&gt;"",C57,P56)</f>
        <v>46346</v>
      </c>
      <c r="Q57" s="194" t="n">
        <f aca="false">IF(D57&lt;&gt;"",D57,Q56)</f>
        <v>1</v>
      </c>
      <c r="R57" s="178" t="n">
        <f aca="false">IF(Dashboard!$C$63,P57,R56)</f>
        <v>46072</v>
      </c>
      <c r="S57" s="194" t="n">
        <f aca="false">IF(AND(Dashboard!$C$63,E57&lt;&gt;""),E57,S56)</f>
        <v>0</v>
      </c>
      <c r="T57" s="178" t="n">
        <f aca="false">IF(AND(F57&lt;&gt;"",C57&lt;&gt;""),C57,T56)</f>
        <v>46142</v>
      </c>
      <c r="U57" s="194" t="n">
        <f aca="false">IF(AND(F57&lt;&gt;"",C57&lt;&gt;""),F57,U56)</f>
        <v>0.0513</v>
      </c>
      <c r="V57" s="178" t="n">
        <f aca="false">IF(ISNUMBER(G57),C57,V56)</f>
        <v>46346</v>
      </c>
      <c r="W57" s="194" t="n">
        <f aca="false">IF(ISNUMBER(G57),G57,W56)</f>
        <v>0.300059383033419</v>
      </c>
      <c r="X57" s="195" t="n">
        <f aca="false">IF(I57&lt;&gt;"",I57,X56)</f>
        <v>12108000</v>
      </c>
      <c r="Y57" s="195" t="n">
        <f aca="false">IF(AND(F57&lt;&gt;"",C57&lt;&gt;""),J57,Y56)</f>
        <v>621140.4</v>
      </c>
      <c r="Z57" s="178" t="n">
        <f aca="false">IF(AND(K57&lt;&gt;"",C57&lt;&gt;""),C57,Z56)</f>
        <v>46072</v>
      </c>
      <c r="AA57" s="195" t="n">
        <f aca="false">IF(AND(K57&lt;&gt;"",C57&lt;&gt;""),L57,AA56)</f>
        <v>0</v>
      </c>
    </row>
    <row r="58" customFormat="false" ht="15" hidden="false" customHeight="false" outlineLevel="0" collapsed="false">
      <c r="A58" s="187" t="str">
        <f aca="false">IF(B58="","",ROW()-6)</f>
        <v/>
      </c>
      <c r="B58" s="188" t="str">
        <f aca="false">IF(C57="","",IF(C57&gt;='ตั้งค่า Setup'!$C$69,"",C57+1))</f>
        <v/>
      </c>
      <c r="C58" s="188" t="str">
        <f aca="false">IF(B58="","",IF('ตั้งค่า Setup'!$C$16="รายสัปดาห์ / Weekly",B58+6,IF('ตั้งค่า Setup'!$C$16="รายเดือน / Monthly",EOMONTH(B58,0),IF(DAY(B58)&lt;=10,DATE(YEAR(B58),MONTH(B58),10),IF(DAY(B58)&lt;=20,DATE(YEAR(B58),MONTH(B58),20),EOMONTH(B58,0))))))</f>
        <v/>
      </c>
      <c r="D58" s="189" t="str">
        <f aca="false">IF(C58="","",SUMPRODUCT('แผนงาน Schedule'!$F$7:$F$66,('แผนงาน Schedule'!$I$7:$I$66&lt;=C58)+('แผนงาน Schedule'!$H$7:$H$66&lt;=C58)*('แผนงาน Schedule'!$I$7:$I$66&gt;C58)*(C58-'แผนงาน Schedule'!$H$7:$H$66+1)/('แผนงาน Schedule'!$I$7:$I$66-'แผนงาน Schedule'!$H$7:$H$66+1)))</f>
        <v/>
      </c>
      <c r="E58" s="189" t="str">
        <f aca="false">IF(C58="","",SUMPRODUCT('แผนงาน Schedule'!$F$7:$F$66,('แผนงาน Schedule'!$AA$7:$AA$66&lt;=C58)+('แผนงาน Schedule'!$Z$7:$Z$66&lt;=C58)*('แผนงาน Schedule'!$AA$7:$AA$66&gt;C58)*(C58-'แผนงาน Schedule'!$Z$7:$Z$66+1)/('แผนงาน Schedule'!$AA$7:$AA$66-'แผนงาน Schedule'!$Z$7:$Z$66+1)))</f>
        <v/>
      </c>
      <c r="F58" s="190"/>
      <c r="G58" s="189" t="str">
        <f aca="false">IF(OR(C58="",NOT(ISNUMBER(Dashboard!$C$27))),"",IF(C58&lt;Dashboard!$C$7,"",IF(Dashboard!$C$27&lt;=Dashboard!$C$7,1,MIN(1,Dashboard!$C$19+(1-Dashboard!$C$19)*(C58-Dashboard!$C$7)/(Dashboard!$C$27-Dashboard!$C$7)))))</f>
        <v/>
      </c>
      <c r="H58" s="191" t="str">
        <f aca="false">IF(OR(F58="",D58=""),"",F58-D58)</f>
        <v/>
      </c>
      <c r="I58" s="192" t="str">
        <f aca="false">IF(D58="","",D58*'ตั้งค่า Setup'!$C$9)</f>
        <v/>
      </c>
      <c r="J58" s="192" t="str">
        <f aca="false">IF(OR(C58="",F58=""),"",F58*'ตั้งค่า Setup'!$C$9)</f>
        <v/>
      </c>
      <c r="K58" s="193"/>
      <c r="L58" s="192" t="str">
        <f aca="false">IF(OR(C58="",K58=""),"",SUM(K$7:K58))</f>
        <v/>
      </c>
      <c r="M58" s="193"/>
      <c r="N58" s="192" t="str">
        <f aca="false">IF(OR(C58="",B58&gt;'ตั้งค่า Setup'!$C$15),"",SUM(M$7:M58))</f>
        <v/>
      </c>
      <c r="P58" s="178" t="n">
        <f aca="false">IF(C58&lt;&gt;"",C58,P57)</f>
        <v>46346</v>
      </c>
      <c r="Q58" s="194" t="n">
        <f aca="false">IF(D58&lt;&gt;"",D58,Q57)</f>
        <v>1</v>
      </c>
      <c r="R58" s="178" t="n">
        <f aca="false">IF(Dashboard!$C$63,P58,R57)</f>
        <v>46072</v>
      </c>
      <c r="S58" s="194" t="n">
        <f aca="false">IF(AND(Dashboard!$C$63,E58&lt;&gt;""),E58,S57)</f>
        <v>0</v>
      </c>
      <c r="T58" s="178" t="n">
        <f aca="false">IF(AND(F58&lt;&gt;"",C58&lt;&gt;""),C58,T57)</f>
        <v>46142</v>
      </c>
      <c r="U58" s="194" t="n">
        <f aca="false">IF(AND(F58&lt;&gt;"",C58&lt;&gt;""),F58,U57)</f>
        <v>0.0513</v>
      </c>
      <c r="V58" s="178" t="n">
        <f aca="false">IF(ISNUMBER(G58),C58,V57)</f>
        <v>46346</v>
      </c>
      <c r="W58" s="194" t="n">
        <f aca="false">IF(ISNUMBER(G58),G58,W57)</f>
        <v>0.300059383033419</v>
      </c>
      <c r="X58" s="195" t="n">
        <f aca="false">IF(I58&lt;&gt;"",I58,X57)</f>
        <v>12108000</v>
      </c>
      <c r="Y58" s="195" t="n">
        <f aca="false">IF(AND(F58&lt;&gt;"",C58&lt;&gt;""),J58,Y57)</f>
        <v>621140.4</v>
      </c>
      <c r="Z58" s="178" t="n">
        <f aca="false">IF(AND(K58&lt;&gt;"",C58&lt;&gt;""),C58,Z57)</f>
        <v>46072</v>
      </c>
      <c r="AA58" s="195" t="n">
        <f aca="false">IF(AND(K58&lt;&gt;"",C58&lt;&gt;""),L58,AA57)</f>
        <v>0</v>
      </c>
    </row>
    <row r="59" customFormat="false" ht="15" hidden="false" customHeight="false" outlineLevel="0" collapsed="false">
      <c r="A59" s="187" t="str">
        <f aca="false">IF(B59="","",ROW()-6)</f>
        <v/>
      </c>
      <c r="B59" s="188" t="str">
        <f aca="false">IF(C58="","",IF(C58&gt;='ตั้งค่า Setup'!$C$69,"",C58+1))</f>
        <v/>
      </c>
      <c r="C59" s="188" t="str">
        <f aca="false">IF(B59="","",IF('ตั้งค่า Setup'!$C$16="รายสัปดาห์ / Weekly",B59+6,IF('ตั้งค่า Setup'!$C$16="รายเดือน / Monthly",EOMONTH(B59,0),IF(DAY(B59)&lt;=10,DATE(YEAR(B59),MONTH(B59),10),IF(DAY(B59)&lt;=20,DATE(YEAR(B59),MONTH(B59),20),EOMONTH(B59,0))))))</f>
        <v/>
      </c>
      <c r="D59" s="189" t="str">
        <f aca="false">IF(C59="","",SUMPRODUCT('แผนงาน Schedule'!$F$7:$F$66,('แผนงาน Schedule'!$I$7:$I$66&lt;=C59)+('แผนงาน Schedule'!$H$7:$H$66&lt;=C59)*('แผนงาน Schedule'!$I$7:$I$66&gt;C59)*(C59-'แผนงาน Schedule'!$H$7:$H$66+1)/('แผนงาน Schedule'!$I$7:$I$66-'แผนงาน Schedule'!$H$7:$H$66+1)))</f>
        <v/>
      </c>
      <c r="E59" s="189" t="str">
        <f aca="false">IF(C59="","",SUMPRODUCT('แผนงาน Schedule'!$F$7:$F$66,('แผนงาน Schedule'!$AA$7:$AA$66&lt;=C59)+('แผนงาน Schedule'!$Z$7:$Z$66&lt;=C59)*('แผนงาน Schedule'!$AA$7:$AA$66&gt;C59)*(C59-'แผนงาน Schedule'!$Z$7:$Z$66+1)/('แผนงาน Schedule'!$AA$7:$AA$66-'แผนงาน Schedule'!$Z$7:$Z$66+1)))</f>
        <v/>
      </c>
      <c r="F59" s="190"/>
      <c r="G59" s="189" t="str">
        <f aca="false">IF(OR(C59="",NOT(ISNUMBER(Dashboard!$C$27))),"",IF(C59&lt;Dashboard!$C$7,"",IF(Dashboard!$C$27&lt;=Dashboard!$C$7,1,MIN(1,Dashboard!$C$19+(1-Dashboard!$C$19)*(C59-Dashboard!$C$7)/(Dashboard!$C$27-Dashboard!$C$7)))))</f>
        <v/>
      </c>
      <c r="H59" s="191" t="str">
        <f aca="false">IF(OR(F59="",D59=""),"",F59-D59)</f>
        <v/>
      </c>
      <c r="I59" s="192" t="str">
        <f aca="false">IF(D59="","",D59*'ตั้งค่า Setup'!$C$9)</f>
        <v/>
      </c>
      <c r="J59" s="192" t="str">
        <f aca="false">IF(OR(C59="",F59=""),"",F59*'ตั้งค่า Setup'!$C$9)</f>
        <v/>
      </c>
      <c r="K59" s="193"/>
      <c r="L59" s="192" t="str">
        <f aca="false">IF(OR(C59="",K59=""),"",SUM(K$7:K59))</f>
        <v/>
      </c>
      <c r="M59" s="193"/>
      <c r="N59" s="192" t="str">
        <f aca="false">IF(OR(C59="",B59&gt;'ตั้งค่า Setup'!$C$15),"",SUM(M$7:M59))</f>
        <v/>
      </c>
      <c r="P59" s="178" t="n">
        <f aca="false">IF(C59&lt;&gt;"",C59,P58)</f>
        <v>46346</v>
      </c>
      <c r="Q59" s="194" t="n">
        <f aca="false">IF(D59&lt;&gt;"",D59,Q58)</f>
        <v>1</v>
      </c>
      <c r="R59" s="178" t="n">
        <f aca="false">IF(Dashboard!$C$63,P59,R58)</f>
        <v>46072</v>
      </c>
      <c r="S59" s="194" t="n">
        <f aca="false">IF(AND(Dashboard!$C$63,E59&lt;&gt;""),E59,S58)</f>
        <v>0</v>
      </c>
      <c r="T59" s="178" t="n">
        <f aca="false">IF(AND(F59&lt;&gt;"",C59&lt;&gt;""),C59,T58)</f>
        <v>46142</v>
      </c>
      <c r="U59" s="194" t="n">
        <f aca="false">IF(AND(F59&lt;&gt;"",C59&lt;&gt;""),F59,U58)</f>
        <v>0.0513</v>
      </c>
      <c r="V59" s="178" t="n">
        <f aca="false">IF(ISNUMBER(G59),C59,V58)</f>
        <v>46346</v>
      </c>
      <c r="W59" s="194" t="n">
        <f aca="false">IF(ISNUMBER(G59),G59,W58)</f>
        <v>0.300059383033419</v>
      </c>
      <c r="X59" s="195" t="n">
        <f aca="false">IF(I59&lt;&gt;"",I59,X58)</f>
        <v>12108000</v>
      </c>
      <c r="Y59" s="195" t="n">
        <f aca="false">IF(AND(F59&lt;&gt;"",C59&lt;&gt;""),J59,Y58)</f>
        <v>621140.4</v>
      </c>
      <c r="Z59" s="178" t="n">
        <f aca="false">IF(AND(K59&lt;&gt;"",C59&lt;&gt;""),C59,Z58)</f>
        <v>46072</v>
      </c>
      <c r="AA59" s="195" t="n">
        <f aca="false">IF(AND(K59&lt;&gt;"",C59&lt;&gt;""),L59,AA58)</f>
        <v>0</v>
      </c>
    </row>
    <row r="60" customFormat="false" ht="15" hidden="false" customHeight="false" outlineLevel="0" collapsed="false">
      <c r="A60" s="187" t="str">
        <f aca="false">IF(B60="","",ROW()-6)</f>
        <v/>
      </c>
      <c r="B60" s="188" t="str">
        <f aca="false">IF(C59="","",IF(C59&gt;='ตั้งค่า Setup'!$C$69,"",C59+1))</f>
        <v/>
      </c>
      <c r="C60" s="188" t="str">
        <f aca="false">IF(B60="","",IF('ตั้งค่า Setup'!$C$16="รายสัปดาห์ / Weekly",B60+6,IF('ตั้งค่า Setup'!$C$16="รายเดือน / Monthly",EOMONTH(B60,0),IF(DAY(B60)&lt;=10,DATE(YEAR(B60),MONTH(B60),10),IF(DAY(B60)&lt;=20,DATE(YEAR(B60),MONTH(B60),20),EOMONTH(B60,0))))))</f>
        <v/>
      </c>
      <c r="D60" s="189" t="str">
        <f aca="false">IF(C60="","",SUMPRODUCT('แผนงาน Schedule'!$F$7:$F$66,('แผนงาน Schedule'!$I$7:$I$66&lt;=C60)+('แผนงาน Schedule'!$H$7:$H$66&lt;=C60)*('แผนงาน Schedule'!$I$7:$I$66&gt;C60)*(C60-'แผนงาน Schedule'!$H$7:$H$66+1)/('แผนงาน Schedule'!$I$7:$I$66-'แผนงาน Schedule'!$H$7:$H$66+1)))</f>
        <v/>
      </c>
      <c r="E60" s="189" t="str">
        <f aca="false">IF(C60="","",SUMPRODUCT('แผนงาน Schedule'!$F$7:$F$66,('แผนงาน Schedule'!$AA$7:$AA$66&lt;=C60)+('แผนงาน Schedule'!$Z$7:$Z$66&lt;=C60)*('แผนงาน Schedule'!$AA$7:$AA$66&gt;C60)*(C60-'แผนงาน Schedule'!$Z$7:$Z$66+1)/('แผนงาน Schedule'!$AA$7:$AA$66-'แผนงาน Schedule'!$Z$7:$Z$66+1)))</f>
        <v/>
      </c>
      <c r="F60" s="190"/>
      <c r="G60" s="189" t="str">
        <f aca="false">IF(OR(C60="",NOT(ISNUMBER(Dashboard!$C$27))),"",IF(C60&lt;Dashboard!$C$7,"",IF(Dashboard!$C$27&lt;=Dashboard!$C$7,1,MIN(1,Dashboard!$C$19+(1-Dashboard!$C$19)*(C60-Dashboard!$C$7)/(Dashboard!$C$27-Dashboard!$C$7)))))</f>
        <v/>
      </c>
      <c r="H60" s="191" t="str">
        <f aca="false">IF(OR(F60="",D60=""),"",F60-D60)</f>
        <v/>
      </c>
      <c r="I60" s="192" t="str">
        <f aca="false">IF(D60="","",D60*'ตั้งค่า Setup'!$C$9)</f>
        <v/>
      </c>
      <c r="J60" s="192" t="str">
        <f aca="false">IF(OR(C60="",F60=""),"",F60*'ตั้งค่า Setup'!$C$9)</f>
        <v/>
      </c>
      <c r="K60" s="193"/>
      <c r="L60" s="192" t="str">
        <f aca="false">IF(OR(C60="",K60=""),"",SUM(K$7:K60))</f>
        <v/>
      </c>
      <c r="M60" s="193"/>
      <c r="N60" s="192" t="str">
        <f aca="false">IF(OR(C60="",B60&gt;'ตั้งค่า Setup'!$C$15),"",SUM(M$7:M60))</f>
        <v/>
      </c>
      <c r="P60" s="178" t="n">
        <f aca="false">IF(C60&lt;&gt;"",C60,P59)</f>
        <v>46346</v>
      </c>
      <c r="Q60" s="194" t="n">
        <f aca="false">IF(D60&lt;&gt;"",D60,Q59)</f>
        <v>1</v>
      </c>
      <c r="R60" s="178" t="n">
        <f aca="false">IF(Dashboard!$C$63,P60,R59)</f>
        <v>46072</v>
      </c>
      <c r="S60" s="194" t="n">
        <f aca="false">IF(AND(Dashboard!$C$63,E60&lt;&gt;""),E60,S59)</f>
        <v>0</v>
      </c>
      <c r="T60" s="178" t="n">
        <f aca="false">IF(AND(F60&lt;&gt;"",C60&lt;&gt;""),C60,T59)</f>
        <v>46142</v>
      </c>
      <c r="U60" s="194" t="n">
        <f aca="false">IF(AND(F60&lt;&gt;"",C60&lt;&gt;""),F60,U59)</f>
        <v>0.0513</v>
      </c>
      <c r="V60" s="178" t="n">
        <f aca="false">IF(ISNUMBER(G60),C60,V59)</f>
        <v>46346</v>
      </c>
      <c r="W60" s="194" t="n">
        <f aca="false">IF(ISNUMBER(G60),G60,W59)</f>
        <v>0.300059383033419</v>
      </c>
      <c r="X60" s="195" t="n">
        <f aca="false">IF(I60&lt;&gt;"",I60,X59)</f>
        <v>12108000</v>
      </c>
      <c r="Y60" s="195" t="n">
        <f aca="false">IF(AND(F60&lt;&gt;"",C60&lt;&gt;""),J60,Y59)</f>
        <v>621140.4</v>
      </c>
      <c r="Z60" s="178" t="n">
        <f aca="false">IF(AND(K60&lt;&gt;"",C60&lt;&gt;""),C60,Z59)</f>
        <v>46072</v>
      </c>
      <c r="AA60" s="195" t="n">
        <f aca="false">IF(AND(K60&lt;&gt;"",C60&lt;&gt;""),L60,AA59)</f>
        <v>0</v>
      </c>
    </row>
    <row r="61" customFormat="false" ht="15" hidden="false" customHeight="false" outlineLevel="0" collapsed="false">
      <c r="A61" s="187" t="str">
        <f aca="false">IF(B61="","",ROW()-6)</f>
        <v/>
      </c>
      <c r="B61" s="188" t="str">
        <f aca="false">IF(C60="","",IF(C60&gt;='ตั้งค่า Setup'!$C$69,"",C60+1))</f>
        <v/>
      </c>
      <c r="C61" s="188" t="str">
        <f aca="false">IF(B61="","",IF('ตั้งค่า Setup'!$C$16="รายสัปดาห์ / Weekly",B61+6,IF('ตั้งค่า Setup'!$C$16="รายเดือน / Monthly",EOMONTH(B61,0),IF(DAY(B61)&lt;=10,DATE(YEAR(B61),MONTH(B61),10),IF(DAY(B61)&lt;=20,DATE(YEAR(B61),MONTH(B61),20),EOMONTH(B61,0))))))</f>
        <v/>
      </c>
      <c r="D61" s="189" t="str">
        <f aca="false">IF(C61="","",SUMPRODUCT('แผนงาน Schedule'!$F$7:$F$66,('แผนงาน Schedule'!$I$7:$I$66&lt;=C61)+('แผนงาน Schedule'!$H$7:$H$66&lt;=C61)*('แผนงาน Schedule'!$I$7:$I$66&gt;C61)*(C61-'แผนงาน Schedule'!$H$7:$H$66+1)/('แผนงาน Schedule'!$I$7:$I$66-'แผนงาน Schedule'!$H$7:$H$66+1)))</f>
        <v/>
      </c>
      <c r="E61" s="189" t="str">
        <f aca="false">IF(C61="","",SUMPRODUCT('แผนงาน Schedule'!$F$7:$F$66,('แผนงาน Schedule'!$AA$7:$AA$66&lt;=C61)+('แผนงาน Schedule'!$Z$7:$Z$66&lt;=C61)*('แผนงาน Schedule'!$AA$7:$AA$66&gt;C61)*(C61-'แผนงาน Schedule'!$Z$7:$Z$66+1)/('แผนงาน Schedule'!$AA$7:$AA$66-'แผนงาน Schedule'!$Z$7:$Z$66+1)))</f>
        <v/>
      </c>
      <c r="F61" s="190"/>
      <c r="G61" s="189" t="str">
        <f aca="false">IF(OR(C61="",NOT(ISNUMBER(Dashboard!$C$27))),"",IF(C61&lt;Dashboard!$C$7,"",IF(Dashboard!$C$27&lt;=Dashboard!$C$7,1,MIN(1,Dashboard!$C$19+(1-Dashboard!$C$19)*(C61-Dashboard!$C$7)/(Dashboard!$C$27-Dashboard!$C$7)))))</f>
        <v/>
      </c>
      <c r="H61" s="191" t="str">
        <f aca="false">IF(OR(F61="",D61=""),"",F61-D61)</f>
        <v/>
      </c>
      <c r="I61" s="192" t="str">
        <f aca="false">IF(D61="","",D61*'ตั้งค่า Setup'!$C$9)</f>
        <v/>
      </c>
      <c r="J61" s="192" t="str">
        <f aca="false">IF(OR(C61="",F61=""),"",F61*'ตั้งค่า Setup'!$C$9)</f>
        <v/>
      </c>
      <c r="K61" s="193"/>
      <c r="L61" s="192" t="str">
        <f aca="false">IF(OR(C61="",K61=""),"",SUM(K$7:K61))</f>
        <v/>
      </c>
      <c r="M61" s="193"/>
      <c r="N61" s="192" t="str">
        <f aca="false">IF(OR(C61="",B61&gt;'ตั้งค่า Setup'!$C$15),"",SUM(M$7:M61))</f>
        <v/>
      </c>
      <c r="P61" s="178" t="n">
        <f aca="false">IF(C61&lt;&gt;"",C61,P60)</f>
        <v>46346</v>
      </c>
      <c r="Q61" s="194" t="n">
        <f aca="false">IF(D61&lt;&gt;"",D61,Q60)</f>
        <v>1</v>
      </c>
      <c r="R61" s="178" t="n">
        <f aca="false">IF(Dashboard!$C$63,P61,R60)</f>
        <v>46072</v>
      </c>
      <c r="S61" s="194" t="n">
        <f aca="false">IF(AND(Dashboard!$C$63,E61&lt;&gt;""),E61,S60)</f>
        <v>0</v>
      </c>
      <c r="T61" s="178" t="n">
        <f aca="false">IF(AND(F61&lt;&gt;"",C61&lt;&gt;""),C61,T60)</f>
        <v>46142</v>
      </c>
      <c r="U61" s="194" t="n">
        <f aca="false">IF(AND(F61&lt;&gt;"",C61&lt;&gt;""),F61,U60)</f>
        <v>0.0513</v>
      </c>
      <c r="V61" s="178" t="n">
        <f aca="false">IF(ISNUMBER(G61),C61,V60)</f>
        <v>46346</v>
      </c>
      <c r="W61" s="194" t="n">
        <f aca="false">IF(ISNUMBER(G61),G61,W60)</f>
        <v>0.300059383033419</v>
      </c>
      <c r="X61" s="195" t="n">
        <f aca="false">IF(I61&lt;&gt;"",I61,X60)</f>
        <v>12108000</v>
      </c>
      <c r="Y61" s="195" t="n">
        <f aca="false">IF(AND(F61&lt;&gt;"",C61&lt;&gt;""),J61,Y60)</f>
        <v>621140.4</v>
      </c>
      <c r="Z61" s="178" t="n">
        <f aca="false">IF(AND(K61&lt;&gt;"",C61&lt;&gt;""),C61,Z60)</f>
        <v>46072</v>
      </c>
      <c r="AA61" s="195" t="n">
        <f aca="false">IF(AND(K61&lt;&gt;"",C61&lt;&gt;""),L61,AA60)</f>
        <v>0</v>
      </c>
    </row>
    <row r="62" customFormat="false" ht="15" hidden="false" customHeight="false" outlineLevel="0" collapsed="false">
      <c r="A62" s="187" t="str">
        <f aca="false">IF(B62="","",ROW()-6)</f>
        <v/>
      </c>
      <c r="B62" s="188" t="str">
        <f aca="false">IF(C61="","",IF(C61&gt;='ตั้งค่า Setup'!$C$69,"",C61+1))</f>
        <v/>
      </c>
      <c r="C62" s="188" t="str">
        <f aca="false">IF(B62="","",IF('ตั้งค่า Setup'!$C$16="รายสัปดาห์ / Weekly",B62+6,IF('ตั้งค่า Setup'!$C$16="รายเดือน / Monthly",EOMONTH(B62,0),IF(DAY(B62)&lt;=10,DATE(YEAR(B62),MONTH(B62),10),IF(DAY(B62)&lt;=20,DATE(YEAR(B62),MONTH(B62),20),EOMONTH(B62,0))))))</f>
        <v/>
      </c>
      <c r="D62" s="189" t="str">
        <f aca="false">IF(C62="","",SUMPRODUCT('แผนงาน Schedule'!$F$7:$F$66,('แผนงาน Schedule'!$I$7:$I$66&lt;=C62)+('แผนงาน Schedule'!$H$7:$H$66&lt;=C62)*('แผนงาน Schedule'!$I$7:$I$66&gt;C62)*(C62-'แผนงาน Schedule'!$H$7:$H$66+1)/('แผนงาน Schedule'!$I$7:$I$66-'แผนงาน Schedule'!$H$7:$H$66+1)))</f>
        <v/>
      </c>
      <c r="E62" s="189" t="str">
        <f aca="false">IF(C62="","",SUMPRODUCT('แผนงาน Schedule'!$F$7:$F$66,('แผนงาน Schedule'!$AA$7:$AA$66&lt;=C62)+('แผนงาน Schedule'!$Z$7:$Z$66&lt;=C62)*('แผนงาน Schedule'!$AA$7:$AA$66&gt;C62)*(C62-'แผนงาน Schedule'!$Z$7:$Z$66+1)/('แผนงาน Schedule'!$AA$7:$AA$66-'แผนงาน Schedule'!$Z$7:$Z$66+1)))</f>
        <v/>
      </c>
      <c r="F62" s="190"/>
      <c r="G62" s="189" t="str">
        <f aca="false">IF(OR(C62="",NOT(ISNUMBER(Dashboard!$C$27))),"",IF(C62&lt;Dashboard!$C$7,"",IF(Dashboard!$C$27&lt;=Dashboard!$C$7,1,MIN(1,Dashboard!$C$19+(1-Dashboard!$C$19)*(C62-Dashboard!$C$7)/(Dashboard!$C$27-Dashboard!$C$7)))))</f>
        <v/>
      </c>
      <c r="H62" s="191" t="str">
        <f aca="false">IF(OR(F62="",D62=""),"",F62-D62)</f>
        <v/>
      </c>
      <c r="I62" s="192" t="str">
        <f aca="false">IF(D62="","",D62*'ตั้งค่า Setup'!$C$9)</f>
        <v/>
      </c>
      <c r="J62" s="192" t="str">
        <f aca="false">IF(OR(C62="",F62=""),"",F62*'ตั้งค่า Setup'!$C$9)</f>
        <v/>
      </c>
      <c r="K62" s="193"/>
      <c r="L62" s="192" t="str">
        <f aca="false">IF(OR(C62="",K62=""),"",SUM(K$7:K62))</f>
        <v/>
      </c>
      <c r="M62" s="193"/>
      <c r="N62" s="192" t="str">
        <f aca="false">IF(OR(C62="",B62&gt;'ตั้งค่า Setup'!$C$15),"",SUM(M$7:M62))</f>
        <v/>
      </c>
      <c r="P62" s="178" t="n">
        <f aca="false">IF(C62&lt;&gt;"",C62,P61)</f>
        <v>46346</v>
      </c>
      <c r="Q62" s="194" t="n">
        <f aca="false">IF(D62&lt;&gt;"",D62,Q61)</f>
        <v>1</v>
      </c>
      <c r="R62" s="178" t="n">
        <f aca="false">IF(Dashboard!$C$63,P62,R61)</f>
        <v>46072</v>
      </c>
      <c r="S62" s="194" t="n">
        <f aca="false">IF(AND(Dashboard!$C$63,E62&lt;&gt;""),E62,S61)</f>
        <v>0</v>
      </c>
      <c r="T62" s="178" t="n">
        <f aca="false">IF(AND(F62&lt;&gt;"",C62&lt;&gt;""),C62,T61)</f>
        <v>46142</v>
      </c>
      <c r="U62" s="194" t="n">
        <f aca="false">IF(AND(F62&lt;&gt;"",C62&lt;&gt;""),F62,U61)</f>
        <v>0.0513</v>
      </c>
      <c r="V62" s="178" t="n">
        <f aca="false">IF(ISNUMBER(G62),C62,V61)</f>
        <v>46346</v>
      </c>
      <c r="W62" s="194" t="n">
        <f aca="false">IF(ISNUMBER(G62),G62,W61)</f>
        <v>0.300059383033419</v>
      </c>
      <c r="X62" s="195" t="n">
        <f aca="false">IF(I62&lt;&gt;"",I62,X61)</f>
        <v>12108000</v>
      </c>
      <c r="Y62" s="195" t="n">
        <f aca="false">IF(AND(F62&lt;&gt;"",C62&lt;&gt;""),J62,Y61)</f>
        <v>621140.4</v>
      </c>
      <c r="Z62" s="178" t="n">
        <f aca="false">IF(AND(K62&lt;&gt;"",C62&lt;&gt;""),C62,Z61)</f>
        <v>46072</v>
      </c>
      <c r="AA62" s="195" t="n">
        <f aca="false">IF(AND(K62&lt;&gt;"",C62&lt;&gt;""),L62,AA61)</f>
        <v>0</v>
      </c>
    </row>
    <row r="63" customFormat="false" ht="15" hidden="false" customHeight="false" outlineLevel="0" collapsed="false">
      <c r="A63" s="187" t="str">
        <f aca="false">IF(B63="","",ROW()-6)</f>
        <v/>
      </c>
      <c r="B63" s="188" t="str">
        <f aca="false">IF(C62="","",IF(C62&gt;='ตั้งค่า Setup'!$C$69,"",C62+1))</f>
        <v/>
      </c>
      <c r="C63" s="188" t="str">
        <f aca="false">IF(B63="","",IF('ตั้งค่า Setup'!$C$16="รายสัปดาห์ / Weekly",B63+6,IF('ตั้งค่า Setup'!$C$16="รายเดือน / Monthly",EOMONTH(B63,0),IF(DAY(B63)&lt;=10,DATE(YEAR(B63),MONTH(B63),10),IF(DAY(B63)&lt;=20,DATE(YEAR(B63),MONTH(B63),20),EOMONTH(B63,0))))))</f>
        <v/>
      </c>
      <c r="D63" s="189" t="str">
        <f aca="false">IF(C63="","",SUMPRODUCT('แผนงาน Schedule'!$F$7:$F$66,('แผนงาน Schedule'!$I$7:$I$66&lt;=C63)+('แผนงาน Schedule'!$H$7:$H$66&lt;=C63)*('แผนงาน Schedule'!$I$7:$I$66&gt;C63)*(C63-'แผนงาน Schedule'!$H$7:$H$66+1)/('แผนงาน Schedule'!$I$7:$I$66-'แผนงาน Schedule'!$H$7:$H$66+1)))</f>
        <v/>
      </c>
      <c r="E63" s="189" t="str">
        <f aca="false">IF(C63="","",SUMPRODUCT('แผนงาน Schedule'!$F$7:$F$66,('แผนงาน Schedule'!$AA$7:$AA$66&lt;=C63)+('แผนงาน Schedule'!$Z$7:$Z$66&lt;=C63)*('แผนงาน Schedule'!$AA$7:$AA$66&gt;C63)*(C63-'แผนงาน Schedule'!$Z$7:$Z$66+1)/('แผนงาน Schedule'!$AA$7:$AA$66-'แผนงาน Schedule'!$Z$7:$Z$66+1)))</f>
        <v/>
      </c>
      <c r="F63" s="190"/>
      <c r="G63" s="189" t="str">
        <f aca="false">IF(OR(C63="",NOT(ISNUMBER(Dashboard!$C$27))),"",IF(C63&lt;Dashboard!$C$7,"",IF(Dashboard!$C$27&lt;=Dashboard!$C$7,1,MIN(1,Dashboard!$C$19+(1-Dashboard!$C$19)*(C63-Dashboard!$C$7)/(Dashboard!$C$27-Dashboard!$C$7)))))</f>
        <v/>
      </c>
      <c r="H63" s="191" t="str">
        <f aca="false">IF(OR(F63="",D63=""),"",F63-D63)</f>
        <v/>
      </c>
      <c r="I63" s="192" t="str">
        <f aca="false">IF(D63="","",D63*'ตั้งค่า Setup'!$C$9)</f>
        <v/>
      </c>
      <c r="J63" s="192" t="str">
        <f aca="false">IF(OR(C63="",F63=""),"",F63*'ตั้งค่า Setup'!$C$9)</f>
        <v/>
      </c>
      <c r="K63" s="193"/>
      <c r="L63" s="192" t="str">
        <f aca="false">IF(OR(C63="",K63=""),"",SUM(K$7:K63))</f>
        <v/>
      </c>
      <c r="M63" s="193"/>
      <c r="N63" s="192" t="str">
        <f aca="false">IF(OR(C63="",B63&gt;'ตั้งค่า Setup'!$C$15),"",SUM(M$7:M63))</f>
        <v/>
      </c>
      <c r="P63" s="178" t="n">
        <f aca="false">IF(C63&lt;&gt;"",C63,P62)</f>
        <v>46346</v>
      </c>
      <c r="Q63" s="194" t="n">
        <f aca="false">IF(D63&lt;&gt;"",D63,Q62)</f>
        <v>1</v>
      </c>
      <c r="R63" s="178" t="n">
        <f aca="false">IF(Dashboard!$C$63,P63,R62)</f>
        <v>46072</v>
      </c>
      <c r="S63" s="194" t="n">
        <f aca="false">IF(AND(Dashboard!$C$63,E63&lt;&gt;""),E63,S62)</f>
        <v>0</v>
      </c>
      <c r="T63" s="178" t="n">
        <f aca="false">IF(AND(F63&lt;&gt;"",C63&lt;&gt;""),C63,T62)</f>
        <v>46142</v>
      </c>
      <c r="U63" s="194" t="n">
        <f aca="false">IF(AND(F63&lt;&gt;"",C63&lt;&gt;""),F63,U62)</f>
        <v>0.0513</v>
      </c>
      <c r="V63" s="178" t="n">
        <f aca="false">IF(ISNUMBER(G63),C63,V62)</f>
        <v>46346</v>
      </c>
      <c r="W63" s="194" t="n">
        <f aca="false">IF(ISNUMBER(G63),G63,W62)</f>
        <v>0.300059383033419</v>
      </c>
      <c r="X63" s="195" t="n">
        <f aca="false">IF(I63&lt;&gt;"",I63,X62)</f>
        <v>12108000</v>
      </c>
      <c r="Y63" s="195" t="n">
        <f aca="false">IF(AND(F63&lt;&gt;"",C63&lt;&gt;""),J63,Y62)</f>
        <v>621140.4</v>
      </c>
      <c r="Z63" s="178" t="n">
        <f aca="false">IF(AND(K63&lt;&gt;"",C63&lt;&gt;""),C63,Z62)</f>
        <v>46072</v>
      </c>
      <c r="AA63" s="195" t="n">
        <f aca="false">IF(AND(K63&lt;&gt;"",C63&lt;&gt;""),L63,AA62)</f>
        <v>0</v>
      </c>
    </row>
    <row r="64" customFormat="false" ht="15" hidden="false" customHeight="false" outlineLevel="0" collapsed="false">
      <c r="A64" s="187" t="str">
        <f aca="false">IF(B64="","",ROW()-6)</f>
        <v/>
      </c>
      <c r="B64" s="188" t="str">
        <f aca="false">IF(C63="","",IF(C63&gt;='ตั้งค่า Setup'!$C$69,"",C63+1))</f>
        <v/>
      </c>
      <c r="C64" s="188" t="str">
        <f aca="false">IF(B64="","",IF('ตั้งค่า Setup'!$C$16="รายสัปดาห์ / Weekly",B64+6,IF('ตั้งค่า Setup'!$C$16="รายเดือน / Monthly",EOMONTH(B64,0),IF(DAY(B64)&lt;=10,DATE(YEAR(B64),MONTH(B64),10),IF(DAY(B64)&lt;=20,DATE(YEAR(B64),MONTH(B64),20),EOMONTH(B64,0))))))</f>
        <v/>
      </c>
      <c r="D64" s="189" t="str">
        <f aca="false">IF(C64="","",SUMPRODUCT('แผนงาน Schedule'!$F$7:$F$66,('แผนงาน Schedule'!$I$7:$I$66&lt;=C64)+('แผนงาน Schedule'!$H$7:$H$66&lt;=C64)*('แผนงาน Schedule'!$I$7:$I$66&gt;C64)*(C64-'แผนงาน Schedule'!$H$7:$H$66+1)/('แผนงาน Schedule'!$I$7:$I$66-'แผนงาน Schedule'!$H$7:$H$66+1)))</f>
        <v/>
      </c>
      <c r="E64" s="189" t="str">
        <f aca="false">IF(C64="","",SUMPRODUCT('แผนงาน Schedule'!$F$7:$F$66,('แผนงาน Schedule'!$AA$7:$AA$66&lt;=C64)+('แผนงาน Schedule'!$Z$7:$Z$66&lt;=C64)*('แผนงาน Schedule'!$AA$7:$AA$66&gt;C64)*(C64-'แผนงาน Schedule'!$Z$7:$Z$66+1)/('แผนงาน Schedule'!$AA$7:$AA$66-'แผนงาน Schedule'!$Z$7:$Z$66+1)))</f>
        <v/>
      </c>
      <c r="F64" s="190"/>
      <c r="G64" s="189" t="str">
        <f aca="false">IF(OR(C64="",NOT(ISNUMBER(Dashboard!$C$27))),"",IF(C64&lt;Dashboard!$C$7,"",IF(Dashboard!$C$27&lt;=Dashboard!$C$7,1,MIN(1,Dashboard!$C$19+(1-Dashboard!$C$19)*(C64-Dashboard!$C$7)/(Dashboard!$C$27-Dashboard!$C$7)))))</f>
        <v/>
      </c>
      <c r="H64" s="191" t="str">
        <f aca="false">IF(OR(F64="",D64=""),"",F64-D64)</f>
        <v/>
      </c>
      <c r="I64" s="192" t="str">
        <f aca="false">IF(D64="","",D64*'ตั้งค่า Setup'!$C$9)</f>
        <v/>
      </c>
      <c r="J64" s="192" t="str">
        <f aca="false">IF(OR(C64="",F64=""),"",F64*'ตั้งค่า Setup'!$C$9)</f>
        <v/>
      </c>
      <c r="K64" s="193"/>
      <c r="L64" s="192" t="str">
        <f aca="false">IF(OR(C64="",K64=""),"",SUM(K$7:K64))</f>
        <v/>
      </c>
      <c r="M64" s="193"/>
      <c r="N64" s="192" t="str">
        <f aca="false">IF(OR(C64="",B64&gt;'ตั้งค่า Setup'!$C$15),"",SUM(M$7:M64))</f>
        <v/>
      </c>
      <c r="P64" s="178" t="n">
        <f aca="false">IF(C64&lt;&gt;"",C64,P63)</f>
        <v>46346</v>
      </c>
      <c r="Q64" s="194" t="n">
        <f aca="false">IF(D64&lt;&gt;"",D64,Q63)</f>
        <v>1</v>
      </c>
      <c r="R64" s="178" t="n">
        <f aca="false">IF(Dashboard!$C$63,P64,R63)</f>
        <v>46072</v>
      </c>
      <c r="S64" s="194" t="n">
        <f aca="false">IF(AND(Dashboard!$C$63,E64&lt;&gt;""),E64,S63)</f>
        <v>0</v>
      </c>
      <c r="T64" s="178" t="n">
        <f aca="false">IF(AND(F64&lt;&gt;"",C64&lt;&gt;""),C64,T63)</f>
        <v>46142</v>
      </c>
      <c r="U64" s="194" t="n">
        <f aca="false">IF(AND(F64&lt;&gt;"",C64&lt;&gt;""),F64,U63)</f>
        <v>0.0513</v>
      </c>
      <c r="V64" s="178" t="n">
        <f aca="false">IF(ISNUMBER(G64),C64,V63)</f>
        <v>46346</v>
      </c>
      <c r="W64" s="194" t="n">
        <f aca="false">IF(ISNUMBER(G64),G64,W63)</f>
        <v>0.300059383033419</v>
      </c>
      <c r="X64" s="195" t="n">
        <f aca="false">IF(I64&lt;&gt;"",I64,X63)</f>
        <v>12108000</v>
      </c>
      <c r="Y64" s="195" t="n">
        <f aca="false">IF(AND(F64&lt;&gt;"",C64&lt;&gt;""),J64,Y63)</f>
        <v>621140.4</v>
      </c>
      <c r="Z64" s="178" t="n">
        <f aca="false">IF(AND(K64&lt;&gt;"",C64&lt;&gt;""),C64,Z63)</f>
        <v>46072</v>
      </c>
      <c r="AA64" s="195" t="n">
        <f aca="false">IF(AND(K64&lt;&gt;"",C64&lt;&gt;""),L64,AA63)</f>
        <v>0</v>
      </c>
    </row>
    <row r="65" customFormat="false" ht="15" hidden="false" customHeight="false" outlineLevel="0" collapsed="false">
      <c r="A65" s="187" t="str">
        <f aca="false">IF(B65="","",ROW()-6)</f>
        <v/>
      </c>
      <c r="B65" s="188" t="str">
        <f aca="false">IF(C64="","",IF(C64&gt;='ตั้งค่า Setup'!$C$69,"",C64+1))</f>
        <v/>
      </c>
      <c r="C65" s="188" t="str">
        <f aca="false">IF(B65="","",IF('ตั้งค่า Setup'!$C$16="รายสัปดาห์ / Weekly",B65+6,IF('ตั้งค่า Setup'!$C$16="รายเดือน / Monthly",EOMONTH(B65,0),IF(DAY(B65)&lt;=10,DATE(YEAR(B65),MONTH(B65),10),IF(DAY(B65)&lt;=20,DATE(YEAR(B65),MONTH(B65),20),EOMONTH(B65,0))))))</f>
        <v/>
      </c>
      <c r="D65" s="189" t="str">
        <f aca="false">IF(C65="","",SUMPRODUCT('แผนงาน Schedule'!$F$7:$F$66,('แผนงาน Schedule'!$I$7:$I$66&lt;=C65)+('แผนงาน Schedule'!$H$7:$H$66&lt;=C65)*('แผนงาน Schedule'!$I$7:$I$66&gt;C65)*(C65-'แผนงาน Schedule'!$H$7:$H$66+1)/('แผนงาน Schedule'!$I$7:$I$66-'แผนงาน Schedule'!$H$7:$H$66+1)))</f>
        <v/>
      </c>
      <c r="E65" s="189" t="str">
        <f aca="false">IF(C65="","",SUMPRODUCT('แผนงาน Schedule'!$F$7:$F$66,('แผนงาน Schedule'!$AA$7:$AA$66&lt;=C65)+('แผนงาน Schedule'!$Z$7:$Z$66&lt;=C65)*('แผนงาน Schedule'!$AA$7:$AA$66&gt;C65)*(C65-'แผนงาน Schedule'!$Z$7:$Z$66+1)/('แผนงาน Schedule'!$AA$7:$AA$66-'แผนงาน Schedule'!$Z$7:$Z$66+1)))</f>
        <v/>
      </c>
      <c r="F65" s="190"/>
      <c r="G65" s="189" t="str">
        <f aca="false">IF(OR(C65="",NOT(ISNUMBER(Dashboard!$C$27))),"",IF(C65&lt;Dashboard!$C$7,"",IF(Dashboard!$C$27&lt;=Dashboard!$C$7,1,MIN(1,Dashboard!$C$19+(1-Dashboard!$C$19)*(C65-Dashboard!$C$7)/(Dashboard!$C$27-Dashboard!$C$7)))))</f>
        <v/>
      </c>
      <c r="H65" s="191" t="str">
        <f aca="false">IF(OR(F65="",D65=""),"",F65-D65)</f>
        <v/>
      </c>
      <c r="I65" s="192" t="str">
        <f aca="false">IF(D65="","",D65*'ตั้งค่า Setup'!$C$9)</f>
        <v/>
      </c>
      <c r="J65" s="192" t="str">
        <f aca="false">IF(OR(C65="",F65=""),"",F65*'ตั้งค่า Setup'!$C$9)</f>
        <v/>
      </c>
      <c r="K65" s="193"/>
      <c r="L65" s="192" t="str">
        <f aca="false">IF(OR(C65="",K65=""),"",SUM(K$7:K65))</f>
        <v/>
      </c>
      <c r="M65" s="193"/>
      <c r="N65" s="192" t="str">
        <f aca="false">IF(OR(C65="",B65&gt;'ตั้งค่า Setup'!$C$15),"",SUM(M$7:M65))</f>
        <v/>
      </c>
      <c r="P65" s="178" t="n">
        <f aca="false">IF(C65&lt;&gt;"",C65,P64)</f>
        <v>46346</v>
      </c>
      <c r="Q65" s="194" t="n">
        <f aca="false">IF(D65&lt;&gt;"",D65,Q64)</f>
        <v>1</v>
      </c>
      <c r="R65" s="178" t="n">
        <f aca="false">IF(Dashboard!$C$63,P65,R64)</f>
        <v>46072</v>
      </c>
      <c r="S65" s="194" t="n">
        <f aca="false">IF(AND(Dashboard!$C$63,E65&lt;&gt;""),E65,S64)</f>
        <v>0</v>
      </c>
      <c r="T65" s="178" t="n">
        <f aca="false">IF(AND(F65&lt;&gt;"",C65&lt;&gt;""),C65,T64)</f>
        <v>46142</v>
      </c>
      <c r="U65" s="194" t="n">
        <f aca="false">IF(AND(F65&lt;&gt;"",C65&lt;&gt;""),F65,U64)</f>
        <v>0.0513</v>
      </c>
      <c r="V65" s="178" t="n">
        <f aca="false">IF(ISNUMBER(G65),C65,V64)</f>
        <v>46346</v>
      </c>
      <c r="W65" s="194" t="n">
        <f aca="false">IF(ISNUMBER(G65),G65,W64)</f>
        <v>0.300059383033419</v>
      </c>
      <c r="X65" s="195" t="n">
        <f aca="false">IF(I65&lt;&gt;"",I65,X64)</f>
        <v>12108000</v>
      </c>
      <c r="Y65" s="195" t="n">
        <f aca="false">IF(AND(F65&lt;&gt;"",C65&lt;&gt;""),J65,Y64)</f>
        <v>621140.4</v>
      </c>
      <c r="Z65" s="178" t="n">
        <f aca="false">IF(AND(K65&lt;&gt;"",C65&lt;&gt;""),C65,Z64)</f>
        <v>46072</v>
      </c>
      <c r="AA65" s="195" t="n">
        <f aca="false">IF(AND(K65&lt;&gt;"",C65&lt;&gt;""),L65,AA64)</f>
        <v>0</v>
      </c>
    </row>
    <row r="66" customFormat="false" ht="15" hidden="false" customHeight="false" outlineLevel="0" collapsed="false">
      <c r="A66" s="187" t="str">
        <f aca="false">IF(B66="","",ROW()-6)</f>
        <v/>
      </c>
      <c r="B66" s="188" t="str">
        <f aca="false">IF(C65="","",IF(C65&gt;='ตั้งค่า Setup'!$C$69,"",C65+1))</f>
        <v/>
      </c>
      <c r="C66" s="188" t="str">
        <f aca="false">IF(B66="","",IF('ตั้งค่า Setup'!$C$16="รายสัปดาห์ / Weekly",B66+6,IF('ตั้งค่า Setup'!$C$16="รายเดือน / Monthly",EOMONTH(B66,0),IF(DAY(B66)&lt;=10,DATE(YEAR(B66),MONTH(B66),10),IF(DAY(B66)&lt;=20,DATE(YEAR(B66),MONTH(B66),20),EOMONTH(B66,0))))))</f>
        <v/>
      </c>
      <c r="D66" s="189" t="str">
        <f aca="false">IF(C66="","",SUMPRODUCT('แผนงาน Schedule'!$F$7:$F$66,('แผนงาน Schedule'!$I$7:$I$66&lt;=C66)+('แผนงาน Schedule'!$H$7:$H$66&lt;=C66)*('แผนงาน Schedule'!$I$7:$I$66&gt;C66)*(C66-'แผนงาน Schedule'!$H$7:$H$66+1)/('แผนงาน Schedule'!$I$7:$I$66-'แผนงาน Schedule'!$H$7:$H$66+1)))</f>
        <v/>
      </c>
      <c r="E66" s="189" t="str">
        <f aca="false">IF(C66="","",SUMPRODUCT('แผนงาน Schedule'!$F$7:$F$66,('แผนงาน Schedule'!$AA$7:$AA$66&lt;=C66)+('แผนงาน Schedule'!$Z$7:$Z$66&lt;=C66)*('แผนงาน Schedule'!$AA$7:$AA$66&gt;C66)*(C66-'แผนงาน Schedule'!$Z$7:$Z$66+1)/('แผนงาน Schedule'!$AA$7:$AA$66-'แผนงาน Schedule'!$Z$7:$Z$66+1)))</f>
        <v/>
      </c>
      <c r="F66" s="190"/>
      <c r="G66" s="189" t="str">
        <f aca="false">IF(OR(C66="",NOT(ISNUMBER(Dashboard!$C$27))),"",IF(C66&lt;Dashboard!$C$7,"",IF(Dashboard!$C$27&lt;=Dashboard!$C$7,1,MIN(1,Dashboard!$C$19+(1-Dashboard!$C$19)*(C66-Dashboard!$C$7)/(Dashboard!$C$27-Dashboard!$C$7)))))</f>
        <v/>
      </c>
      <c r="H66" s="191" t="str">
        <f aca="false">IF(OR(F66="",D66=""),"",F66-D66)</f>
        <v/>
      </c>
      <c r="I66" s="192" t="str">
        <f aca="false">IF(D66="","",D66*'ตั้งค่า Setup'!$C$9)</f>
        <v/>
      </c>
      <c r="J66" s="192" t="str">
        <f aca="false">IF(OR(C66="",F66=""),"",F66*'ตั้งค่า Setup'!$C$9)</f>
        <v/>
      </c>
      <c r="K66" s="193"/>
      <c r="L66" s="192" t="str">
        <f aca="false">IF(OR(C66="",K66=""),"",SUM(K$7:K66))</f>
        <v/>
      </c>
      <c r="M66" s="193"/>
      <c r="N66" s="192" t="str">
        <f aca="false">IF(OR(C66="",B66&gt;'ตั้งค่า Setup'!$C$15),"",SUM(M$7:M66))</f>
        <v/>
      </c>
      <c r="P66" s="178" t="n">
        <f aca="false">IF(C66&lt;&gt;"",C66,P65)</f>
        <v>46346</v>
      </c>
      <c r="Q66" s="194" t="n">
        <f aca="false">IF(D66&lt;&gt;"",D66,Q65)</f>
        <v>1</v>
      </c>
      <c r="R66" s="178" t="n">
        <f aca="false">IF(Dashboard!$C$63,P66,R65)</f>
        <v>46072</v>
      </c>
      <c r="S66" s="194" t="n">
        <f aca="false">IF(AND(Dashboard!$C$63,E66&lt;&gt;""),E66,S65)</f>
        <v>0</v>
      </c>
      <c r="T66" s="178" t="n">
        <f aca="false">IF(AND(F66&lt;&gt;"",C66&lt;&gt;""),C66,T65)</f>
        <v>46142</v>
      </c>
      <c r="U66" s="194" t="n">
        <f aca="false">IF(AND(F66&lt;&gt;"",C66&lt;&gt;""),F66,U65)</f>
        <v>0.0513</v>
      </c>
      <c r="V66" s="178" t="n">
        <f aca="false">IF(ISNUMBER(G66),C66,V65)</f>
        <v>46346</v>
      </c>
      <c r="W66" s="194" t="n">
        <f aca="false">IF(ISNUMBER(G66),G66,W65)</f>
        <v>0.300059383033419</v>
      </c>
      <c r="X66" s="195" t="n">
        <f aca="false">IF(I66&lt;&gt;"",I66,X65)</f>
        <v>12108000</v>
      </c>
      <c r="Y66" s="195" t="n">
        <f aca="false">IF(AND(F66&lt;&gt;"",C66&lt;&gt;""),J66,Y65)</f>
        <v>621140.4</v>
      </c>
      <c r="Z66" s="178" t="n">
        <f aca="false">IF(AND(K66&lt;&gt;"",C66&lt;&gt;""),C66,Z65)</f>
        <v>46072</v>
      </c>
      <c r="AA66" s="195" t="n">
        <f aca="false">IF(AND(K66&lt;&gt;"",C66&lt;&gt;""),L66,AA65)</f>
        <v>0</v>
      </c>
    </row>
    <row r="67" customFormat="false" ht="15" hidden="false" customHeight="false" outlineLevel="0" collapsed="false">
      <c r="A67" s="187" t="str">
        <f aca="false">IF(B67="","",ROW()-6)</f>
        <v/>
      </c>
      <c r="B67" s="188" t="str">
        <f aca="false">IF(C66="","",IF(C66&gt;='ตั้งค่า Setup'!$C$69,"",C66+1))</f>
        <v/>
      </c>
      <c r="C67" s="188" t="str">
        <f aca="false">IF(B67="","",IF('ตั้งค่า Setup'!$C$16="รายสัปดาห์ / Weekly",B67+6,IF('ตั้งค่า Setup'!$C$16="รายเดือน / Monthly",EOMONTH(B67,0),IF(DAY(B67)&lt;=10,DATE(YEAR(B67),MONTH(B67),10),IF(DAY(B67)&lt;=20,DATE(YEAR(B67),MONTH(B67),20),EOMONTH(B67,0))))))</f>
        <v/>
      </c>
      <c r="D67" s="189" t="str">
        <f aca="false">IF(C67="","",SUMPRODUCT('แผนงาน Schedule'!$F$7:$F$66,('แผนงาน Schedule'!$I$7:$I$66&lt;=C67)+('แผนงาน Schedule'!$H$7:$H$66&lt;=C67)*('แผนงาน Schedule'!$I$7:$I$66&gt;C67)*(C67-'แผนงาน Schedule'!$H$7:$H$66+1)/('แผนงาน Schedule'!$I$7:$I$66-'แผนงาน Schedule'!$H$7:$H$66+1)))</f>
        <v/>
      </c>
      <c r="E67" s="189" t="str">
        <f aca="false">IF(C67="","",SUMPRODUCT('แผนงาน Schedule'!$F$7:$F$66,('แผนงาน Schedule'!$AA$7:$AA$66&lt;=C67)+('แผนงาน Schedule'!$Z$7:$Z$66&lt;=C67)*('แผนงาน Schedule'!$AA$7:$AA$66&gt;C67)*(C67-'แผนงาน Schedule'!$Z$7:$Z$66+1)/('แผนงาน Schedule'!$AA$7:$AA$66-'แผนงาน Schedule'!$Z$7:$Z$66+1)))</f>
        <v/>
      </c>
      <c r="F67" s="190"/>
      <c r="G67" s="189" t="str">
        <f aca="false">IF(OR(C67="",NOT(ISNUMBER(Dashboard!$C$27))),"",IF(C67&lt;Dashboard!$C$7,"",IF(Dashboard!$C$27&lt;=Dashboard!$C$7,1,MIN(1,Dashboard!$C$19+(1-Dashboard!$C$19)*(C67-Dashboard!$C$7)/(Dashboard!$C$27-Dashboard!$C$7)))))</f>
        <v/>
      </c>
      <c r="H67" s="191" t="str">
        <f aca="false">IF(OR(F67="",D67=""),"",F67-D67)</f>
        <v/>
      </c>
      <c r="I67" s="192" t="str">
        <f aca="false">IF(D67="","",D67*'ตั้งค่า Setup'!$C$9)</f>
        <v/>
      </c>
      <c r="J67" s="192" t="str">
        <f aca="false">IF(OR(C67="",F67=""),"",F67*'ตั้งค่า Setup'!$C$9)</f>
        <v/>
      </c>
      <c r="K67" s="193"/>
      <c r="L67" s="192" t="str">
        <f aca="false">IF(OR(C67="",K67=""),"",SUM(K$7:K67))</f>
        <v/>
      </c>
      <c r="M67" s="193"/>
      <c r="N67" s="192" t="str">
        <f aca="false">IF(OR(C67="",B67&gt;'ตั้งค่า Setup'!$C$15),"",SUM(M$7:M67))</f>
        <v/>
      </c>
      <c r="P67" s="178" t="n">
        <f aca="false">IF(C67&lt;&gt;"",C67,P66)</f>
        <v>46346</v>
      </c>
      <c r="Q67" s="194" t="n">
        <f aca="false">IF(D67&lt;&gt;"",D67,Q66)</f>
        <v>1</v>
      </c>
      <c r="R67" s="178" t="n">
        <f aca="false">IF(Dashboard!$C$63,P67,R66)</f>
        <v>46072</v>
      </c>
      <c r="S67" s="194" t="n">
        <f aca="false">IF(AND(Dashboard!$C$63,E67&lt;&gt;""),E67,S66)</f>
        <v>0</v>
      </c>
      <c r="T67" s="178" t="n">
        <f aca="false">IF(AND(F67&lt;&gt;"",C67&lt;&gt;""),C67,T66)</f>
        <v>46142</v>
      </c>
      <c r="U67" s="194" t="n">
        <f aca="false">IF(AND(F67&lt;&gt;"",C67&lt;&gt;""),F67,U66)</f>
        <v>0.0513</v>
      </c>
      <c r="V67" s="178" t="n">
        <f aca="false">IF(ISNUMBER(G67),C67,V66)</f>
        <v>46346</v>
      </c>
      <c r="W67" s="194" t="n">
        <f aca="false">IF(ISNUMBER(G67),G67,W66)</f>
        <v>0.300059383033419</v>
      </c>
      <c r="X67" s="195" t="n">
        <f aca="false">IF(I67&lt;&gt;"",I67,X66)</f>
        <v>12108000</v>
      </c>
      <c r="Y67" s="195" t="n">
        <f aca="false">IF(AND(F67&lt;&gt;"",C67&lt;&gt;""),J67,Y66)</f>
        <v>621140.4</v>
      </c>
      <c r="Z67" s="178" t="n">
        <f aca="false">IF(AND(K67&lt;&gt;"",C67&lt;&gt;""),C67,Z66)</f>
        <v>46072</v>
      </c>
      <c r="AA67" s="195" t="n">
        <f aca="false">IF(AND(K67&lt;&gt;"",C67&lt;&gt;""),L67,AA66)</f>
        <v>0</v>
      </c>
    </row>
    <row r="68" customFormat="false" ht="15" hidden="false" customHeight="false" outlineLevel="0" collapsed="false">
      <c r="A68" s="187" t="str">
        <f aca="false">IF(B68="","",ROW()-6)</f>
        <v/>
      </c>
      <c r="B68" s="188" t="str">
        <f aca="false">IF(C67="","",IF(C67&gt;='ตั้งค่า Setup'!$C$69,"",C67+1))</f>
        <v/>
      </c>
      <c r="C68" s="188" t="str">
        <f aca="false">IF(B68="","",IF('ตั้งค่า Setup'!$C$16="รายสัปดาห์ / Weekly",B68+6,IF('ตั้งค่า Setup'!$C$16="รายเดือน / Monthly",EOMONTH(B68,0),IF(DAY(B68)&lt;=10,DATE(YEAR(B68),MONTH(B68),10),IF(DAY(B68)&lt;=20,DATE(YEAR(B68),MONTH(B68),20),EOMONTH(B68,0))))))</f>
        <v/>
      </c>
      <c r="D68" s="189" t="str">
        <f aca="false">IF(C68="","",SUMPRODUCT('แผนงาน Schedule'!$F$7:$F$66,('แผนงาน Schedule'!$I$7:$I$66&lt;=C68)+('แผนงาน Schedule'!$H$7:$H$66&lt;=C68)*('แผนงาน Schedule'!$I$7:$I$66&gt;C68)*(C68-'แผนงาน Schedule'!$H$7:$H$66+1)/('แผนงาน Schedule'!$I$7:$I$66-'แผนงาน Schedule'!$H$7:$H$66+1)))</f>
        <v/>
      </c>
      <c r="E68" s="189" t="str">
        <f aca="false">IF(C68="","",SUMPRODUCT('แผนงาน Schedule'!$F$7:$F$66,('แผนงาน Schedule'!$AA$7:$AA$66&lt;=C68)+('แผนงาน Schedule'!$Z$7:$Z$66&lt;=C68)*('แผนงาน Schedule'!$AA$7:$AA$66&gt;C68)*(C68-'แผนงาน Schedule'!$Z$7:$Z$66+1)/('แผนงาน Schedule'!$AA$7:$AA$66-'แผนงาน Schedule'!$Z$7:$Z$66+1)))</f>
        <v/>
      </c>
      <c r="F68" s="190"/>
      <c r="G68" s="189" t="str">
        <f aca="false">IF(OR(C68="",NOT(ISNUMBER(Dashboard!$C$27))),"",IF(C68&lt;Dashboard!$C$7,"",IF(Dashboard!$C$27&lt;=Dashboard!$C$7,1,MIN(1,Dashboard!$C$19+(1-Dashboard!$C$19)*(C68-Dashboard!$C$7)/(Dashboard!$C$27-Dashboard!$C$7)))))</f>
        <v/>
      </c>
      <c r="H68" s="191" t="str">
        <f aca="false">IF(OR(F68="",D68=""),"",F68-D68)</f>
        <v/>
      </c>
      <c r="I68" s="192" t="str">
        <f aca="false">IF(D68="","",D68*'ตั้งค่า Setup'!$C$9)</f>
        <v/>
      </c>
      <c r="J68" s="192" t="str">
        <f aca="false">IF(OR(C68="",F68=""),"",F68*'ตั้งค่า Setup'!$C$9)</f>
        <v/>
      </c>
      <c r="K68" s="193"/>
      <c r="L68" s="192" t="str">
        <f aca="false">IF(OR(C68="",K68=""),"",SUM(K$7:K68))</f>
        <v/>
      </c>
      <c r="M68" s="193"/>
      <c r="N68" s="192" t="str">
        <f aca="false">IF(OR(C68="",B68&gt;'ตั้งค่า Setup'!$C$15),"",SUM(M$7:M68))</f>
        <v/>
      </c>
      <c r="P68" s="178" t="n">
        <f aca="false">IF(C68&lt;&gt;"",C68,P67)</f>
        <v>46346</v>
      </c>
      <c r="Q68" s="194" t="n">
        <f aca="false">IF(D68&lt;&gt;"",D68,Q67)</f>
        <v>1</v>
      </c>
      <c r="R68" s="178" t="n">
        <f aca="false">IF(Dashboard!$C$63,P68,R67)</f>
        <v>46072</v>
      </c>
      <c r="S68" s="194" t="n">
        <f aca="false">IF(AND(Dashboard!$C$63,E68&lt;&gt;""),E68,S67)</f>
        <v>0</v>
      </c>
      <c r="T68" s="178" t="n">
        <f aca="false">IF(AND(F68&lt;&gt;"",C68&lt;&gt;""),C68,T67)</f>
        <v>46142</v>
      </c>
      <c r="U68" s="194" t="n">
        <f aca="false">IF(AND(F68&lt;&gt;"",C68&lt;&gt;""),F68,U67)</f>
        <v>0.0513</v>
      </c>
      <c r="V68" s="178" t="n">
        <f aca="false">IF(ISNUMBER(G68),C68,V67)</f>
        <v>46346</v>
      </c>
      <c r="W68" s="194" t="n">
        <f aca="false">IF(ISNUMBER(G68),G68,W67)</f>
        <v>0.300059383033419</v>
      </c>
      <c r="X68" s="195" t="n">
        <f aca="false">IF(I68&lt;&gt;"",I68,X67)</f>
        <v>12108000</v>
      </c>
      <c r="Y68" s="195" t="n">
        <f aca="false">IF(AND(F68&lt;&gt;"",C68&lt;&gt;""),J68,Y67)</f>
        <v>621140.4</v>
      </c>
      <c r="Z68" s="178" t="n">
        <f aca="false">IF(AND(K68&lt;&gt;"",C68&lt;&gt;""),C68,Z67)</f>
        <v>46072</v>
      </c>
      <c r="AA68" s="195" t="n">
        <f aca="false">IF(AND(K68&lt;&gt;"",C68&lt;&gt;""),L68,AA67)</f>
        <v>0</v>
      </c>
    </row>
    <row r="69" customFormat="false" ht="15" hidden="false" customHeight="false" outlineLevel="0" collapsed="false">
      <c r="A69" s="187" t="str">
        <f aca="false">IF(B69="","",ROW()-6)</f>
        <v/>
      </c>
      <c r="B69" s="188" t="str">
        <f aca="false">IF(C68="","",IF(C68&gt;='ตั้งค่า Setup'!$C$69,"",C68+1))</f>
        <v/>
      </c>
      <c r="C69" s="188" t="str">
        <f aca="false">IF(B69="","",IF('ตั้งค่า Setup'!$C$16="รายสัปดาห์ / Weekly",B69+6,IF('ตั้งค่า Setup'!$C$16="รายเดือน / Monthly",EOMONTH(B69,0),IF(DAY(B69)&lt;=10,DATE(YEAR(B69),MONTH(B69),10),IF(DAY(B69)&lt;=20,DATE(YEAR(B69),MONTH(B69),20),EOMONTH(B69,0))))))</f>
        <v/>
      </c>
      <c r="D69" s="189" t="str">
        <f aca="false">IF(C69="","",SUMPRODUCT('แผนงาน Schedule'!$F$7:$F$66,('แผนงาน Schedule'!$I$7:$I$66&lt;=C69)+('แผนงาน Schedule'!$H$7:$H$66&lt;=C69)*('แผนงาน Schedule'!$I$7:$I$66&gt;C69)*(C69-'แผนงาน Schedule'!$H$7:$H$66+1)/('แผนงาน Schedule'!$I$7:$I$66-'แผนงาน Schedule'!$H$7:$H$66+1)))</f>
        <v/>
      </c>
      <c r="E69" s="189" t="str">
        <f aca="false">IF(C69="","",SUMPRODUCT('แผนงาน Schedule'!$F$7:$F$66,('แผนงาน Schedule'!$AA$7:$AA$66&lt;=C69)+('แผนงาน Schedule'!$Z$7:$Z$66&lt;=C69)*('แผนงาน Schedule'!$AA$7:$AA$66&gt;C69)*(C69-'แผนงาน Schedule'!$Z$7:$Z$66+1)/('แผนงาน Schedule'!$AA$7:$AA$66-'แผนงาน Schedule'!$Z$7:$Z$66+1)))</f>
        <v/>
      </c>
      <c r="F69" s="190"/>
      <c r="G69" s="189" t="str">
        <f aca="false">IF(OR(C69="",NOT(ISNUMBER(Dashboard!$C$27))),"",IF(C69&lt;Dashboard!$C$7,"",IF(Dashboard!$C$27&lt;=Dashboard!$C$7,1,MIN(1,Dashboard!$C$19+(1-Dashboard!$C$19)*(C69-Dashboard!$C$7)/(Dashboard!$C$27-Dashboard!$C$7)))))</f>
        <v/>
      </c>
      <c r="H69" s="191" t="str">
        <f aca="false">IF(OR(F69="",D69=""),"",F69-D69)</f>
        <v/>
      </c>
      <c r="I69" s="192" t="str">
        <f aca="false">IF(D69="","",D69*'ตั้งค่า Setup'!$C$9)</f>
        <v/>
      </c>
      <c r="J69" s="192" t="str">
        <f aca="false">IF(OR(C69="",F69=""),"",F69*'ตั้งค่า Setup'!$C$9)</f>
        <v/>
      </c>
      <c r="K69" s="193"/>
      <c r="L69" s="192" t="str">
        <f aca="false">IF(OR(C69="",K69=""),"",SUM(K$7:K69))</f>
        <v/>
      </c>
      <c r="M69" s="193"/>
      <c r="N69" s="192" t="str">
        <f aca="false">IF(OR(C69="",B69&gt;'ตั้งค่า Setup'!$C$15),"",SUM(M$7:M69))</f>
        <v/>
      </c>
      <c r="P69" s="178" t="n">
        <f aca="false">IF(C69&lt;&gt;"",C69,P68)</f>
        <v>46346</v>
      </c>
      <c r="Q69" s="194" t="n">
        <f aca="false">IF(D69&lt;&gt;"",D69,Q68)</f>
        <v>1</v>
      </c>
      <c r="R69" s="178" t="n">
        <f aca="false">IF(Dashboard!$C$63,P69,R68)</f>
        <v>46072</v>
      </c>
      <c r="S69" s="194" t="n">
        <f aca="false">IF(AND(Dashboard!$C$63,E69&lt;&gt;""),E69,S68)</f>
        <v>0</v>
      </c>
      <c r="T69" s="178" t="n">
        <f aca="false">IF(AND(F69&lt;&gt;"",C69&lt;&gt;""),C69,T68)</f>
        <v>46142</v>
      </c>
      <c r="U69" s="194" t="n">
        <f aca="false">IF(AND(F69&lt;&gt;"",C69&lt;&gt;""),F69,U68)</f>
        <v>0.0513</v>
      </c>
      <c r="V69" s="178" t="n">
        <f aca="false">IF(ISNUMBER(G69),C69,V68)</f>
        <v>46346</v>
      </c>
      <c r="W69" s="194" t="n">
        <f aca="false">IF(ISNUMBER(G69),G69,W68)</f>
        <v>0.300059383033419</v>
      </c>
      <c r="X69" s="195" t="n">
        <f aca="false">IF(I69&lt;&gt;"",I69,X68)</f>
        <v>12108000</v>
      </c>
      <c r="Y69" s="195" t="n">
        <f aca="false">IF(AND(F69&lt;&gt;"",C69&lt;&gt;""),J69,Y68)</f>
        <v>621140.4</v>
      </c>
      <c r="Z69" s="178" t="n">
        <f aca="false">IF(AND(K69&lt;&gt;"",C69&lt;&gt;""),C69,Z68)</f>
        <v>46072</v>
      </c>
      <c r="AA69" s="195" t="n">
        <f aca="false">IF(AND(K69&lt;&gt;"",C69&lt;&gt;""),L69,AA68)</f>
        <v>0</v>
      </c>
    </row>
    <row r="70" customFormat="false" ht="15" hidden="false" customHeight="false" outlineLevel="0" collapsed="false">
      <c r="A70" s="187" t="str">
        <f aca="false">IF(B70="","",ROW()-6)</f>
        <v/>
      </c>
      <c r="B70" s="188" t="str">
        <f aca="false">IF(C69="","",IF(C69&gt;='ตั้งค่า Setup'!$C$69,"",C69+1))</f>
        <v/>
      </c>
      <c r="C70" s="188" t="str">
        <f aca="false">IF(B70="","",IF('ตั้งค่า Setup'!$C$16="รายสัปดาห์ / Weekly",B70+6,IF('ตั้งค่า Setup'!$C$16="รายเดือน / Monthly",EOMONTH(B70,0),IF(DAY(B70)&lt;=10,DATE(YEAR(B70),MONTH(B70),10),IF(DAY(B70)&lt;=20,DATE(YEAR(B70),MONTH(B70),20),EOMONTH(B70,0))))))</f>
        <v/>
      </c>
      <c r="D70" s="189" t="str">
        <f aca="false">IF(C70="","",SUMPRODUCT('แผนงาน Schedule'!$F$7:$F$66,('แผนงาน Schedule'!$I$7:$I$66&lt;=C70)+('แผนงาน Schedule'!$H$7:$H$66&lt;=C70)*('แผนงาน Schedule'!$I$7:$I$66&gt;C70)*(C70-'แผนงาน Schedule'!$H$7:$H$66+1)/('แผนงาน Schedule'!$I$7:$I$66-'แผนงาน Schedule'!$H$7:$H$66+1)))</f>
        <v/>
      </c>
      <c r="E70" s="189" t="str">
        <f aca="false">IF(C70="","",SUMPRODUCT('แผนงาน Schedule'!$F$7:$F$66,('แผนงาน Schedule'!$AA$7:$AA$66&lt;=C70)+('แผนงาน Schedule'!$Z$7:$Z$66&lt;=C70)*('แผนงาน Schedule'!$AA$7:$AA$66&gt;C70)*(C70-'แผนงาน Schedule'!$Z$7:$Z$66+1)/('แผนงาน Schedule'!$AA$7:$AA$66-'แผนงาน Schedule'!$Z$7:$Z$66+1)))</f>
        <v/>
      </c>
      <c r="F70" s="190"/>
      <c r="G70" s="189" t="str">
        <f aca="false">IF(OR(C70="",NOT(ISNUMBER(Dashboard!$C$27))),"",IF(C70&lt;Dashboard!$C$7,"",IF(Dashboard!$C$27&lt;=Dashboard!$C$7,1,MIN(1,Dashboard!$C$19+(1-Dashboard!$C$19)*(C70-Dashboard!$C$7)/(Dashboard!$C$27-Dashboard!$C$7)))))</f>
        <v/>
      </c>
      <c r="H70" s="191" t="str">
        <f aca="false">IF(OR(F70="",D70=""),"",F70-D70)</f>
        <v/>
      </c>
      <c r="I70" s="192" t="str">
        <f aca="false">IF(D70="","",D70*'ตั้งค่า Setup'!$C$9)</f>
        <v/>
      </c>
      <c r="J70" s="192" t="str">
        <f aca="false">IF(OR(C70="",F70=""),"",F70*'ตั้งค่า Setup'!$C$9)</f>
        <v/>
      </c>
      <c r="K70" s="193"/>
      <c r="L70" s="192" t="str">
        <f aca="false">IF(OR(C70="",K70=""),"",SUM(K$7:K70))</f>
        <v/>
      </c>
      <c r="M70" s="193"/>
      <c r="N70" s="192" t="str">
        <f aca="false">IF(OR(C70="",B70&gt;'ตั้งค่า Setup'!$C$15),"",SUM(M$7:M70))</f>
        <v/>
      </c>
      <c r="P70" s="178" t="n">
        <f aca="false">IF(C70&lt;&gt;"",C70,P69)</f>
        <v>46346</v>
      </c>
      <c r="Q70" s="194" t="n">
        <f aca="false">IF(D70&lt;&gt;"",D70,Q69)</f>
        <v>1</v>
      </c>
      <c r="R70" s="178" t="n">
        <f aca="false">IF(Dashboard!$C$63,P70,R69)</f>
        <v>46072</v>
      </c>
      <c r="S70" s="194" t="n">
        <f aca="false">IF(AND(Dashboard!$C$63,E70&lt;&gt;""),E70,S69)</f>
        <v>0</v>
      </c>
      <c r="T70" s="178" t="n">
        <f aca="false">IF(AND(F70&lt;&gt;"",C70&lt;&gt;""),C70,T69)</f>
        <v>46142</v>
      </c>
      <c r="U70" s="194" t="n">
        <f aca="false">IF(AND(F70&lt;&gt;"",C70&lt;&gt;""),F70,U69)</f>
        <v>0.0513</v>
      </c>
      <c r="V70" s="178" t="n">
        <f aca="false">IF(ISNUMBER(G70),C70,V69)</f>
        <v>46346</v>
      </c>
      <c r="W70" s="194" t="n">
        <f aca="false">IF(ISNUMBER(G70),G70,W69)</f>
        <v>0.300059383033419</v>
      </c>
      <c r="X70" s="195" t="n">
        <f aca="false">IF(I70&lt;&gt;"",I70,X69)</f>
        <v>12108000</v>
      </c>
      <c r="Y70" s="195" t="n">
        <f aca="false">IF(AND(F70&lt;&gt;"",C70&lt;&gt;""),J70,Y69)</f>
        <v>621140.4</v>
      </c>
      <c r="Z70" s="178" t="n">
        <f aca="false">IF(AND(K70&lt;&gt;"",C70&lt;&gt;""),C70,Z69)</f>
        <v>46072</v>
      </c>
      <c r="AA70" s="195" t="n">
        <f aca="false">IF(AND(K70&lt;&gt;"",C70&lt;&gt;""),L70,AA69)</f>
        <v>0</v>
      </c>
    </row>
    <row r="71" customFormat="false" ht="15" hidden="false" customHeight="false" outlineLevel="0" collapsed="false">
      <c r="A71" s="187" t="str">
        <f aca="false">IF(B71="","",ROW()-6)</f>
        <v/>
      </c>
      <c r="B71" s="188" t="str">
        <f aca="false">IF(C70="","",IF(C70&gt;='ตั้งค่า Setup'!$C$69,"",C70+1))</f>
        <v/>
      </c>
      <c r="C71" s="188" t="str">
        <f aca="false">IF(B71="","",IF('ตั้งค่า Setup'!$C$16="รายสัปดาห์ / Weekly",B71+6,IF('ตั้งค่า Setup'!$C$16="รายเดือน / Monthly",EOMONTH(B71,0),IF(DAY(B71)&lt;=10,DATE(YEAR(B71),MONTH(B71),10),IF(DAY(B71)&lt;=20,DATE(YEAR(B71),MONTH(B71),20),EOMONTH(B71,0))))))</f>
        <v/>
      </c>
      <c r="D71" s="189" t="str">
        <f aca="false">IF(C71="","",SUMPRODUCT('แผนงาน Schedule'!$F$7:$F$66,('แผนงาน Schedule'!$I$7:$I$66&lt;=C71)+('แผนงาน Schedule'!$H$7:$H$66&lt;=C71)*('แผนงาน Schedule'!$I$7:$I$66&gt;C71)*(C71-'แผนงาน Schedule'!$H$7:$H$66+1)/('แผนงาน Schedule'!$I$7:$I$66-'แผนงาน Schedule'!$H$7:$H$66+1)))</f>
        <v/>
      </c>
      <c r="E71" s="189" t="str">
        <f aca="false">IF(C71="","",SUMPRODUCT('แผนงาน Schedule'!$F$7:$F$66,('แผนงาน Schedule'!$AA$7:$AA$66&lt;=C71)+('แผนงาน Schedule'!$Z$7:$Z$66&lt;=C71)*('แผนงาน Schedule'!$AA$7:$AA$66&gt;C71)*(C71-'แผนงาน Schedule'!$Z$7:$Z$66+1)/('แผนงาน Schedule'!$AA$7:$AA$66-'แผนงาน Schedule'!$Z$7:$Z$66+1)))</f>
        <v/>
      </c>
      <c r="F71" s="190"/>
      <c r="G71" s="189" t="str">
        <f aca="false">IF(OR(C71="",NOT(ISNUMBER(Dashboard!$C$27))),"",IF(C71&lt;Dashboard!$C$7,"",IF(Dashboard!$C$27&lt;=Dashboard!$C$7,1,MIN(1,Dashboard!$C$19+(1-Dashboard!$C$19)*(C71-Dashboard!$C$7)/(Dashboard!$C$27-Dashboard!$C$7)))))</f>
        <v/>
      </c>
      <c r="H71" s="191" t="str">
        <f aca="false">IF(OR(F71="",D71=""),"",F71-D71)</f>
        <v/>
      </c>
      <c r="I71" s="192" t="str">
        <f aca="false">IF(D71="","",D71*'ตั้งค่า Setup'!$C$9)</f>
        <v/>
      </c>
      <c r="J71" s="192" t="str">
        <f aca="false">IF(OR(C71="",F71=""),"",F71*'ตั้งค่า Setup'!$C$9)</f>
        <v/>
      </c>
      <c r="K71" s="193"/>
      <c r="L71" s="192" t="str">
        <f aca="false">IF(OR(C71="",K71=""),"",SUM(K$7:K71))</f>
        <v/>
      </c>
      <c r="M71" s="193"/>
      <c r="N71" s="192" t="str">
        <f aca="false">IF(OR(C71="",B71&gt;'ตั้งค่า Setup'!$C$15),"",SUM(M$7:M71))</f>
        <v/>
      </c>
      <c r="P71" s="178" t="n">
        <f aca="false">IF(C71&lt;&gt;"",C71,P70)</f>
        <v>46346</v>
      </c>
      <c r="Q71" s="194" t="n">
        <f aca="false">IF(D71&lt;&gt;"",D71,Q70)</f>
        <v>1</v>
      </c>
      <c r="R71" s="178" t="n">
        <f aca="false">IF(Dashboard!$C$63,P71,R70)</f>
        <v>46072</v>
      </c>
      <c r="S71" s="194" t="n">
        <f aca="false">IF(AND(Dashboard!$C$63,E71&lt;&gt;""),E71,S70)</f>
        <v>0</v>
      </c>
      <c r="T71" s="178" t="n">
        <f aca="false">IF(AND(F71&lt;&gt;"",C71&lt;&gt;""),C71,T70)</f>
        <v>46142</v>
      </c>
      <c r="U71" s="194" t="n">
        <f aca="false">IF(AND(F71&lt;&gt;"",C71&lt;&gt;""),F71,U70)</f>
        <v>0.0513</v>
      </c>
      <c r="V71" s="178" t="n">
        <f aca="false">IF(ISNUMBER(G71),C71,V70)</f>
        <v>46346</v>
      </c>
      <c r="W71" s="194" t="n">
        <f aca="false">IF(ISNUMBER(G71),G71,W70)</f>
        <v>0.300059383033419</v>
      </c>
      <c r="X71" s="195" t="n">
        <f aca="false">IF(I71&lt;&gt;"",I71,X70)</f>
        <v>12108000</v>
      </c>
      <c r="Y71" s="195" t="n">
        <f aca="false">IF(AND(F71&lt;&gt;"",C71&lt;&gt;""),J71,Y70)</f>
        <v>621140.4</v>
      </c>
      <c r="Z71" s="178" t="n">
        <f aca="false">IF(AND(K71&lt;&gt;"",C71&lt;&gt;""),C71,Z70)</f>
        <v>46072</v>
      </c>
      <c r="AA71" s="195" t="n">
        <f aca="false">IF(AND(K71&lt;&gt;"",C71&lt;&gt;""),L71,AA70)</f>
        <v>0</v>
      </c>
    </row>
    <row r="72" customFormat="false" ht="15" hidden="false" customHeight="false" outlineLevel="0" collapsed="false">
      <c r="A72" s="187" t="str">
        <f aca="false">IF(B72="","",ROW()-6)</f>
        <v/>
      </c>
      <c r="B72" s="188" t="str">
        <f aca="false">IF(C71="","",IF(C71&gt;='ตั้งค่า Setup'!$C$69,"",C71+1))</f>
        <v/>
      </c>
      <c r="C72" s="188" t="str">
        <f aca="false">IF(B72="","",IF('ตั้งค่า Setup'!$C$16="รายสัปดาห์ / Weekly",B72+6,IF('ตั้งค่า Setup'!$C$16="รายเดือน / Monthly",EOMONTH(B72,0),IF(DAY(B72)&lt;=10,DATE(YEAR(B72),MONTH(B72),10),IF(DAY(B72)&lt;=20,DATE(YEAR(B72),MONTH(B72),20),EOMONTH(B72,0))))))</f>
        <v/>
      </c>
      <c r="D72" s="189" t="str">
        <f aca="false">IF(C72="","",SUMPRODUCT('แผนงาน Schedule'!$F$7:$F$66,('แผนงาน Schedule'!$I$7:$I$66&lt;=C72)+('แผนงาน Schedule'!$H$7:$H$66&lt;=C72)*('แผนงาน Schedule'!$I$7:$I$66&gt;C72)*(C72-'แผนงาน Schedule'!$H$7:$H$66+1)/('แผนงาน Schedule'!$I$7:$I$66-'แผนงาน Schedule'!$H$7:$H$66+1)))</f>
        <v/>
      </c>
      <c r="E72" s="189" t="str">
        <f aca="false">IF(C72="","",SUMPRODUCT('แผนงาน Schedule'!$F$7:$F$66,('แผนงาน Schedule'!$AA$7:$AA$66&lt;=C72)+('แผนงาน Schedule'!$Z$7:$Z$66&lt;=C72)*('แผนงาน Schedule'!$AA$7:$AA$66&gt;C72)*(C72-'แผนงาน Schedule'!$Z$7:$Z$66+1)/('แผนงาน Schedule'!$AA$7:$AA$66-'แผนงาน Schedule'!$Z$7:$Z$66+1)))</f>
        <v/>
      </c>
      <c r="F72" s="190"/>
      <c r="G72" s="189" t="str">
        <f aca="false">IF(OR(C72="",NOT(ISNUMBER(Dashboard!$C$27))),"",IF(C72&lt;Dashboard!$C$7,"",IF(Dashboard!$C$27&lt;=Dashboard!$C$7,1,MIN(1,Dashboard!$C$19+(1-Dashboard!$C$19)*(C72-Dashboard!$C$7)/(Dashboard!$C$27-Dashboard!$C$7)))))</f>
        <v/>
      </c>
      <c r="H72" s="191" t="str">
        <f aca="false">IF(OR(F72="",D72=""),"",F72-D72)</f>
        <v/>
      </c>
      <c r="I72" s="192" t="str">
        <f aca="false">IF(D72="","",D72*'ตั้งค่า Setup'!$C$9)</f>
        <v/>
      </c>
      <c r="J72" s="192" t="str">
        <f aca="false">IF(OR(C72="",F72=""),"",F72*'ตั้งค่า Setup'!$C$9)</f>
        <v/>
      </c>
      <c r="K72" s="193"/>
      <c r="L72" s="192" t="str">
        <f aca="false">IF(OR(C72="",K72=""),"",SUM(K$7:K72))</f>
        <v/>
      </c>
      <c r="M72" s="193"/>
      <c r="N72" s="192" t="str">
        <f aca="false">IF(OR(C72="",B72&gt;'ตั้งค่า Setup'!$C$15),"",SUM(M$7:M72))</f>
        <v/>
      </c>
      <c r="P72" s="178" t="n">
        <f aca="false">IF(C72&lt;&gt;"",C72,P71)</f>
        <v>46346</v>
      </c>
      <c r="Q72" s="194" t="n">
        <f aca="false">IF(D72&lt;&gt;"",D72,Q71)</f>
        <v>1</v>
      </c>
      <c r="R72" s="178" t="n">
        <f aca="false">IF(Dashboard!$C$63,P72,R71)</f>
        <v>46072</v>
      </c>
      <c r="S72" s="194" t="n">
        <f aca="false">IF(AND(Dashboard!$C$63,E72&lt;&gt;""),E72,S71)</f>
        <v>0</v>
      </c>
      <c r="T72" s="178" t="n">
        <f aca="false">IF(AND(F72&lt;&gt;"",C72&lt;&gt;""),C72,T71)</f>
        <v>46142</v>
      </c>
      <c r="U72" s="194" t="n">
        <f aca="false">IF(AND(F72&lt;&gt;"",C72&lt;&gt;""),F72,U71)</f>
        <v>0.0513</v>
      </c>
      <c r="V72" s="178" t="n">
        <f aca="false">IF(ISNUMBER(G72),C72,V71)</f>
        <v>46346</v>
      </c>
      <c r="W72" s="194" t="n">
        <f aca="false">IF(ISNUMBER(G72),G72,W71)</f>
        <v>0.300059383033419</v>
      </c>
      <c r="X72" s="195" t="n">
        <f aca="false">IF(I72&lt;&gt;"",I72,X71)</f>
        <v>12108000</v>
      </c>
      <c r="Y72" s="195" t="n">
        <f aca="false">IF(AND(F72&lt;&gt;"",C72&lt;&gt;""),J72,Y71)</f>
        <v>621140.4</v>
      </c>
      <c r="Z72" s="178" t="n">
        <f aca="false">IF(AND(K72&lt;&gt;"",C72&lt;&gt;""),C72,Z71)</f>
        <v>46072</v>
      </c>
      <c r="AA72" s="195" t="n">
        <f aca="false">IF(AND(K72&lt;&gt;"",C72&lt;&gt;""),L72,AA71)</f>
        <v>0</v>
      </c>
    </row>
    <row r="73" customFormat="false" ht="15" hidden="false" customHeight="false" outlineLevel="0" collapsed="false">
      <c r="A73" s="187" t="str">
        <f aca="false">IF(B73="","",ROW()-6)</f>
        <v/>
      </c>
      <c r="B73" s="188" t="str">
        <f aca="false">IF(C72="","",IF(C72&gt;='ตั้งค่า Setup'!$C$69,"",C72+1))</f>
        <v/>
      </c>
      <c r="C73" s="188" t="str">
        <f aca="false">IF(B73="","",IF('ตั้งค่า Setup'!$C$16="รายสัปดาห์ / Weekly",B73+6,IF('ตั้งค่า Setup'!$C$16="รายเดือน / Monthly",EOMONTH(B73,0),IF(DAY(B73)&lt;=10,DATE(YEAR(B73),MONTH(B73),10),IF(DAY(B73)&lt;=20,DATE(YEAR(B73),MONTH(B73),20),EOMONTH(B73,0))))))</f>
        <v/>
      </c>
      <c r="D73" s="189" t="str">
        <f aca="false">IF(C73="","",SUMPRODUCT('แผนงาน Schedule'!$F$7:$F$66,('แผนงาน Schedule'!$I$7:$I$66&lt;=C73)+('แผนงาน Schedule'!$H$7:$H$66&lt;=C73)*('แผนงาน Schedule'!$I$7:$I$66&gt;C73)*(C73-'แผนงาน Schedule'!$H$7:$H$66+1)/('แผนงาน Schedule'!$I$7:$I$66-'แผนงาน Schedule'!$H$7:$H$66+1)))</f>
        <v/>
      </c>
      <c r="E73" s="189" t="str">
        <f aca="false">IF(C73="","",SUMPRODUCT('แผนงาน Schedule'!$F$7:$F$66,('แผนงาน Schedule'!$AA$7:$AA$66&lt;=C73)+('แผนงาน Schedule'!$Z$7:$Z$66&lt;=C73)*('แผนงาน Schedule'!$AA$7:$AA$66&gt;C73)*(C73-'แผนงาน Schedule'!$Z$7:$Z$66+1)/('แผนงาน Schedule'!$AA$7:$AA$66-'แผนงาน Schedule'!$Z$7:$Z$66+1)))</f>
        <v/>
      </c>
      <c r="F73" s="190"/>
      <c r="G73" s="189" t="str">
        <f aca="false">IF(OR(C73="",NOT(ISNUMBER(Dashboard!$C$27))),"",IF(C73&lt;Dashboard!$C$7,"",IF(Dashboard!$C$27&lt;=Dashboard!$C$7,1,MIN(1,Dashboard!$C$19+(1-Dashboard!$C$19)*(C73-Dashboard!$C$7)/(Dashboard!$C$27-Dashboard!$C$7)))))</f>
        <v/>
      </c>
      <c r="H73" s="191" t="str">
        <f aca="false">IF(OR(F73="",D73=""),"",F73-D73)</f>
        <v/>
      </c>
      <c r="I73" s="192" t="str">
        <f aca="false">IF(D73="","",D73*'ตั้งค่า Setup'!$C$9)</f>
        <v/>
      </c>
      <c r="J73" s="192" t="str">
        <f aca="false">IF(OR(C73="",F73=""),"",F73*'ตั้งค่า Setup'!$C$9)</f>
        <v/>
      </c>
      <c r="K73" s="193"/>
      <c r="L73" s="192" t="str">
        <f aca="false">IF(OR(C73="",K73=""),"",SUM(K$7:K73))</f>
        <v/>
      </c>
      <c r="M73" s="193"/>
      <c r="N73" s="192" t="str">
        <f aca="false">IF(OR(C73="",B73&gt;'ตั้งค่า Setup'!$C$15),"",SUM(M$7:M73))</f>
        <v/>
      </c>
      <c r="P73" s="178" t="n">
        <f aca="false">IF(C73&lt;&gt;"",C73,P72)</f>
        <v>46346</v>
      </c>
      <c r="Q73" s="194" t="n">
        <f aca="false">IF(D73&lt;&gt;"",D73,Q72)</f>
        <v>1</v>
      </c>
      <c r="R73" s="178" t="n">
        <f aca="false">IF(Dashboard!$C$63,P73,R72)</f>
        <v>46072</v>
      </c>
      <c r="S73" s="194" t="n">
        <f aca="false">IF(AND(Dashboard!$C$63,E73&lt;&gt;""),E73,S72)</f>
        <v>0</v>
      </c>
      <c r="T73" s="178" t="n">
        <f aca="false">IF(AND(F73&lt;&gt;"",C73&lt;&gt;""),C73,T72)</f>
        <v>46142</v>
      </c>
      <c r="U73" s="194" t="n">
        <f aca="false">IF(AND(F73&lt;&gt;"",C73&lt;&gt;""),F73,U72)</f>
        <v>0.0513</v>
      </c>
      <c r="V73" s="178" t="n">
        <f aca="false">IF(ISNUMBER(G73),C73,V72)</f>
        <v>46346</v>
      </c>
      <c r="W73" s="194" t="n">
        <f aca="false">IF(ISNUMBER(G73),G73,W72)</f>
        <v>0.300059383033419</v>
      </c>
      <c r="X73" s="195" t="n">
        <f aca="false">IF(I73&lt;&gt;"",I73,X72)</f>
        <v>12108000</v>
      </c>
      <c r="Y73" s="195" t="n">
        <f aca="false">IF(AND(F73&lt;&gt;"",C73&lt;&gt;""),J73,Y72)</f>
        <v>621140.4</v>
      </c>
      <c r="Z73" s="178" t="n">
        <f aca="false">IF(AND(K73&lt;&gt;"",C73&lt;&gt;""),C73,Z72)</f>
        <v>46072</v>
      </c>
      <c r="AA73" s="195" t="n">
        <f aca="false">IF(AND(K73&lt;&gt;"",C73&lt;&gt;""),L73,AA72)</f>
        <v>0</v>
      </c>
    </row>
    <row r="74" customFormat="false" ht="15" hidden="false" customHeight="false" outlineLevel="0" collapsed="false">
      <c r="A74" s="187" t="str">
        <f aca="false">IF(B74="","",ROW()-6)</f>
        <v/>
      </c>
      <c r="B74" s="188" t="str">
        <f aca="false">IF(C73="","",IF(C73&gt;='ตั้งค่า Setup'!$C$69,"",C73+1))</f>
        <v/>
      </c>
      <c r="C74" s="188" t="str">
        <f aca="false">IF(B74="","",IF('ตั้งค่า Setup'!$C$16="รายสัปดาห์ / Weekly",B74+6,IF('ตั้งค่า Setup'!$C$16="รายเดือน / Monthly",EOMONTH(B74,0),IF(DAY(B74)&lt;=10,DATE(YEAR(B74),MONTH(B74),10),IF(DAY(B74)&lt;=20,DATE(YEAR(B74),MONTH(B74),20),EOMONTH(B74,0))))))</f>
        <v/>
      </c>
      <c r="D74" s="189" t="str">
        <f aca="false">IF(C74="","",SUMPRODUCT('แผนงาน Schedule'!$F$7:$F$66,('แผนงาน Schedule'!$I$7:$I$66&lt;=C74)+('แผนงาน Schedule'!$H$7:$H$66&lt;=C74)*('แผนงาน Schedule'!$I$7:$I$66&gt;C74)*(C74-'แผนงาน Schedule'!$H$7:$H$66+1)/('แผนงาน Schedule'!$I$7:$I$66-'แผนงาน Schedule'!$H$7:$H$66+1)))</f>
        <v/>
      </c>
      <c r="E74" s="189" t="str">
        <f aca="false">IF(C74="","",SUMPRODUCT('แผนงาน Schedule'!$F$7:$F$66,('แผนงาน Schedule'!$AA$7:$AA$66&lt;=C74)+('แผนงาน Schedule'!$Z$7:$Z$66&lt;=C74)*('แผนงาน Schedule'!$AA$7:$AA$66&gt;C74)*(C74-'แผนงาน Schedule'!$Z$7:$Z$66+1)/('แผนงาน Schedule'!$AA$7:$AA$66-'แผนงาน Schedule'!$Z$7:$Z$66+1)))</f>
        <v/>
      </c>
      <c r="F74" s="190"/>
      <c r="G74" s="189" t="str">
        <f aca="false">IF(OR(C74="",NOT(ISNUMBER(Dashboard!$C$27))),"",IF(C74&lt;Dashboard!$C$7,"",IF(Dashboard!$C$27&lt;=Dashboard!$C$7,1,MIN(1,Dashboard!$C$19+(1-Dashboard!$C$19)*(C74-Dashboard!$C$7)/(Dashboard!$C$27-Dashboard!$C$7)))))</f>
        <v/>
      </c>
      <c r="H74" s="191" t="str">
        <f aca="false">IF(OR(F74="",D74=""),"",F74-D74)</f>
        <v/>
      </c>
      <c r="I74" s="192" t="str">
        <f aca="false">IF(D74="","",D74*'ตั้งค่า Setup'!$C$9)</f>
        <v/>
      </c>
      <c r="J74" s="192" t="str">
        <f aca="false">IF(OR(C74="",F74=""),"",F74*'ตั้งค่า Setup'!$C$9)</f>
        <v/>
      </c>
      <c r="K74" s="193"/>
      <c r="L74" s="192" t="str">
        <f aca="false">IF(OR(C74="",K74=""),"",SUM(K$7:K74))</f>
        <v/>
      </c>
      <c r="M74" s="193"/>
      <c r="N74" s="192" t="str">
        <f aca="false">IF(OR(C74="",B74&gt;'ตั้งค่า Setup'!$C$15),"",SUM(M$7:M74))</f>
        <v/>
      </c>
      <c r="P74" s="178" t="n">
        <f aca="false">IF(C74&lt;&gt;"",C74,P73)</f>
        <v>46346</v>
      </c>
      <c r="Q74" s="194" t="n">
        <f aca="false">IF(D74&lt;&gt;"",D74,Q73)</f>
        <v>1</v>
      </c>
      <c r="R74" s="178" t="n">
        <f aca="false">IF(Dashboard!$C$63,P74,R73)</f>
        <v>46072</v>
      </c>
      <c r="S74" s="194" t="n">
        <f aca="false">IF(AND(Dashboard!$C$63,E74&lt;&gt;""),E74,S73)</f>
        <v>0</v>
      </c>
      <c r="T74" s="178" t="n">
        <f aca="false">IF(AND(F74&lt;&gt;"",C74&lt;&gt;""),C74,T73)</f>
        <v>46142</v>
      </c>
      <c r="U74" s="194" t="n">
        <f aca="false">IF(AND(F74&lt;&gt;"",C74&lt;&gt;""),F74,U73)</f>
        <v>0.0513</v>
      </c>
      <c r="V74" s="178" t="n">
        <f aca="false">IF(ISNUMBER(G74),C74,V73)</f>
        <v>46346</v>
      </c>
      <c r="W74" s="194" t="n">
        <f aca="false">IF(ISNUMBER(G74),G74,W73)</f>
        <v>0.300059383033419</v>
      </c>
      <c r="X74" s="195" t="n">
        <f aca="false">IF(I74&lt;&gt;"",I74,X73)</f>
        <v>12108000</v>
      </c>
      <c r="Y74" s="195" t="n">
        <f aca="false">IF(AND(F74&lt;&gt;"",C74&lt;&gt;""),J74,Y73)</f>
        <v>621140.4</v>
      </c>
      <c r="Z74" s="178" t="n">
        <f aca="false">IF(AND(K74&lt;&gt;"",C74&lt;&gt;""),C74,Z73)</f>
        <v>46072</v>
      </c>
      <c r="AA74" s="195" t="n">
        <f aca="false">IF(AND(K74&lt;&gt;"",C74&lt;&gt;""),L74,AA73)</f>
        <v>0</v>
      </c>
    </row>
    <row r="75" customFormat="false" ht="15" hidden="false" customHeight="false" outlineLevel="0" collapsed="false">
      <c r="A75" s="187" t="str">
        <f aca="false">IF(B75="","",ROW()-6)</f>
        <v/>
      </c>
      <c r="B75" s="188" t="str">
        <f aca="false">IF(C74="","",IF(C74&gt;='ตั้งค่า Setup'!$C$69,"",C74+1))</f>
        <v/>
      </c>
      <c r="C75" s="188" t="str">
        <f aca="false">IF(B75="","",IF('ตั้งค่า Setup'!$C$16="รายสัปดาห์ / Weekly",B75+6,IF('ตั้งค่า Setup'!$C$16="รายเดือน / Monthly",EOMONTH(B75,0),IF(DAY(B75)&lt;=10,DATE(YEAR(B75),MONTH(B75),10),IF(DAY(B75)&lt;=20,DATE(YEAR(B75),MONTH(B75),20),EOMONTH(B75,0))))))</f>
        <v/>
      </c>
      <c r="D75" s="189" t="str">
        <f aca="false">IF(C75="","",SUMPRODUCT('แผนงาน Schedule'!$F$7:$F$66,('แผนงาน Schedule'!$I$7:$I$66&lt;=C75)+('แผนงาน Schedule'!$H$7:$H$66&lt;=C75)*('แผนงาน Schedule'!$I$7:$I$66&gt;C75)*(C75-'แผนงาน Schedule'!$H$7:$H$66+1)/('แผนงาน Schedule'!$I$7:$I$66-'แผนงาน Schedule'!$H$7:$H$66+1)))</f>
        <v/>
      </c>
      <c r="E75" s="189" t="str">
        <f aca="false">IF(C75="","",SUMPRODUCT('แผนงาน Schedule'!$F$7:$F$66,('แผนงาน Schedule'!$AA$7:$AA$66&lt;=C75)+('แผนงาน Schedule'!$Z$7:$Z$66&lt;=C75)*('แผนงาน Schedule'!$AA$7:$AA$66&gt;C75)*(C75-'แผนงาน Schedule'!$Z$7:$Z$66+1)/('แผนงาน Schedule'!$AA$7:$AA$66-'แผนงาน Schedule'!$Z$7:$Z$66+1)))</f>
        <v/>
      </c>
      <c r="F75" s="190"/>
      <c r="G75" s="189" t="str">
        <f aca="false">IF(OR(C75="",NOT(ISNUMBER(Dashboard!$C$27))),"",IF(C75&lt;Dashboard!$C$7,"",IF(Dashboard!$C$27&lt;=Dashboard!$C$7,1,MIN(1,Dashboard!$C$19+(1-Dashboard!$C$19)*(C75-Dashboard!$C$7)/(Dashboard!$C$27-Dashboard!$C$7)))))</f>
        <v/>
      </c>
      <c r="H75" s="191" t="str">
        <f aca="false">IF(OR(F75="",D75=""),"",F75-D75)</f>
        <v/>
      </c>
      <c r="I75" s="192" t="str">
        <f aca="false">IF(D75="","",D75*'ตั้งค่า Setup'!$C$9)</f>
        <v/>
      </c>
      <c r="J75" s="192" t="str">
        <f aca="false">IF(OR(C75="",F75=""),"",F75*'ตั้งค่า Setup'!$C$9)</f>
        <v/>
      </c>
      <c r="K75" s="193"/>
      <c r="L75" s="192" t="str">
        <f aca="false">IF(OR(C75="",K75=""),"",SUM(K$7:K75))</f>
        <v/>
      </c>
      <c r="M75" s="193"/>
      <c r="N75" s="192" t="str">
        <f aca="false">IF(OR(C75="",B75&gt;'ตั้งค่า Setup'!$C$15),"",SUM(M$7:M75))</f>
        <v/>
      </c>
      <c r="P75" s="178" t="n">
        <f aca="false">IF(C75&lt;&gt;"",C75,P74)</f>
        <v>46346</v>
      </c>
      <c r="Q75" s="194" t="n">
        <f aca="false">IF(D75&lt;&gt;"",D75,Q74)</f>
        <v>1</v>
      </c>
      <c r="R75" s="178" t="n">
        <f aca="false">IF(Dashboard!$C$63,P75,R74)</f>
        <v>46072</v>
      </c>
      <c r="S75" s="194" t="n">
        <f aca="false">IF(AND(Dashboard!$C$63,E75&lt;&gt;""),E75,S74)</f>
        <v>0</v>
      </c>
      <c r="T75" s="178" t="n">
        <f aca="false">IF(AND(F75&lt;&gt;"",C75&lt;&gt;""),C75,T74)</f>
        <v>46142</v>
      </c>
      <c r="U75" s="194" t="n">
        <f aca="false">IF(AND(F75&lt;&gt;"",C75&lt;&gt;""),F75,U74)</f>
        <v>0.0513</v>
      </c>
      <c r="V75" s="178" t="n">
        <f aca="false">IF(ISNUMBER(G75),C75,V74)</f>
        <v>46346</v>
      </c>
      <c r="W75" s="194" t="n">
        <f aca="false">IF(ISNUMBER(G75),G75,W74)</f>
        <v>0.300059383033419</v>
      </c>
      <c r="X75" s="195" t="n">
        <f aca="false">IF(I75&lt;&gt;"",I75,X74)</f>
        <v>12108000</v>
      </c>
      <c r="Y75" s="195" t="n">
        <f aca="false">IF(AND(F75&lt;&gt;"",C75&lt;&gt;""),J75,Y74)</f>
        <v>621140.4</v>
      </c>
      <c r="Z75" s="178" t="n">
        <f aca="false">IF(AND(K75&lt;&gt;"",C75&lt;&gt;""),C75,Z74)</f>
        <v>46072</v>
      </c>
      <c r="AA75" s="195" t="n">
        <f aca="false">IF(AND(K75&lt;&gt;"",C75&lt;&gt;""),L75,AA74)</f>
        <v>0</v>
      </c>
    </row>
    <row r="76" customFormat="false" ht="15" hidden="false" customHeight="false" outlineLevel="0" collapsed="false">
      <c r="A76" s="187" t="str">
        <f aca="false">IF(B76="","",ROW()-6)</f>
        <v/>
      </c>
      <c r="B76" s="188" t="str">
        <f aca="false">IF(C75="","",IF(C75&gt;='ตั้งค่า Setup'!$C$69,"",C75+1))</f>
        <v/>
      </c>
      <c r="C76" s="188" t="str">
        <f aca="false">IF(B76="","",IF('ตั้งค่า Setup'!$C$16="รายสัปดาห์ / Weekly",B76+6,IF('ตั้งค่า Setup'!$C$16="รายเดือน / Monthly",EOMONTH(B76,0),IF(DAY(B76)&lt;=10,DATE(YEAR(B76),MONTH(B76),10),IF(DAY(B76)&lt;=20,DATE(YEAR(B76),MONTH(B76),20),EOMONTH(B76,0))))))</f>
        <v/>
      </c>
      <c r="D76" s="189" t="str">
        <f aca="false">IF(C76="","",SUMPRODUCT('แผนงาน Schedule'!$F$7:$F$66,('แผนงาน Schedule'!$I$7:$I$66&lt;=C76)+('แผนงาน Schedule'!$H$7:$H$66&lt;=C76)*('แผนงาน Schedule'!$I$7:$I$66&gt;C76)*(C76-'แผนงาน Schedule'!$H$7:$H$66+1)/('แผนงาน Schedule'!$I$7:$I$66-'แผนงาน Schedule'!$H$7:$H$66+1)))</f>
        <v/>
      </c>
      <c r="E76" s="189" t="str">
        <f aca="false">IF(C76="","",SUMPRODUCT('แผนงาน Schedule'!$F$7:$F$66,('แผนงาน Schedule'!$AA$7:$AA$66&lt;=C76)+('แผนงาน Schedule'!$Z$7:$Z$66&lt;=C76)*('แผนงาน Schedule'!$AA$7:$AA$66&gt;C76)*(C76-'แผนงาน Schedule'!$Z$7:$Z$66+1)/('แผนงาน Schedule'!$AA$7:$AA$66-'แผนงาน Schedule'!$Z$7:$Z$66+1)))</f>
        <v/>
      </c>
      <c r="F76" s="190"/>
      <c r="G76" s="189" t="str">
        <f aca="false">IF(OR(C76="",NOT(ISNUMBER(Dashboard!$C$27))),"",IF(C76&lt;Dashboard!$C$7,"",IF(Dashboard!$C$27&lt;=Dashboard!$C$7,1,MIN(1,Dashboard!$C$19+(1-Dashboard!$C$19)*(C76-Dashboard!$C$7)/(Dashboard!$C$27-Dashboard!$C$7)))))</f>
        <v/>
      </c>
      <c r="H76" s="191" t="str">
        <f aca="false">IF(OR(F76="",D76=""),"",F76-D76)</f>
        <v/>
      </c>
      <c r="I76" s="192" t="str">
        <f aca="false">IF(D76="","",D76*'ตั้งค่า Setup'!$C$9)</f>
        <v/>
      </c>
      <c r="J76" s="192" t="str">
        <f aca="false">IF(OR(C76="",F76=""),"",F76*'ตั้งค่า Setup'!$C$9)</f>
        <v/>
      </c>
      <c r="K76" s="193"/>
      <c r="L76" s="192" t="str">
        <f aca="false">IF(OR(C76="",K76=""),"",SUM(K$7:K76))</f>
        <v/>
      </c>
      <c r="M76" s="193"/>
      <c r="N76" s="192" t="str">
        <f aca="false">IF(OR(C76="",B76&gt;'ตั้งค่า Setup'!$C$15),"",SUM(M$7:M76))</f>
        <v/>
      </c>
      <c r="P76" s="178" t="n">
        <f aca="false">IF(C76&lt;&gt;"",C76,P75)</f>
        <v>46346</v>
      </c>
      <c r="Q76" s="194" t="n">
        <f aca="false">IF(D76&lt;&gt;"",D76,Q75)</f>
        <v>1</v>
      </c>
      <c r="R76" s="178" t="n">
        <f aca="false">IF(Dashboard!$C$63,P76,R75)</f>
        <v>46072</v>
      </c>
      <c r="S76" s="194" t="n">
        <f aca="false">IF(AND(Dashboard!$C$63,E76&lt;&gt;""),E76,S75)</f>
        <v>0</v>
      </c>
      <c r="T76" s="178" t="n">
        <f aca="false">IF(AND(F76&lt;&gt;"",C76&lt;&gt;""),C76,T75)</f>
        <v>46142</v>
      </c>
      <c r="U76" s="194" t="n">
        <f aca="false">IF(AND(F76&lt;&gt;"",C76&lt;&gt;""),F76,U75)</f>
        <v>0.0513</v>
      </c>
      <c r="V76" s="178" t="n">
        <f aca="false">IF(ISNUMBER(G76),C76,V75)</f>
        <v>46346</v>
      </c>
      <c r="W76" s="194" t="n">
        <f aca="false">IF(ISNUMBER(G76),G76,W75)</f>
        <v>0.300059383033419</v>
      </c>
      <c r="X76" s="195" t="n">
        <f aca="false">IF(I76&lt;&gt;"",I76,X75)</f>
        <v>12108000</v>
      </c>
      <c r="Y76" s="195" t="n">
        <f aca="false">IF(AND(F76&lt;&gt;"",C76&lt;&gt;""),J76,Y75)</f>
        <v>621140.4</v>
      </c>
      <c r="Z76" s="178" t="n">
        <f aca="false">IF(AND(K76&lt;&gt;"",C76&lt;&gt;""),C76,Z75)</f>
        <v>46072</v>
      </c>
      <c r="AA76" s="195" t="n">
        <f aca="false">IF(AND(K76&lt;&gt;"",C76&lt;&gt;""),L76,AA75)</f>
        <v>0</v>
      </c>
    </row>
    <row r="77" customFormat="false" ht="15" hidden="false" customHeight="false" outlineLevel="0" collapsed="false">
      <c r="A77" s="187" t="str">
        <f aca="false">IF(B77="","",ROW()-6)</f>
        <v/>
      </c>
      <c r="B77" s="188" t="str">
        <f aca="false">IF(C76="","",IF(C76&gt;='ตั้งค่า Setup'!$C$69,"",C76+1))</f>
        <v/>
      </c>
      <c r="C77" s="188" t="str">
        <f aca="false">IF(B77="","",IF('ตั้งค่า Setup'!$C$16="รายสัปดาห์ / Weekly",B77+6,IF('ตั้งค่า Setup'!$C$16="รายเดือน / Monthly",EOMONTH(B77,0),IF(DAY(B77)&lt;=10,DATE(YEAR(B77),MONTH(B77),10),IF(DAY(B77)&lt;=20,DATE(YEAR(B77),MONTH(B77),20),EOMONTH(B77,0))))))</f>
        <v/>
      </c>
      <c r="D77" s="189" t="str">
        <f aca="false">IF(C77="","",SUMPRODUCT('แผนงาน Schedule'!$F$7:$F$66,('แผนงาน Schedule'!$I$7:$I$66&lt;=C77)+('แผนงาน Schedule'!$H$7:$H$66&lt;=C77)*('แผนงาน Schedule'!$I$7:$I$66&gt;C77)*(C77-'แผนงาน Schedule'!$H$7:$H$66+1)/('แผนงาน Schedule'!$I$7:$I$66-'แผนงาน Schedule'!$H$7:$H$66+1)))</f>
        <v/>
      </c>
      <c r="E77" s="189" t="str">
        <f aca="false">IF(C77="","",SUMPRODUCT('แผนงาน Schedule'!$F$7:$F$66,('แผนงาน Schedule'!$AA$7:$AA$66&lt;=C77)+('แผนงาน Schedule'!$Z$7:$Z$66&lt;=C77)*('แผนงาน Schedule'!$AA$7:$AA$66&gt;C77)*(C77-'แผนงาน Schedule'!$Z$7:$Z$66+1)/('แผนงาน Schedule'!$AA$7:$AA$66-'แผนงาน Schedule'!$Z$7:$Z$66+1)))</f>
        <v/>
      </c>
      <c r="F77" s="190"/>
      <c r="G77" s="189" t="str">
        <f aca="false">IF(OR(C77="",NOT(ISNUMBER(Dashboard!$C$27))),"",IF(C77&lt;Dashboard!$C$7,"",IF(Dashboard!$C$27&lt;=Dashboard!$C$7,1,MIN(1,Dashboard!$C$19+(1-Dashboard!$C$19)*(C77-Dashboard!$C$7)/(Dashboard!$C$27-Dashboard!$C$7)))))</f>
        <v/>
      </c>
      <c r="H77" s="191" t="str">
        <f aca="false">IF(OR(F77="",D77=""),"",F77-D77)</f>
        <v/>
      </c>
      <c r="I77" s="192" t="str">
        <f aca="false">IF(D77="","",D77*'ตั้งค่า Setup'!$C$9)</f>
        <v/>
      </c>
      <c r="J77" s="192" t="str">
        <f aca="false">IF(OR(C77="",F77=""),"",F77*'ตั้งค่า Setup'!$C$9)</f>
        <v/>
      </c>
      <c r="K77" s="193"/>
      <c r="L77" s="192" t="str">
        <f aca="false">IF(OR(C77="",K77=""),"",SUM(K$7:K77))</f>
        <v/>
      </c>
      <c r="M77" s="193"/>
      <c r="N77" s="192" t="str">
        <f aca="false">IF(OR(C77="",B77&gt;'ตั้งค่า Setup'!$C$15),"",SUM(M$7:M77))</f>
        <v/>
      </c>
      <c r="P77" s="178" t="n">
        <f aca="false">IF(C77&lt;&gt;"",C77,P76)</f>
        <v>46346</v>
      </c>
      <c r="Q77" s="194" t="n">
        <f aca="false">IF(D77&lt;&gt;"",D77,Q76)</f>
        <v>1</v>
      </c>
      <c r="R77" s="178" t="n">
        <f aca="false">IF(Dashboard!$C$63,P77,R76)</f>
        <v>46072</v>
      </c>
      <c r="S77" s="194" t="n">
        <f aca="false">IF(AND(Dashboard!$C$63,E77&lt;&gt;""),E77,S76)</f>
        <v>0</v>
      </c>
      <c r="T77" s="178" t="n">
        <f aca="false">IF(AND(F77&lt;&gt;"",C77&lt;&gt;""),C77,T76)</f>
        <v>46142</v>
      </c>
      <c r="U77" s="194" t="n">
        <f aca="false">IF(AND(F77&lt;&gt;"",C77&lt;&gt;""),F77,U76)</f>
        <v>0.0513</v>
      </c>
      <c r="V77" s="178" t="n">
        <f aca="false">IF(ISNUMBER(G77),C77,V76)</f>
        <v>46346</v>
      </c>
      <c r="W77" s="194" t="n">
        <f aca="false">IF(ISNUMBER(G77),G77,W76)</f>
        <v>0.300059383033419</v>
      </c>
      <c r="X77" s="195" t="n">
        <f aca="false">IF(I77&lt;&gt;"",I77,X76)</f>
        <v>12108000</v>
      </c>
      <c r="Y77" s="195" t="n">
        <f aca="false">IF(AND(F77&lt;&gt;"",C77&lt;&gt;""),J77,Y76)</f>
        <v>621140.4</v>
      </c>
      <c r="Z77" s="178" t="n">
        <f aca="false">IF(AND(K77&lt;&gt;"",C77&lt;&gt;""),C77,Z76)</f>
        <v>46072</v>
      </c>
      <c r="AA77" s="195" t="n">
        <f aca="false">IF(AND(K77&lt;&gt;"",C77&lt;&gt;""),L77,AA76)</f>
        <v>0</v>
      </c>
    </row>
    <row r="78" customFormat="false" ht="15" hidden="false" customHeight="false" outlineLevel="0" collapsed="false">
      <c r="A78" s="187" t="str">
        <f aca="false">IF(B78="","",ROW()-6)</f>
        <v/>
      </c>
      <c r="B78" s="188" t="str">
        <f aca="false">IF(C77="","",IF(C77&gt;='ตั้งค่า Setup'!$C$69,"",C77+1))</f>
        <v/>
      </c>
      <c r="C78" s="188" t="str">
        <f aca="false">IF(B78="","",IF('ตั้งค่า Setup'!$C$16="รายสัปดาห์ / Weekly",B78+6,IF('ตั้งค่า Setup'!$C$16="รายเดือน / Monthly",EOMONTH(B78,0),IF(DAY(B78)&lt;=10,DATE(YEAR(B78),MONTH(B78),10),IF(DAY(B78)&lt;=20,DATE(YEAR(B78),MONTH(B78),20),EOMONTH(B78,0))))))</f>
        <v/>
      </c>
      <c r="D78" s="189" t="str">
        <f aca="false">IF(C78="","",SUMPRODUCT('แผนงาน Schedule'!$F$7:$F$66,('แผนงาน Schedule'!$I$7:$I$66&lt;=C78)+('แผนงาน Schedule'!$H$7:$H$66&lt;=C78)*('แผนงาน Schedule'!$I$7:$I$66&gt;C78)*(C78-'แผนงาน Schedule'!$H$7:$H$66+1)/('แผนงาน Schedule'!$I$7:$I$66-'แผนงาน Schedule'!$H$7:$H$66+1)))</f>
        <v/>
      </c>
      <c r="E78" s="189" t="str">
        <f aca="false">IF(C78="","",SUMPRODUCT('แผนงาน Schedule'!$F$7:$F$66,('แผนงาน Schedule'!$AA$7:$AA$66&lt;=C78)+('แผนงาน Schedule'!$Z$7:$Z$66&lt;=C78)*('แผนงาน Schedule'!$AA$7:$AA$66&gt;C78)*(C78-'แผนงาน Schedule'!$Z$7:$Z$66+1)/('แผนงาน Schedule'!$AA$7:$AA$66-'แผนงาน Schedule'!$Z$7:$Z$66+1)))</f>
        <v/>
      </c>
      <c r="F78" s="190"/>
      <c r="G78" s="189" t="str">
        <f aca="false">IF(OR(C78="",NOT(ISNUMBER(Dashboard!$C$27))),"",IF(C78&lt;Dashboard!$C$7,"",IF(Dashboard!$C$27&lt;=Dashboard!$C$7,1,MIN(1,Dashboard!$C$19+(1-Dashboard!$C$19)*(C78-Dashboard!$C$7)/(Dashboard!$C$27-Dashboard!$C$7)))))</f>
        <v/>
      </c>
      <c r="H78" s="191" t="str">
        <f aca="false">IF(OR(F78="",D78=""),"",F78-D78)</f>
        <v/>
      </c>
      <c r="I78" s="192" t="str">
        <f aca="false">IF(D78="","",D78*'ตั้งค่า Setup'!$C$9)</f>
        <v/>
      </c>
      <c r="J78" s="192" t="str">
        <f aca="false">IF(OR(C78="",F78=""),"",F78*'ตั้งค่า Setup'!$C$9)</f>
        <v/>
      </c>
      <c r="K78" s="193"/>
      <c r="L78" s="192" t="str">
        <f aca="false">IF(OR(C78="",K78=""),"",SUM(K$7:K78))</f>
        <v/>
      </c>
      <c r="M78" s="193"/>
      <c r="N78" s="192" t="str">
        <f aca="false">IF(OR(C78="",B78&gt;'ตั้งค่า Setup'!$C$15),"",SUM(M$7:M78))</f>
        <v/>
      </c>
      <c r="P78" s="178" t="n">
        <f aca="false">IF(C78&lt;&gt;"",C78,P77)</f>
        <v>46346</v>
      </c>
      <c r="Q78" s="194" t="n">
        <f aca="false">IF(D78&lt;&gt;"",D78,Q77)</f>
        <v>1</v>
      </c>
      <c r="R78" s="178" t="n">
        <f aca="false">IF(Dashboard!$C$63,P78,R77)</f>
        <v>46072</v>
      </c>
      <c r="S78" s="194" t="n">
        <f aca="false">IF(AND(Dashboard!$C$63,E78&lt;&gt;""),E78,S77)</f>
        <v>0</v>
      </c>
      <c r="T78" s="178" t="n">
        <f aca="false">IF(AND(F78&lt;&gt;"",C78&lt;&gt;""),C78,T77)</f>
        <v>46142</v>
      </c>
      <c r="U78" s="194" t="n">
        <f aca="false">IF(AND(F78&lt;&gt;"",C78&lt;&gt;""),F78,U77)</f>
        <v>0.0513</v>
      </c>
      <c r="V78" s="178" t="n">
        <f aca="false">IF(ISNUMBER(G78),C78,V77)</f>
        <v>46346</v>
      </c>
      <c r="W78" s="194" t="n">
        <f aca="false">IF(ISNUMBER(G78),G78,W77)</f>
        <v>0.300059383033419</v>
      </c>
      <c r="X78" s="195" t="n">
        <f aca="false">IF(I78&lt;&gt;"",I78,X77)</f>
        <v>12108000</v>
      </c>
      <c r="Y78" s="195" t="n">
        <f aca="false">IF(AND(F78&lt;&gt;"",C78&lt;&gt;""),J78,Y77)</f>
        <v>621140.4</v>
      </c>
      <c r="Z78" s="178" t="n">
        <f aca="false">IF(AND(K78&lt;&gt;"",C78&lt;&gt;""),C78,Z77)</f>
        <v>46072</v>
      </c>
      <c r="AA78" s="195" t="n">
        <f aca="false">IF(AND(K78&lt;&gt;"",C78&lt;&gt;""),L78,AA77)</f>
        <v>0</v>
      </c>
    </row>
    <row r="79" customFormat="false" ht="15" hidden="false" customHeight="false" outlineLevel="0" collapsed="false">
      <c r="A79" s="187" t="str">
        <f aca="false">IF(B79="","",ROW()-6)</f>
        <v/>
      </c>
      <c r="B79" s="188" t="str">
        <f aca="false">IF(C78="","",IF(C78&gt;='ตั้งค่า Setup'!$C$69,"",C78+1))</f>
        <v/>
      </c>
      <c r="C79" s="188" t="str">
        <f aca="false">IF(B79="","",IF('ตั้งค่า Setup'!$C$16="รายสัปดาห์ / Weekly",B79+6,IF('ตั้งค่า Setup'!$C$16="รายเดือน / Monthly",EOMONTH(B79,0),IF(DAY(B79)&lt;=10,DATE(YEAR(B79),MONTH(B79),10),IF(DAY(B79)&lt;=20,DATE(YEAR(B79),MONTH(B79),20),EOMONTH(B79,0))))))</f>
        <v/>
      </c>
      <c r="D79" s="189" t="str">
        <f aca="false">IF(C79="","",SUMPRODUCT('แผนงาน Schedule'!$F$7:$F$66,('แผนงาน Schedule'!$I$7:$I$66&lt;=C79)+('แผนงาน Schedule'!$H$7:$H$66&lt;=C79)*('แผนงาน Schedule'!$I$7:$I$66&gt;C79)*(C79-'แผนงาน Schedule'!$H$7:$H$66+1)/('แผนงาน Schedule'!$I$7:$I$66-'แผนงาน Schedule'!$H$7:$H$66+1)))</f>
        <v/>
      </c>
      <c r="E79" s="189" t="str">
        <f aca="false">IF(C79="","",SUMPRODUCT('แผนงาน Schedule'!$F$7:$F$66,('แผนงาน Schedule'!$AA$7:$AA$66&lt;=C79)+('แผนงาน Schedule'!$Z$7:$Z$66&lt;=C79)*('แผนงาน Schedule'!$AA$7:$AA$66&gt;C79)*(C79-'แผนงาน Schedule'!$Z$7:$Z$66+1)/('แผนงาน Schedule'!$AA$7:$AA$66-'แผนงาน Schedule'!$Z$7:$Z$66+1)))</f>
        <v/>
      </c>
      <c r="F79" s="190"/>
      <c r="G79" s="189" t="str">
        <f aca="false">IF(OR(C79="",NOT(ISNUMBER(Dashboard!$C$27))),"",IF(C79&lt;Dashboard!$C$7,"",IF(Dashboard!$C$27&lt;=Dashboard!$C$7,1,MIN(1,Dashboard!$C$19+(1-Dashboard!$C$19)*(C79-Dashboard!$C$7)/(Dashboard!$C$27-Dashboard!$C$7)))))</f>
        <v/>
      </c>
      <c r="H79" s="191" t="str">
        <f aca="false">IF(OR(F79="",D79=""),"",F79-D79)</f>
        <v/>
      </c>
      <c r="I79" s="192" t="str">
        <f aca="false">IF(D79="","",D79*'ตั้งค่า Setup'!$C$9)</f>
        <v/>
      </c>
      <c r="J79" s="192" t="str">
        <f aca="false">IF(OR(C79="",F79=""),"",F79*'ตั้งค่า Setup'!$C$9)</f>
        <v/>
      </c>
      <c r="K79" s="193"/>
      <c r="L79" s="192" t="str">
        <f aca="false">IF(OR(C79="",K79=""),"",SUM(K$7:K79))</f>
        <v/>
      </c>
      <c r="M79" s="193"/>
      <c r="N79" s="192" t="str">
        <f aca="false">IF(OR(C79="",B79&gt;'ตั้งค่า Setup'!$C$15),"",SUM(M$7:M79))</f>
        <v/>
      </c>
      <c r="P79" s="178" t="n">
        <f aca="false">IF(C79&lt;&gt;"",C79,P78)</f>
        <v>46346</v>
      </c>
      <c r="Q79" s="194" t="n">
        <f aca="false">IF(D79&lt;&gt;"",D79,Q78)</f>
        <v>1</v>
      </c>
      <c r="R79" s="178" t="n">
        <f aca="false">IF(Dashboard!$C$63,P79,R78)</f>
        <v>46072</v>
      </c>
      <c r="S79" s="194" t="n">
        <f aca="false">IF(AND(Dashboard!$C$63,E79&lt;&gt;""),E79,S78)</f>
        <v>0</v>
      </c>
      <c r="T79" s="178" t="n">
        <f aca="false">IF(AND(F79&lt;&gt;"",C79&lt;&gt;""),C79,T78)</f>
        <v>46142</v>
      </c>
      <c r="U79" s="194" t="n">
        <f aca="false">IF(AND(F79&lt;&gt;"",C79&lt;&gt;""),F79,U78)</f>
        <v>0.0513</v>
      </c>
      <c r="V79" s="178" t="n">
        <f aca="false">IF(ISNUMBER(G79),C79,V78)</f>
        <v>46346</v>
      </c>
      <c r="W79" s="194" t="n">
        <f aca="false">IF(ISNUMBER(G79),G79,W78)</f>
        <v>0.300059383033419</v>
      </c>
      <c r="X79" s="195" t="n">
        <f aca="false">IF(I79&lt;&gt;"",I79,X78)</f>
        <v>12108000</v>
      </c>
      <c r="Y79" s="195" t="n">
        <f aca="false">IF(AND(F79&lt;&gt;"",C79&lt;&gt;""),J79,Y78)</f>
        <v>621140.4</v>
      </c>
      <c r="Z79" s="178" t="n">
        <f aca="false">IF(AND(K79&lt;&gt;"",C79&lt;&gt;""),C79,Z78)</f>
        <v>46072</v>
      </c>
      <c r="AA79" s="195" t="n">
        <f aca="false">IF(AND(K79&lt;&gt;"",C79&lt;&gt;""),L79,AA78)</f>
        <v>0</v>
      </c>
    </row>
    <row r="80" customFormat="false" ht="15" hidden="false" customHeight="false" outlineLevel="0" collapsed="false">
      <c r="A80" s="187" t="str">
        <f aca="false">IF(B80="","",ROW()-6)</f>
        <v/>
      </c>
      <c r="B80" s="188" t="str">
        <f aca="false">IF(C79="","",IF(C79&gt;='ตั้งค่า Setup'!$C$69,"",C79+1))</f>
        <v/>
      </c>
      <c r="C80" s="188" t="str">
        <f aca="false">IF(B80="","",IF('ตั้งค่า Setup'!$C$16="รายสัปดาห์ / Weekly",B80+6,IF('ตั้งค่า Setup'!$C$16="รายเดือน / Monthly",EOMONTH(B80,0),IF(DAY(B80)&lt;=10,DATE(YEAR(B80),MONTH(B80),10),IF(DAY(B80)&lt;=20,DATE(YEAR(B80),MONTH(B80),20),EOMONTH(B80,0))))))</f>
        <v/>
      </c>
      <c r="D80" s="189" t="str">
        <f aca="false">IF(C80="","",SUMPRODUCT('แผนงาน Schedule'!$F$7:$F$66,('แผนงาน Schedule'!$I$7:$I$66&lt;=C80)+('แผนงาน Schedule'!$H$7:$H$66&lt;=C80)*('แผนงาน Schedule'!$I$7:$I$66&gt;C80)*(C80-'แผนงาน Schedule'!$H$7:$H$66+1)/('แผนงาน Schedule'!$I$7:$I$66-'แผนงาน Schedule'!$H$7:$H$66+1)))</f>
        <v/>
      </c>
      <c r="E80" s="189" t="str">
        <f aca="false">IF(C80="","",SUMPRODUCT('แผนงาน Schedule'!$F$7:$F$66,('แผนงาน Schedule'!$AA$7:$AA$66&lt;=C80)+('แผนงาน Schedule'!$Z$7:$Z$66&lt;=C80)*('แผนงาน Schedule'!$AA$7:$AA$66&gt;C80)*(C80-'แผนงาน Schedule'!$Z$7:$Z$66+1)/('แผนงาน Schedule'!$AA$7:$AA$66-'แผนงาน Schedule'!$Z$7:$Z$66+1)))</f>
        <v/>
      </c>
      <c r="F80" s="190"/>
      <c r="G80" s="189" t="str">
        <f aca="false">IF(OR(C80="",NOT(ISNUMBER(Dashboard!$C$27))),"",IF(C80&lt;Dashboard!$C$7,"",IF(Dashboard!$C$27&lt;=Dashboard!$C$7,1,MIN(1,Dashboard!$C$19+(1-Dashboard!$C$19)*(C80-Dashboard!$C$7)/(Dashboard!$C$27-Dashboard!$C$7)))))</f>
        <v/>
      </c>
      <c r="H80" s="191" t="str">
        <f aca="false">IF(OR(F80="",D80=""),"",F80-D80)</f>
        <v/>
      </c>
      <c r="I80" s="192" t="str">
        <f aca="false">IF(D80="","",D80*'ตั้งค่า Setup'!$C$9)</f>
        <v/>
      </c>
      <c r="J80" s="192" t="str">
        <f aca="false">IF(OR(C80="",F80=""),"",F80*'ตั้งค่า Setup'!$C$9)</f>
        <v/>
      </c>
      <c r="K80" s="193"/>
      <c r="L80" s="192" t="str">
        <f aca="false">IF(OR(C80="",K80=""),"",SUM(K$7:K80))</f>
        <v/>
      </c>
      <c r="M80" s="193"/>
      <c r="N80" s="192" t="str">
        <f aca="false">IF(OR(C80="",B80&gt;'ตั้งค่า Setup'!$C$15),"",SUM(M$7:M80))</f>
        <v/>
      </c>
      <c r="P80" s="178" t="n">
        <f aca="false">IF(C80&lt;&gt;"",C80,P79)</f>
        <v>46346</v>
      </c>
      <c r="Q80" s="194" t="n">
        <f aca="false">IF(D80&lt;&gt;"",D80,Q79)</f>
        <v>1</v>
      </c>
      <c r="R80" s="178" t="n">
        <f aca="false">IF(Dashboard!$C$63,P80,R79)</f>
        <v>46072</v>
      </c>
      <c r="S80" s="194" t="n">
        <f aca="false">IF(AND(Dashboard!$C$63,E80&lt;&gt;""),E80,S79)</f>
        <v>0</v>
      </c>
      <c r="T80" s="178" t="n">
        <f aca="false">IF(AND(F80&lt;&gt;"",C80&lt;&gt;""),C80,T79)</f>
        <v>46142</v>
      </c>
      <c r="U80" s="194" t="n">
        <f aca="false">IF(AND(F80&lt;&gt;"",C80&lt;&gt;""),F80,U79)</f>
        <v>0.0513</v>
      </c>
      <c r="V80" s="178" t="n">
        <f aca="false">IF(ISNUMBER(G80),C80,V79)</f>
        <v>46346</v>
      </c>
      <c r="W80" s="194" t="n">
        <f aca="false">IF(ISNUMBER(G80),G80,W79)</f>
        <v>0.300059383033419</v>
      </c>
      <c r="X80" s="195" t="n">
        <f aca="false">IF(I80&lt;&gt;"",I80,X79)</f>
        <v>12108000</v>
      </c>
      <c r="Y80" s="195" t="n">
        <f aca="false">IF(AND(F80&lt;&gt;"",C80&lt;&gt;""),J80,Y79)</f>
        <v>621140.4</v>
      </c>
      <c r="Z80" s="178" t="n">
        <f aca="false">IF(AND(K80&lt;&gt;"",C80&lt;&gt;""),C80,Z79)</f>
        <v>46072</v>
      </c>
      <c r="AA80" s="195" t="n">
        <f aca="false">IF(AND(K80&lt;&gt;"",C80&lt;&gt;""),L80,AA79)</f>
        <v>0</v>
      </c>
    </row>
    <row r="81" customFormat="false" ht="15" hidden="false" customHeight="false" outlineLevel="0" collapsed="false">
      <c r="A81" s="187" t="str">
        <f aca="false">IF(B81="","",ROW()-6)</f>
        <v/>
      </c>
      <c r="B81" s="188" t="str">
        <f aca="false">IF(C80="","",IF(C80&gt;='ตั้งค่า Setup'!$C$69,"",C80+1))</f>
        <v/>
      </c>
      <c r="C81" s="188" t="str">
        <f aca="false">IF(B81="","",IF('ตั้งค่า Setup'!$C$16="รายสัปดาห์ / Weekly",B81+6,IF('ตั้งค่า Setup'!$C$16="รายเดือน / Monthly",EOMONTH(B81,0),IF(DAY(B81)&lt;=10,DATE(YEAR(B81),MONTH(B81),10),IF(DAY(B81)&lt;=20,DATE(YEAR(B81),MONTH(B81),20),EOMONTH(B81,0))))))</f>
        <v/>
      </c>
      <c r="D81" s="189" t="str">
        <f aca="false">IF(C81="","",SUMPRODUCT('แผนงาน Schedule'!$F$7:$F$66,('แผนงาน Schedule'!$I$7:$I$66&lt;=C81)+('แผนงาน Schedule'!$H$7:$H$66&lt;=C81)*('แผนงาน Schedule'!$I$7:$I$66&gt;C81)*(C81-'แผนงาน Schedule'!$H$7:$H$66+1)/('แผนงาน Schedule'!$I$7:$I$66-'แผนงาน Schedule'!$H$7:$H$66+1)))</f>
        <v/>
      </c>
      <c r="E81" s="189" t="str">
        <f aca="false">IF(C81="","",SUMPRODUCT('แผนงาน Schedule'!$F$7:$F$66,('แผนงาน Schedule'!$AA$7:$AA$66&lt;=C81)+('แผนงาน Schedule'!$Z$7:$Z$66&lt;=C81)*('แผนงาน Schedule'!$AA$7:$AA$66&gt;C81)*(C81-'แผนงาน Schedule'!$Z$7:$Z$66+1)/('แผนงาน Schedule'!$AA$7:$AA$66-'แผนงาน Schedule'!$Z$7:$Z$66+1)))</f>
        <v/>
      </c>
      <c r="F81" s="190"/>
      <c r="G81" s="189" t="str">
        <f aca="false">IF(OR(C81="",NOT(ISNUMBER(Dashboard!$C$27))),"",IF(C81&lt;Dashboard!$C$7,"",IF(Dashboard!$C$27&lt;=Dashboard!$C$7,1,MIN(1,Dashboard!$C$19+(1-Dashboard!$C$19)*(C81-Dashboard!$C$7)/(Dashboard!$C$27-Dashboard!$C$7)))))</f>
        <v/>
      </c>
      <c r="H81" s="191" t="str">
        <f aca="false">IF(OR(F81="",D81=""),"",F81-D81)</f>
        <v/>
      </c>
      <c r="I81" s="192" t="str">
        <f aca="false">IF(D81="","",D81*'ตั้งค่า Setup'!$C$9)</f>
        <v/>
      </c>
      <c r="J81" s="192" t="str">
        <f aca="false">IF(OR(C81="",F81=""),"",F81*'ตั้งค่า Setup'!$C$9)</f>
        <v/>
      </c>
      <c r="K81" s="193"/>
      <c r="L81" s="192" t="str">
        <f aca="false">IF(OR(C81="",K81=""),"",SUM(K$7:K81))</f>
        <v/>
      </c>
      <c r="M81" s="193"/>
      <c r="N81" s="192" t="str">
        <f aca="false">IF(OR(C81="",B81&gt;'ตั้งค่า Setup'!$C$15),"",SUM(M$7:M81))</f>
        <v/>
      </c>
      <c r="P81" s="178" t="n">
        <f aca="false">IF(C81&lt;&gt;"",C81,P80)</f>
        <v>46346</v>
      </c>
      <c r="Q81" s="194" t="n">
        <f aca="false">IF(D81&lt;&gt;"",D81,Q80)</f>
        <v>1</v>
      </c>
      <c r="R81" s="178" t="n">
        <f aca="false">IF(Dashboard!$C$63,P81,R80)</f>
        <v>46072</v>
      </c>
      <c r="S81" s="194" t="n">
        <f aca="false">IF(AND(Dashboard!$C$63,E81&lt;&gt;""),E81,S80)</f>
        <v>0</v>
      </c>
      <c r="T81" s="178" t="n">
        <f aca="false">IF(AND(F81&lt;&gt;"",C81&lt;&gt;""),C81,T80)</f>
        <v>46142</v>
      </c>
      <c r="U81" s="194" t="n">
        <f aca="false">IF(AND(F81&lt;&gt;"",C81&lt;&gt;""),F81,U80)</f>
        <v>0.0513</v>
      </c>
      <c r="V81" s="178" t="n">
        <f aca="false">IF(ISNUMBER(G81),C81,V80)</f>
        <v>46346</v>
      </c>
      <c r="W81" s="194" t="n">
        <f aca="false">IF(ISNUMBER(G81),G81,W80)</f>
        <v>0.300059383033419</v>
      </c>
      <c r="X81" s="195" t="n">
        <f aca="false">IF(I81&lt;&gt;"",I81,X80)</f>
        <v>12108000</v>
      </c>
      <c r="Y81" s="195" t="n">
        <f aca="false">IF(AND(F81&lt;&gt;"",C81&lt;&gt;""),J81,Y80)</f>
        <v>621140.4</v>
      </c>
      <c r="Z81" s="178" t="n">
        <f aca="false">IF(AND(K81&lt;&gt;"",C81&lt;&gt;""),C81,Z80)</f>
        <v>46072</v>
      </c>
      <c r="AA81" s="195" t="n">
        <f aca="false">IF(AND(K81&lt;&gt;"",C81&lt;&gt;""),L81,AA80)</f>
        <v>0</v>
      </c>
    </row>
    <row r="82" customFormat="false" ht="15" hidden="false" customHeight="false" outlineLevel="0" collapsed="false">
      <c r="A82" s="187" t="str">
        <f aca="false">IF(B82="","",ROW()-6)</f>
        <v/>
      </c>
      <c r="B82" s="188" t="str">
        <f aca="false">IF(C81="","",IF(C81&gt;='ตั้งค่า Setup'!$C$69,"",C81+1))</f>
        <v/>
      </c>
      <c r="C82" s="188" t="str">
        <f aca="false">IF(B82="","",IF('ตั้งค่า Setup'!$C$16="รายสัปดาห์ / Weekly",B82+6,IF('ตั้งค่า Setup'!$C$16="รายเดือน / Monthly",EOMONTH(B82,0),IF(DAY(B82)&lt;=10,DATE(YEAR(B82),MONTH(B82),10),IF(DAY(B82)&lt;=20,DATE(YEAR(B82),MONTH(B82),20),EOMONTH(B82,0))))))</f>
        <v/>
      </c>
      <c r="D82" s="189" t="str">
        <f aca="false">IF(C82="","",SUMPRODUCT('แผนงาน Schedule'!$F$7:$F$66,('แผนงาน Schedule'!$I$7:$I$66&lt;=C82)+('แผนงาน Schedule'!$H$7:$H$66&lt;=C82)*('แผนงาน Schedule'!$I$7:$I$66&gt;C82)*(C82-'แผนงาน Schedule'!$H$7:$H$66+1)/('แผนงาน Schedule'!$I$7:$I$66-'แผนงาน Schedule'!$H$7:$H$66+1)))</f>
        <v/>
      </c>
      <c r="E82" s="189" t="str">
        <f aca="false">IF(C82="","",SUMPRODUCT('แผนงาน Schedule'!$F$7:$F$66,('แผนงาน Schedule'!$AA$7:$AA$66&lt;=C82)+('แผนงาน Schedule'!$Z$7:$Z$66&lt;=C82)*('แผนงาน Schedule'!$AA$7:$AA$66&gt;C82)*(C82-'แผนงาน Schedule'!$Z$7:$Z$66+1)/('แผนงาน Schedule'!$AA$7:$AA$66-'แผนงาน Schedule'!$Z$7:$Z$66+1)))</f>
        <v/>
      </c>
      <c r="F82" s="190"/>
      <c r="G82" s="189" t="str">
        <f aca="false">IF(OR(C82="",NOT(ISNUMBER(Dashboard!$C$27))),"",IF(C82&lt;Dashboard!$C$7,"",IF(Dashboard!$C$27&lt;=Dashboard!$C$7,1,MIN(1,Dashboard!$C$19+(1-Dashboard!$C$19)*(C82-Dashboard!$C$7)/(Dashboard!$C$27-Dashboard!$C$7)))))</f>
        <v/>
      </c>
      <c r="H82" s="191" t="str">
        <f aca="false">IF(OR(F82="",D82=""),"",F82-D82)</f>
        <v/>
      </c>
      <c r="I82" s="192" t="str">
        <f aca="false">IF(D82="","",D82*'ตั้งค่า Setup'!$C$9)</f>
        <v/>
      </c>
      <c r="J82" s="192" t="str">
        <f aca="false">IF(OR(C82="",F82=""),"",F82*'ตั้งค่า Setup'!$C$9)</f>
        <v/>
      </c>
      <c r="K82" s="193"/>
      <c r="L82" s="192" t="str">
        <f aca="false">IF(OR(C82="",K82=""),"",SUM(K$7:K82))</f>
        <v/>
      </c>
      <c r="M82" s="193"/>
      <c r="N82" s="192" t="str">
        <f aca="false">IF(OR(C82="",B82&gt;'ตั้งค่า Setup'!$C$15),"",SUM(M$7:M82))</f>
        <v/>
      </c>
      <c r="P82" s="178" t="n">
        <f aca="false">IF(C82&lt;&gt;"",C82,P81)</f>
        <v>46346</v>
      </c>
      <c r="Q82" s="194" t="n">
        <f aca="false">IF(D82&lt;&gt;"",D82,Q81)</f>
        <v>1</v>
      </c>
      <c r="R82" s="178" t="n">
        <f aca="false">IF(Dashboard!$C$63,P82,R81)</f>
        <v>46072</v>
      </c>
      <c r="S82" s="194" t="n">
        <f aca="false">IF(AND(Dashboard!$C$63,E82&lt;&gt;""),E82,S81)</f>
        <v>0</v>
      </c>
      <c r="T82" s="178" t="n">
        <f aca="false">IF(AND(F82&lt;&gt;"",C82&lt;&gt;""),C82,T81)</f>
        <v>46142</v>
      </c>
      <c r="U82" s="194" t="n">
        <f aca="false">IF(AND(F82&lt;&gt;"",C82&lt;&gt;""),F82,U81)</f>
        <v>0.0513</v>
      </c>
      <c r="V82" s="178" t="n">
        <f aca="false">IF(ISNUMBER(G82),C82,V81)</f>
        <v>46346</v>
      </c>
      <c r="W82" s="194" t="n">
        <f aca="false">IF(ISNUMBER(G82),G82,W81)</f>
        <v>0.300059383033419</v>
      </c>
      <c r="X82" s="195" t="n">
        <f aca="false">IF(I82&lt;&gt;"",I82,X81)</f>
        <v>12108000</v>
      </c>
      <c r="Y82" s="195" t="n">
        <f aca="false">IF(AND(F82&lt;&gt;"",C82&lt;&gt;""),J82,Y81)</f>
        <v>621140.4</v>
      </c>
      <c r="Z82" s="178" t="n">
        <f aca="false">IF(AND(K82&lt;&gt;"",C82&lt;&gt;""),C82,Z81)</f>
        <v>46072</v>
      </c>
      <c r="AA82" s="195" t="n">
        <f aca="false">IF(AND(K82&lt;&gt;"",C82&lt;&gt;""),L82,AA81)</f>
        <v>0</v>
      </c>
    </row>
    <row r="83" customFormat="false" ht="15" hidden="false" customHeight="false" outlineLevel="0" collapsed="false">
      <c r="A83" s="187" t="str">
        <f aca="false">IF(B83="","",ROW()-6)</f>
        <v/>
      </c>
      <c r="B83" s="188" t="str">
        <f aca="false">IF(C82="","",IF(C82&gt;='ตั้งค่า Setup'!$C$69,"",C82+1))</f>
        <v/>
      </c>
      <c r="C83" s="188" t="str">
        <f aca="false">IF(B83="","",IF('ตั้งค่า Setup'!$C$16="รายสัปดาห์ / Weekly",B83+6,IF('ตั้งค่า Setup'!$C$16="รายเดือน / Monthly",EOMONTH(B83,0),IF(DAY(B83)&lt;=10,DATE(YEAR(B83),MONTH(B83),10),IF(DAY(B83)&lt;=20,DATE(YEAR(B83),MONTH(B83),20),EOMONTH(B83,0))))))</f>
        <v/>
      </c>
      <c r="D83" s="189" t="str">
        <f aca="false">IF(C83="","",SUMPRODUCT('แผนงาน Schedule'!$F$7:$F$66,('แผนงาน Schedule'!$I$7:$I$66&lt;=C83)+('แผนงาน Schedule'!$H$7:$H$66&lt;=C83)*('แผนงาน Schedule'!$I$7:$I$66&gt;C83)*(C83-'แผนงาน Schedule'!$H$7:$H$66+1)/('แผนงาน Schedule'!$I$7:$I$66-'แผนงาน Schedule'!$H$7:$H$66+1)))</f>
        <v/>
      </c>
      <c r="E83" s="189" t="str">
        <f aca="false">IF(C83="","",SUMPRODUCT('แผนงาน Schedule'!$F$7:$F$66,('แผนงาน Schedule'!$AA$7:$AA$66&lt;=C83)+('แผนงาน Schedule'!$Z$7:$Z$66&lt;=C83)*('แผนงาน Schedule'!$AA$7:$AA$66&gt;C83)*(C83-'แผนงาน Schedule'!$Z$7:$Z$66+1)/('แผนงาน Schedule'!$AA$7:$AA$66-'แผนงาน Schedule'!$Z$7:$Z$66+1)))</f>
        <v/>
      </c>
      <c r="F83" s="190"/>
      <c r="G83" s="189" t="str">
        <f aca="false">IF(OR(C83="",NOT(ISNUMBER(Dashboard!$C$27))),"",IF(C83&lt;Dashboard!$C$7,"",IF(Dashboard!$C$27&lt;=Dashboard!$C$7,1,MIN(1,Dashboard!$C$19+(1-Dashboard!$C$19)*(C83-Dashboard!$C$7)/(Dashboard!$C$27-Dashboard!$C$7)))))</f>
        <v/>
      </c>
      <c r="H83" s="191" t="str">
        <f aca="false">IF(OR(F83="",D83=""),"",F83-D83)</f>
        <v/>
      </c>
      <c r="I83" s="192" t="str">
        <f aca="false">IF(D83="","",D83*'ตั้งค่า Setup'!$C$9)</f>
        <v/>
      </c>
      <c r="J83" s="192" t="str">
        <f aca="false">IF(OR(C83="",F83=""),"",F83*'ตั้งค่า Setup'!$C$9)</f>
        <v/>
      </c>
      <c r="K83" s="193"/>
      <c r="L83" s="192" t="str">
        <f aca="false">IF(OR(C83="",K83=""),"",SUM(K$7:K83))</f>
        <v/>
      </c>
      <c r="M83" s="193"/>
      <c r="N83" s="192" t="str">
        <f aca="false">IF(OR(C83="",B83&gt;'ตั้งค่า Setup'!$C$15),"",SUM(M$7:M83))</f>
        <v/>
      </c>
      <c r="P83" s="178" t="n">
        <f aca="false">IF(C83&lt;&gt;"",C83,P82)</f>
        <v>46346</v>
      </c>
      <c r="Q83" s="194" t="n">
        <f aca="false">IF(D83&lt;&gt;"",D83,Q82)</f>
        <v>1</v>
      </c>
      <c r="R83" s="178" t="n">
        <f aca="false">IF(Dashboard!$C$63,P83,R82)</f>
        <v>46072</v>
      </c>
      <c r="S83" s="194" t="n">
        <f aca="false">IF(AND(Dashboard!$C$63,E83&lt;&gt;""),E83,S82)</f>
        <v>0</v>
      </c>
      <c r="T83" s="178" t="n">
        <f aca="false">IF(AND(F83&lt;&gt;"",C83&lt;&gt;""),C83,T82)</f>
        <v>46142</v>
      </c>
      <c r="U83" s="194" t="n">
        <f aca="false">IF(AND(F83&lt;&gt;"",C83&lt;&gt;""),F83,U82)</f>
        <v>0.0513</v>
      </c>
      <c r="V83" s="178" t="n">
        <f aca="false">IF(ISNUMBER(G83),C83,V82)</f>
        <v>46346</v>
      </c>
      <c r="W83" s="194" t="n">
        <f aca="false">IF(ISNUMBER(G83),G83,W82)</f>
        <v>0.300059383033419</v>
      </c>
      <c r="X83" s="195" t="n">
        <f aca="false">IF(I83&lt;&gt;"",I83,X82)</f>
        <v>12108000</v>
      </c>
      <c r="Y83" s="195" t="n">
        <f aca="false">IF(AND(F83&lt;&gt;"",C83&lt;&gt;""),J83,Y82)</f>
        <v>621140.4</v>
      </c>
      <c r="Z83" s="178" t="n">
        <f aca="false">IF(AND(K83&lt;&gt;"",C83&lt;&gt;""),C83,Z82)</f>
        <v>46072</v>
      </c>
      <c r="AA83" s="195" t="n">
        <f aca="false">IF(AND(K83&lt;&gt;"",C83&lt;&gt;""),L83,AA82)</f>
        <v>0</v>
      </c>
    </row>
    <row r="84" customFormat="false" ht="15" hidden="false" customHeight="false" outlineLevel="0" collapsed="false">
      <c r="A84" s="187" t="str">
        <f aca="false">IF(B84="","",ROW()-6)</f>
        <v/>
      </c>
      <c r="B84" s="188" t="str">
        <f aca="false">IF(C83="","",IF(C83&gt;='ตั้งค่า Setup'!$C$69,"",C83+1))</f>
        <v/>
      </c>
      <c r="C84" s="188" t="str">
        <f aca="false">IF(B84="","",IF('ตั้งค่า Setup'!$C$16="รายสัปดาห์ / Weekly",B84+6,IF('ตั้งค่า Setup'!$C$16="รายเดือน / Monthly",EOMONTH(B84,0),IF(DAY(B84)&lt;=10,DATE(YEAR(B84),MONTH(B84),10),IF(DAY(B84)&lt;=20,DATE(YEAR(B84),MONTH(B84),20),EOMONTH(B84,0))))))</f>
        <v/>
      </c>
      <c r="D84" s="189" t="str">
        <f aca="false">IF(C84="","",SUMPRODUCT('แผนงาน Schedule'!$F$7:$F$66,('แผนงาน Schedule'!$I$7:$I$66&lt;=C84)+('แผนงาน Schedule'!$H$7:$H$66&lt;=C84)*('แผนงาน Schedule'!$I$7:$I$66&gt;C84)*(C84-'แผนงาน Schedule'!$H$7:$H$66+1)/('แผนงาน Schedule'!$I$7:$I$66-'แผนงาน Schedule'!$H$7:$H$66+1)))</f>
        <v/>
      </c>
      <c r="E84" s="189" t="str">
        <f aca="false">IF(C84="","",SUMPRODUCT('แผนงาน Schedule'!$F$7:$F$66,('แผนงาน Schedule'!$AA$7:$AA$66&lt;=C84)+('แผนงาน Schedule'!$Z$7:$Z$66&lt;=C84)*('แผนงาน Schedule'!$AA$7:$AA$66&gt;C84)*(C84-'แผนงาน Schedule'!$Z$7:$Z$66+1)/('แผนงาน Schedule'!$AA$7:$AA$66-'แผนงาน Schedule'!$Z$7:$Z$66+1)))</f>
        <v/>
      </c>
      <c r="F84" s="190"/>
      <c r="G84" s="189" t="str">
        <f aca="false">IF(OR(C84="",NOT(ISNUMBER(Dashboard!$C$27))),"",IF(C84&lt;Dashboard!$C$7,"",IF(Dashboard!$C$27&lt;=Dashboard!$C$7,1,MIN(1,Dashboard!$C$19+(1-Dashboard!$C$19)*(C84-Dashboard!$C$7)/(Dashboard!$C$27-Dashboard!$C$7)))))</f>
        <v/>
      </c>
      <c r="H84" s="191" t="str">
        <f aca="false">IF(OR(F84="",D84=""),"",F84-D84)</f>
        <v/>
      </c>
      <c r="I84" s="192" t="str">
        <f aca="false">IF(D84="","",D84*'ตั้งค่า Setup'!$C$9)</f>
        <v/>
      </c>
      <c r="J84" s="192" t="str">
        <f aca="false">IF(OR(C84="",F84=""),"",F84*'ตั้งค่า Setup'!$C$9)</f>
        <v/>
      </c>
      <c r="K84" s="193"/>
      <c r="L84" s="192" t="str">
        <f aca="false">IF(OR(C84="",K84=""),"",SUM(K$7:K84))</f>
        <v/>
      </c>
      <c r="M84" s="193"/>
      <c r="N84" s="192" t="str">
        <f aca="false">IF(OR(C84="",B84&gt;'ตั้งค่า Setup'!$C$15),"",SUM(M$7:M84))</f>
        <v/>
      </c>
      <c r="P84" s="178" t="n">
        <f aca="false">IF(C84&lt;&gt;"",C84,P83)</f>
        <v>46346</v>
      </c>
      <c r="Q84" s="194" t="n">
        <f aca="false">IF(D84&lt;&gt;"",D84,Q83)</f>
        <v>1</v>
      </c>
      <c r="R84" s="178" t="n">
        <f aca="false">IF(Dashboard!$C$63,P84,R83)</f>
        <v>46072</v>
      </c>
      <c r="S84" s="194" t="n">
        <f aca="false">IF(AND(Dashboard!$C$63,E84&lt;&gt;""),E84,S83)</f>
        <v>0</v>
      </c>
      <c r="T84" s="178" t="n">
        <f aca="false">IF(AND(F84&lt;&gt;"",C84&lt;&gt;""),C84,T83)</f>
        <v>46142</v>
      </c>
      <c r="U84" s="194" t="n">
        <f aca="false">IF(AND(F84&lt;&gt;"",C84&lt;&gt;""),F84,U83)</f>
        <v>0.0513</v>
      </c>
      <c r="V84" s="178" t="n">
        <f aca="false">IF(ISNUMBER(G84),C84,V83)</f>
        <v>46346</v>
      </c>
      <c r="W84" s="194" t="n">
        <f aca="false">IF(ISNUMBER(G84),G84,W83)</f>
        <v>0.300059383033419</v>
      </c>
      <c r="X84" s="195" t="n">
        <f aca="false">IF(I84&lt;&gt;"",I84,X83)</f>
        <v>12108000</v>
      </c>
      <c r="Y84" s="195" t="n">
        <f aca="false">IF(AND(F84&lt;&gt;"",C84&lt;&gt;""),J84,Y83)</f>
        <v>621140.4</v>
      </c>
      <c r="Z84" s="178" t="n">
        <f aca="false">IF(AND(K84&lt;&gt;"",C84&lt;&gt;""),C84,Z83)</f>
        <v>46072</v>
      </c>
      <c r="AA84" s="195" t="n">
        <f aca="false">IF(AND(K84&lt;&gt;"",C84&lt;&gt;""),L84,AA83)</f>
        <v>0</v>
      </c>
    </row>
    <row r="85" customFormat="false" ht="15" hidden="false" customHeight="false" outlineLevel="0" collapsed="false">
      <c r="A85" s="187" t="str">
        <f aca="false">IF(B85="","",ROW()-6)</f>
        <v/>
      </c>
      <c r="B85" s="188" t="str">
        <f aca="false">IF(C84="","",IF(C84&gt;='ตั้งค่า Setup'!$C$69,"",C84+1))</f>
        <v/>
      </c>
      <c r="C85" s="188" t="str">
        <f aca="false">IF(B85="","",IF('ตั้งค่า Setup'!$C$16="รายสัปดาห์ / Weekly",B85+6,IF('ตั้งค่า Setup'!$C$16="รายเดือน / Monthly",EOMONTH(B85,0),IF(DAY(B85)&lt;=10,DATE(YEAR(B85),MONTH(B85),10),IF(DAY(B85)&lt;=20,DATE(YEAR(B85),MONTH(B85),20),EOMONTH(B85,0))))))</f>
        <v/>
      </c>
      <c r="D85" s="189" t="str">
        <f aca="false">IF(C85="","",SUMPRODUCT('แผนงาน Schedule'!$F$7:$F$66,('แผนงาน Schedule'!$I$7:$I$66&lt;=C85)+('แผนงาน Schedule'!$H$7:$H$66&lt;=C85)*('แผนงาน Schedule'!$I$7:$I$66&gt;C85)*(C85-'แผนงาน Schedule'!$H$7:$H$66+1)/('แผนงาน Schedule'!$I$7:$I$66-'แผนงาน Schedule'!$H$7:$H$66+1)))</f>
        <v/>
      </c>
      <c r="E85" s="189" t="str">
        <f aca="false">IF(C85="","",SUMPRODUCT('แผนงาน Schedule'!$F$7:$F$66,('แผนงาน Schedule'!$AA$7:$AA$66&lt;=C85)+('แผนงาน Schedule'!$Z$7:$Z$66&lt;=C85)*('แผนงาน Schedule'!$AA$7:$AA$66&gt;C85)*(C85-'แผนงาน Schedule'!$Z$7:$Z$66+1)/('แผนงาน Schedule'!$AA$7:$AA$66-'แผนงาน Schedule'!$Z$7:$Z$66+1)))</f>
        <v/>
      </c>
      <c r="F85" s="190"/>
      <c r="G85" s="189" t="str">
        <f aca="false">IF(OR(C85="",NOT(ISNUMBER(Dashboard!$C$27))),"",IF(C85&lt;Dashboard!$C$7,"",IF(Dashboard!$C$27&lt;=Dashboard!$C$7,1,MIN(1,Dashboard!$C$19+(1-Dashboard!$C$19)*(C85-Dashboard!$C$7)/(Dashboard!$C$27-Dashboard!$C$7)))))</f>
        <v/>
      </c>
      <c r="H85" s="191" t="str">
        <f aca="false">IF(OR(F85="",D85=""),"",F85-D85)</f>
        <v/>
      </c>
      <c r="I85" s="192" t="str">
        <f aca="false">IF(D85="","",D85*'ตั้งค่า Setup'!$C$9)</f>
        <v/>
      </c>
      <c r="J85" s="192" t="str">
        <f aca="false">IF(OR(C85="",F85=""),"",F85*'ตั้งค่า Setup'!$C$9)</f>
        <v/>
      </c>
      <c r="K85" s="193"/>
      <c r="L85" s="192" t="str">
        <f aca="false">IF(OR(C85="",K85=""),"",SUM(K$7:K85))</f>
        <v/>
      </c>
      <c r="M85" s="193"/>
      <c r="N85" s="192" t="str">
        <f aca="false">IF(OR(C85="",B85&gt;'ตั้งค่า Setup'!$C$15),"",SUM(M$7:M85))</f>
        <v/>
      </c>
      <c r="P85" s="178" t="n">
        <f aca="false">IF(C85&lt;&gt;"",C85,P84)</f>
        <v>46346</v>
      </c>
      <c r="Q85" s="194" t="n">
        <f aca="false">IF(D85&lt;&gt;"",D85,Q84)</f>
        <v>1</v>
      </c>
      <c r="R85" s="178" t="n">
        <f aca="false">IF(Dashboard!$C$63,P85,R84)</f>
        <v>46072</v>
      </c>
      <c r="S85" s="194" t="n">
        <f aca="false">IF(AND(Dashboard!$C$63,E85&lt;&gt;""),E85,S84)</f>
        <v>0</v>
      </c>
      <c r="T85" s="178" t="n">
        <f aca="false">IF(AND(F85&lt;&gt;"",C85&lt;&gt;""),C85,T84)</f>
        <v>46142</v>
      </c>
      <c r="U85" s="194" t="n">
        <f aca="false">IF(AND(F85&lt;&gt;"",C85&lt;&gt;""),F85,U84)</f>
        <v>0.0513</v>
      </c>
      <c r="V85" s="178" t="n">
        <f aca="false">IF(ISNUMBER(G85),C85,V84)</f>
        <v>46346</v>
      </c>
      <c r="W85" s="194" t="n">
        <f aca="false">IF(ISNUMBER(G85),G85,W84)</f>
        <v>0.300059383033419</v>
      </c>
      <c r="X85" s="195" t="n">
        <f aca="false">IF(I85&lt;&gt;"",I85,X84)</f>
        <v>12108000</v>
      </c>
      <c r="Y85" s="195" t="n">
        <f aca="false">IF(AND(F85&lt;&gt;"",C85&lt;&gt;""),J85,Y84)</f>
        <v>621140.4</v>
      </c>
      <c r="Z85" s="178" t="n">
        <f aca="false">IF(AND(K85&lt;&gt;"",C85&lt;&gt;""),C85,Z84)</f>
        <v>46072</v>
      </c>
      <c r="AA85" s="195" t="n">
        <f aca="false">IF(AND(K85&lt;&gt;"",C85&lt;&gt;""),L85,AA84)</f>
        <v>0</v>
      </c>
    </row>
    <row r="86" customFormat="false" ht="15" hidden="false" customHeight="false" outlineLevel="0" collapsed="false">
      <c r="A86" s="187" t="str">
        <f aca="false">IF(B86="","",ROW()-6)</f>
        <v/>
      </c>
      <c r="B86" s="188" t="str">
        <f aca="false">IF(C85="","",IF(C85&gt;='ตั้งค่า Setup'!$C$69,"",C85+1))</f>
        <v/>
      </c>
      <c r="C86" s="188" t="str">
        <f aca="false">IF(B86="","",IF('ตั้งค่า Setup'!$C$16="รายสัปดาห์ / Weekly",B86+6,IF('ตั้งค่า Setup'!$C$16="รายเดือน / Monthly",EOMONTH(B86,0),IF(DAY(B86)&lt;=10,DATE(YEAR(B86),MONTH(B86),10),IF(DAY(B86)&lt;=20,DATE(YEAR(B86),MONTH(B86),20),EOMONTH(B86,0))))))</f>
        <v/>
      </c>
      <c r="D86" s="189" t="str">
        <f aca="false">IF(C86="","",SUMPRODUCT('แผนงาน Schedule'!$F$7:$F$66,('แผนงาน Schedule'!$I$7:$I$66&lt;=C86)+('แผนงาน Schedule'!$H$7:$H$66&lt;=C86)*('แผนงาน Schedule'!$I$7:$I$66&gt;C86)*(C86-'แผนงาน Schedule'!$H$7:$H$66+1)/('แผนงาน Schedule'!$I$7:$I$66-'แผนงาน Schedule'!$H$7:$H$66+1)))</f>
        <v/>
      </c>
      <c r="E86" s="189" t="str">
        <f aca="false">IF(C86="","",SUMPRODUCT('แผนงาน Schedule'!$F$7:$F$66,('แผนงาน Schedule'!$AA$7:$AA$66&lt;=C86)+('แผนงาน Schedule'!$Z$7:$Z$66&lt;=C86)*('แผนงาน Schedule'!$AA$7:$AA$66&gt;C86)*(C86-'แผนงาน Schedule'!$Z$7:$Z$66+1)/('แผนงาน Schedule'!$AA$7:$AA$66-'แผนงาน Schedule'!$Z$7:$Z$66+1)))</f>
        <v/>
      </c>
      <c r="F86" s="190"/>
      <c r="G86" s="189" t="str">
        <f aca="false">IF(OR(C86="",NOT(ISNUMBER(Dashboard!$C$27))),"",IF(C86&lt;Dashboard!$C$7,"",IF(Dashboard!$C$27&lt;=Dashboard!$C$7,1,MIN(1,Dashboard!$C$19+(1-Dashboard!$C$19)*(C86-Dashboard!$C$7)/(Dashboard!$C$27-Dashboard!$C$7)))))</f>
        <v/>
      </c>
      <c r="H86" s="191" t="str">
        <f aca="false">IF(OR(F86="",D86=""),"",F86-D86)</f>
        <v/>
      </c>
      <c r="I86" s="192" t="str">
        <f aca="false">IF(D86="","",D86*'ตั้งค่า Setup'!$C$9)</f>
        <v/>
      </c>
      <c r="J86" s="192" t="str">
        <f aca="false">IF(OR(C86="",F86=""),"",F86*'ตั้งค่า Setup'!$C$9)</f>
        <v/>
      </c>
      <c r="K86" s="193"/>
      <c r="L86" s="192" t="str">
        <f aca="false">IF(OR(C86="",K86=""),"",SUM(K$7:K86))</f>
        <v/>
      </c>
      <c r="M86" s="193"/>
      <c r="N86" s="192" t="str">
        <f aca="false">IF(OR(C86="",B86&gt;'ตั้งค่า Setup'!$C$15),"",SUM(M$7:M86))</f>
        <v/>
      </c>
      <c r="P86" s="178" t="n">
        <f aca="false">IF(C86&lt;&gt;"",C86,P85)</f>
        <v>46346</v>
      </c>
      <c r="Q86" s="194" t="n">
        <f aca="false">IF(D86&lt;&gt;"",D86,Q85)</f>
        <v>1</v>
      </c>
      <c r="R86" s="178" t="n">
        <f aca="false">IF(Dashboard!$C$63,P86,R85)</f>
        <v>46072</v>
      </c>
      <c r="S86" s="194" t="n">
        <f aca="false">IF(AND(Dashboard!$C$63,E86&lt;&gt;""),E86,S85)</f>
        <v>0</v>
      </c>
      <c r="T86" s="178" t="n">
        <f aca="false">IF(AND(F86&lt;&gt;"",C86&lt;&gt;""),C86,T85)</f>
        <v>46142</v>
      </c>
      <c r="U86" s="194" t="n">
        <f aca="false">IF(AND(F86&lt;&gt;"",C86&lt;&gt;""),F86,U85)</f>
        <v>0.0513</v>
      </c>
      <c r="V86" s="178" t="n">
        <f aca="false">IF(ISNUMBER(G86),C86,V85)</f>
        <v>46346</v>
      </c>
      <c r="W86" s="194" t="n">
        <f aca="false">IF(ISNUMBER(G86),G86,W85)</f>
        <v>0.300059383033419</v>
      </c>
      <c r="X86" s="195" t="n">
        <f aca="false">IF(I86&lt;&gt;"",I86,X85)</f>
        <v>12108000</v>
      </c>
      <c r="Y86" s="195" t="n">
        <f aca="false">IF(AND(F86&lt;&gt;"",C86&lt;&gt;""),J86,Y85)</f>
        <v>621140.4</v>
      </c>
      <c r="Z86" s="178" t="n">
        <f aca="false">IF(AND(K86&lt;&gt;"",C86&lt;&gt;""),C86,Z85)</f>
        <v>46072</v>
      </c>
      <c r="AA86" s="195" t="n">
        <f aca="false">IF(AND(K86&lt;&gt;"",C86&lt;&gt;""),L86,AA85)</f>
        <v>0</v>
      </c>
    </row>
  </sheetData>
  <sheetProtection sheet="true" formatCells="false" formatColumns="false" formatRows="false"/>
  <mergeCells count="4">
    <mergeCell ref="A5:C5"/>
    <mergeCell ref="D5:H5"/>
    <mergeCell ref="I5:L5"/>
    <mergeCell ref="M5:N5"/>
  </mergeCells>
  <conditionalFormatting sqref="A7:N86">
    <cfRule type="expression" priority="2" aboveAverage="0" equalAverage="0" bottom="0" percent="0" rank="0" text="" dxfId="14">
      <formula>AND($B7&lt;&gt;"",$B7&lt;='ตั้งค่า Setup'!$C$15,$C7&gt;='ตั้งค่า Setup'!$C$15)</formula>
    </cfRule>
  </conditionalFormatting>
  <dataValidations count="1">
    <dataValidation allowBlank="false" error="กรอก 0%–100%" errorStyle="stop" operator="between" showDropDown="false" showErrorMessage="false" showInputMessage="false" sqref="F7:F8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4" min="4" style="1" width="11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24"/>
    <col collapsed="false" customWidth="true" hidden="false" outlineLevel="0" max="12" min="12" style="1" width="28"/>
  </cols>
  <sheetData>
    <row r="1" customFormat="false" ht="20.1" hidden="false" customHeight="false" outlineLevel="0" collapsed="false">
      <c r="A1" s="2" t="s">
        <v>726</v>
      </c>
    </row>
    <row r="2" customFormat="false" ht="15" hidden="false" customHeight="false" outlineLevel="0" collapsed="false">
      <c r="A2" s="19" t="s">
        <v>727</v>
      </c>
    </row>
    <row r="3" customFormat="false" ht="15" hidden="false" customHeight="false" outlineLevel="0" collapsed="false">
      <c r="B3" s="162" t="s">
        <v>728</v>
      </c>
      <c r="E3" s="162" t="s">
        <v>729</v>
      </c>
      <c r="H3" s="162" t="s">
        <v>730</v>
      </c>
      <c r="K3" s="162" t="s">
        <v>731</v>
      </c>
    </row>
    <row r="4" customFormat="false" ht="17.35" hidden="false" customHeight="false" outlineLevel="0" collapsed="false">
      <c r="B4" s="197" t="n">
        <f aca="false">SUM(F8:F57)</f>
        <v>0</v>
      </c>
      <c r="E4" s="197" t="n">
        <f aca="false">SUM(J8:J57)</f>
        <v>0</v>
      </c>
      <c r="H4" s="197" t="n">
        <f aca="false">SUMIF(I8:I57,"รอพิจารณา / Pending",F8:F57)</f>
        <v>0</v>
      </c>
      <c r="K4" s="197" t="n">
        <f aca="false">SUMIF(E8:E57,"ผู้ว่าจ้าง / Employer",F8:F57)</f>
        <v>0</v>
      </c>
    </row>
    <row r="5" customFormat="false" ht="15" hidden="false" customHeight="false" outlineLevel="0" collapsed="false">
      <c r="A5" s="101" t="s">
        <v>732</v>
      </c>
    </row>
    <row r="7" customFormat="false" ht="39.75" hidden="false" customHeight="true" outlineLevel="0" collapsed="false">
      <c r="A7" s="20" t="s">
        <v>733</v>
      </c>
      <c r="B7" s="20" t="s">
        <v>734</v>
      </c>
      <c r="C7" s="20" t="s">
        <v>735</v>
      </c>
      <c r="D7" s="75" t="s">
        <v>736</v>
      </c>
      <c r="E7" s="20" t="s">
        <v>737</v>
      </c>
      <c r="F7" s="20" t="s">
        <v>738</v>
      </c>
      <c r="G7" s="20" t="s">
        <v>739</v>
      </c>
      <c r="H7" s="20" t="s">
        <v>740</v>
      </c>
      <c r="I7" s="20" t="s">
        <v>741</v>
      </c>
      <c r="J7" s="20" t="s">
        <v>742</v>
      </c>
      <c r="K7" s="20" t="s">
        <v>743</v>
      </c>
      <c r="L7" s="20" t="s">
        <v>465</v>
      </c>
    </row>
    <row r="8" customFormat="false" ht="15" hidden="false" customHeight="false" outlineLevel="0" collapsed="false">
      <c r="A8" s="106" t="str">
        <f aca="false">IF(C8="","",COUNTA(C$8:C8))</f>
        <v/>
      </c>
      <c r="B8" s="27"/>
      <c r="C8" s="35"/>
      <c r="D8" s="22"/>
      <c r="E8" s="24"/>
      <c r="F8" s="24"/>
      <c r="G8" s="22"/>
      <c r="H8" s="27"/>
      <c r="I8" s="24"/>
      <c r="J8" s="24"/>
      <c r="K8" s="106" t="str">
        <f aca="false">IF(OR(C8="",E8=""),"",IF(E8="ผู้รับจ้าง / Contractor","ไม่มีสิทธิ์ (ผู้รับจ้างรับผิดชอบ)","มีสิทธิ์ขอขยายเวลา"))</f>
        <v/>
      </c>
      <c r="L8" s="35"/>
    </row>
    <row r="9" customFormat="false" ht="15" hidden="false" customHeight="false" outlineLevel="0" collapsed="false">
      <c r="A9" s="106" t="str">
        <f aca="false">IF(C9="","",COUNTA(C$8:C9))</f>
        <v/>
      </c>
      <c r="B9" s="27"/>
      <c r="C9" s="35"/>
      <c r="D9" s="22"/>
      <c r="E9" s="24"/>
      <c r="F9" s="24"/>
      <c r="G9" s="22"/>
      <c r="H9" s="27"/>
      <c r="I9" s="24"/>
      <c r="J9" s="24"/>
      <c r="K9" s="106" t="str">
        <f aca="false">IF(OR(C9="",E9=""),"",IF(E9="ผู้รับจ้าง / Contractor","ไม่มีสิทธิ์ (ผู้รับจ้างรับผิดชอบ)","มีสิทธิ์ขอขยายเวลา"))</f>
        <v/>
      </c>
      <c r="L9" s="35"/>
    </row>
    <row r="10" customFormat="false" ht="15" hidden="false" customHeight="false" outlineLevel="0" collapsed="false">
      <c r="A10" s="106" t="str">
        <f aca="false">IF(C10="","",COUNTA(C$8:C10))</f>
        <v/>
      </c>
      <c r="B10" s="27"/>
      <c r="C10" s="35"/>
      <c r="D10" s="22"/>
      <c r="E10" s="24"/>
      <c r="F10" s="24"/>
      <c r="G10" s="22"/>
      <c r="H10" s="27"/>
      <c r="I10" s="24"/>
      <c r="J10" s="24"/>
      <c r="K10" s="106" t="str">
        <f aca="false">IF(OR(C10="",E10=""),"",IF(E10="ผู้รับจ้าง / Contractor","ไม่มีสิทธิ์ (ผู้รับจ้างรับผิดชอบ)","มีสิทธิ์ขอขยายเวลา"))</f>
        <v/>
      </c>
      <c r="L10" s="35"/>
    </row>
    <row r="11" customFormat="false" ht="15" hidden="false" customHeight="false" outlineLevel="0" collapsed="false">
      <c r="A11" s="106" t="str">
        <f aca="false">IF(C11="","",COUNTA(C$8:C11))</f>
        <v/>
      </c>
      <c r="B11" s="27"/>
      <c r="C11" s="35"/>
      <c r="D11" s="22"/>
      <c r="E11" s="24"/>
      <c r="F11" s="24"/>
      <c r="G11" s="22"/>
      <c r="H11" s="27"/>
      <c r="I11" s="24"/>
      <c r="J11" s="24"/>
      <c r="K11" s="106" t="str">
        <f aca="false">IF(OR(C11="",E11=""),"",IF(E11="ผู้รับจ้าง / Contractor","ไม่มีสิทธิ์ (ผู้รับจ้างรับผิดชอบ)","มีสิทธิ์ขอขยายเวลา"))</f>
        <v/>
      </c>
      <c r="L11" s="35"/>
    </row>
    <row r="12" customFormat="false" ht="15" hidden="false" customHeight="false" outlineLevel="0" collapsed="false">
      <c r="A12" s="106" t="str">
        <f aca="false">IF(C12="","",COUNTA(C$8:C12))</f>
        <v/>
      </c>
      <c r="B12" s="27"/>
      <c r="C12" s="35"/>
      <c r="D12" s="22"/>
      <c r="E12" s="24"/>
      <c r="F12" s="24"/>
      <c r="G12" s="22"/>
      <c r="H12" s="27"/>
      <c r="I12" s="24"/>
      <c r="J12" s="24"/>
      <c r="K12" s="106" t="str">
        <f aca="false">IF(OR(C12="",E12=""),"",IF(E12="ผู้รับจ้าง / Contractor","ไม่มีสิทธิ์ (ผู้รับจ้างรับผิดชอบ)","มีสิทธิ์ขอขยายเวลา"))</f>
        <v/>
      </c>
      <c r="L12" s="35"/>
    </row>
    <row r="13" customFormat="false" ht="15" hidden="false" customHeight="false" outlineLevel="0" collapsed="false">
      <c r="A13" s="106" t="str">
        <f aca="false">IF(C13="","",COUNTA(C$8:C13))</f>
        <v/>
      </c>
      <c r="B13" s="27"/>
      <c r="C13" s="35"/>
      <c r="D13" s="22"/>
      <c r="E13" s="24"/>
      <c r="F13" s="24"/>
      <c r="G13" s="22"/>
      <c r="H13" s="27"/>
      <c r="I13" s="24"/>
      <c r="J13" s="24"/>
      <c r="K13" s="106" t="str">
        <f aca="false">IF(OR(C13="",E13=""),"",IF(E13="ผู้รับจ้าง / Contractor","ไม่มีสิทธิ์ (ผู้รับจ้างรับผิดชอบ)","มีสิทธิ์ขอขยายเวลา"))</f>
        <v/>
      </c>
      <c r="L13" s="35"/>
    </row>
    <row r="14" customFormat="false" ht="15" hidden="false" customHeight="false" outlineLevel="0" collapsed="false">
      <c r="A14" s="106" t="str">
        <f aca="false">IF(C14="","",COUNTA(C$8:C14))</f>
        <v/>
      </c>
      <c r="B14" s="27"/>
      <c r="C14" s="35"/>
      <c r="D14" s="22"/>
      <c r="E14" s="24"/>
      <c r="F14" s="24"/>
      <c r="G14" s="22"/>
      <c r="H14" s="27"/>
      <c r="I14" s="24"/>
      <c r="J14" s="24"/>
      <c r="K14" s="106" t="str">
        <f aca="false">IF(OR(C14="",E14=""),"",IF(E14="ผู้รับจ้าง / Contractor","ไม่มีสิทธิ์ (ผู้รับจ้างรับผิดชอบ)","มีสิทธิ์ขอขยายเวลา"))</f>
        <v/>
      </c>
      <c r="L14" s="35"/>
    </row>
    <row r="15" customFormat="false" ht="15" hidden="false" customHeight="false" outlineLevel="0" collapsed="false">
      <c r="A15" s="106" t="str">
        <f aca="false">IF(C15="","",COUNTA(C$8:C15))</f>
        <v/>
      </c>
      <c r="B15" s="27"/>
      <c r="C15" s="35"/>
      <c r="D15" s="22"/>
      <c r="E15" s="24"/>
      <c r="F15" s="24"/>
      <c r="G15" s="22"/>
      <c r="H15" s="27"/>
      <c r="I15" s="24"/>
      <c r="J15" s="24"/>
      <c r="K15" s="106" t="str">
        <f aca="false">IF(OR(C15="",E15=""),"",IF(E15="ผู้รับจ้าง / Contractor","ไม่มีสิทธิ์ (ผู้รับจ้างรับผิดชอบ)","มีสิทธิ์ขอขยายเวลา"))</f>
        <v/>
      </c>
      <c r="L15" s="35"/>
    </row>
    <row r="16" customFormat="false" ht="15" hidden="false" customHeight="false" outlineLevel="0" collapsed="false">
      <c r="A16" s="106" t="str">
        <f aca="false">IF(C16="","",COUNTA(C$8:C16))</f>
        <v/>
      </c>
      <c r="B16" s="27"/>
      <c r="C16" s="35"/>
      <c r="D16" s="22"/>
      <c r="E16" s="24"/>
      <c r="F16" s="24"/>
      <c r="G16" s="22"/>
      <c r="H16" s="27"/>
      <c r="I16" s="24"/>
      <c r="J16" s="24"/>
      <c r="K16" s="106" t="str">
        <f aca="false">IF(OR(C16="",E16=""),"",IF(E16="ผู้รับจ้าง / Contractor","ไม่มีสิทธิ์ (ผู้รับจ้างรับผิดชอบ)","มีสิทธิ์ขอขยายเวลา"))</f>
        <v/>
      </c>
      <c r="L16" s="35"/>
    </row>
    <row r="17" customFormat="false" ht="15" hidden="false" customHeight="false" outlineLevel="0" collapsed="false">
      <c r="A17" s="106" t="str">
        <f aca="false">IF(C17="","",COUNTA(C$8:C17))</f>
        <v/>
      </c>
      <c r="B17" s="27"/>
      <c r="C17" s="35"/>
      <c r="D17" s="22"/>
      <c r="E17" s="24"/>
      <c r="F17" s="24"/>
      <c r="G17" s="22"/>
      <c r="H17" s="27"/>
      <c r="I17" s="24"/>
      <c r="J17" s="24"/>
      <c r="K17" s="106" t="str">
        <f aca="false">IF(OR(C17="",E17=""),"",IF(E17="ผู้รับจ้าง / Contractor","ไม่มีสิทธิ์ (ผู้รับจ้างรับผิดชอบ)","มีสิทธิ์ขอขยายเวลา"))</f>
        <v/>
      </c>
      <c r="L17" s="35"/>
    </row>
    <row r="18" customFormat="false" ht="15" hidden="false" customHeight="false" outlineLevel="0" collapsed="false">
      <c r="A18" s="106" t="str">
        <f aca="false">IF(C18="","",COUNTA(C$8:C18))</f>
        <v/>
      </c>
      <c r="B18" s="27"/>
      <c r="C18" s="35"/>
      <c r="D18" s="22"/>
      <c r="E18" s="24"/>
      <c r="F18" s="24"/>
      <c r="G18" s="22"/>
      <c r="H18" s="27"/>
      <c r="I18" s="24"/>
      <c r="J18" s="24"/>
      <c r="K18" s="106" t="str">
        <f aca="false">IF(OR(C18="",E18=""),"",IF(E18="ผู้รับจ้าง / Contractor","ไม่มีสิทธิ์ (ผู้รับจ้างรับผิดชอบ)","มีสิทธิ์ขอขยายเวลา"))</f>
        <v/>
      </c>
      <c r="L18" s="35"/>
    </row>
    <row r="19" customFormat="false" ht="15" hidden="false" customHeight="false" outlineLevel="0" collapsed="false">
      <c r="A19" s="106" t="str">
        <f aca="false">IF(C19="","",COUNTA(C$8:C19))</f>
        <v/>
      </c>
      <c r="B19" s="27"/>
      <c r="C19" s="35"/>
      <c r="D19" s="22"/>
      <c r="E19" s="24"/>
      <c r="F19" s="24"/>
      <c r="G19" s="22"/>
      <c r="H19" s="27"/>
      <c r="I19" s="24"/>
      <c r="J19" s="24"/>
      <c r="K19" s="106" t="str">
        <f aca="false">IF(OR(C19="",E19=""),"",IF(E19="ผู้รับจ้าง / Contractor","ไม่มีสิทธิ์ (ผู้รับจ้างรับผิดชอบ)","มีสิทธิ์ขอขยายเวลา"))</f>
        <v/>
      </c>
      <c r="L19" s="35"/>
    </row>
    <row r="20" customFormat="false" ht="15" hidden="false" customHeight="false" outlineLevel="0" collapsed="false">
      <c r="A20" s="106" t="str">
        <f aca="false">IF(C20="","",COUNTA(C$8:C20))</f>
        <v/>
      </c>
      <c r="B20" s="27"/>
      <c r="C20" s="35"/>
      <c r="D20" s="22"/>
      <c r="E20" s="24"/>
      <c r="F20" s="24"/>
      <c r="G20" s="22"/>
      <c r="H20" s="27"/>
      <c r="I20" s="24"/>
      <c r="J20" s="24"/>
      <c r="K20" s="106" t="str">
        <f aca="false">IF(OR(C20="",E20=""),"",IF(E20="ผู้รับจ้าง / Contractor","ไม่มีสิทธิ์ (ผู้รับจ้างรับผิดชอบ)","มีสิทธิ์ขอขยายเวลา"))</f>
        <v/>
      </c>
      <c r="L20" s="35"/>
    </row>
    <row r="21" customFormat="false" ht="15" hidden="false" customHeight="false" outlineLevel="0" collapsed="false">
      <c r="A21" s="106" t="str">
        <f aca="false">IF(C21="","",COUNTA(C$8:C21))</f>
        <v/>
      </c>
      <c r="B21" s="27"/>
      <c r="C21" s="35"/>
      <c r="D21" s="22"/>
      <c r="E21" s="24"/>
      <c r="F21" s="24"/>
      <c r="G21" s="22"/>
      <c r="H21" s="27"/>
      <c r="I21" s="24"/>
      <c r="J21" s="24"/>
      <c r="K21" s="106" t="str">
        <f aca="false">IF(OR(C21="",E21=""),"",IF(E21="ผู้รับจ้าง / Contractor","ไม่มีสิทธิ์ (ผู้รับจ้างรับผิดชอบ)","มีสิทธิ์ขอขยายเวลา"))</f>
        <v/>
      </c>
      <c r="L21" s="35"/>
    </row>
    <row r="22" customFormat="false" ht="15" hidden="false" customHeight="false" outlineLevel="0" collapsed="false">
      <c r="A22" s="106" t="str">
        <f aca="false">IF(C22="","",COUNTA(C$8:C22))</f>
        <v/>
      </c>
      <c r="B22" s="27"/>
      <c r="C22" s="35"/>
      <c r="D22" s="22"/>
      <c r="E22" s="24"/>
      <c r="F22" s="24"/>
      <c r="G22" s="22"/>
      <c r="H22" s="27"/>
      <c r="I22" s="24"/>
      <c r="J22" s="24"/>
      <c r="K22" s="106" t="str">
        <f aca="false">IF(OR(C22="",E22=""),"",IF(E22="ผู้รับจ้าง / Contractor","ไม่มีสิทธิ์ (ผู้รับจ้างรับผิดชอบ)","มีสิทธิ์ขอขยายเวลา"))</f>
        <v/>
      </c>
      <c r="L22" s="35"/>
    </row>
    <row r="23" customFormat="false" ht="15" hidden="false" customHeight="false" outlineLevel="0" collapsed="false">
      <c r="A23" s="106" t="str">
        <f aca="false">IF(C23="","",COUNTA(C$8:C23))</f>
        <v/>
      </c>
      <c r="B23" s="27"/>
      <c r="C23" s="35"/>
      <c r="D23" s="22"/>
      <c r="E23" s="24"/>
      <c r="F23" s="24"/>
      <c r="G23" s="22"/>
      <c r="H23" s="27"/>
      <c r="I23" s="24"/>
      <c r="J23" s="24"/>
      <c r="K23" s="106" t="str">
        <f aca="false">IF(OR(C23="",E23=""),"",IF(E23="ผู้รับจ้าง / Contractor","ไม่มีสิทธิ์ (ผู้รับจ้างรับผิดชอบ)","มีสิทธิ์ขอขยายเวลา"))</f>
        <v/>
      </c>
      <c r="L23" s="35"/>
    </row>
    <row r="24" customFormat="false" ht="15" hidden="false" customHeight="false" outlineLevel="0" collapsed="false">
      <c r="A24" s="106" t="str">
        <f aca="false">IF(C24="","",COUNTA(C$8:C24))</f>
        <v/>
      </c>
      <c r="B24" s="27"/>
      <c r="C24" s="35"/>
      <c r="D24" s="22"/>
      <c r="E24" s="24"/>
      <c r="F24" s="24"/>
      <c r="G24" s="22"/>
      <c r="H24" s="27"/>
      <c r="I24" s="24"/>
      <c r="J24" s="24"/>
      <c r="K24" s="106" t="str">
        <f aca="false">IF(OR(C24="",E24=""),"",IF(E24="ผู้รับจ้าง / Contractor","ไม่มีสิทธิ์ (ผู้รับจ้างรับผิดชอบ)","มีสิทธิ์ขอขยายเวลา"))</f>
        <v/>
      </c>
      <c r="L24" s="35"/>
    </row>
    <row r="25" customFormat="false" ht="15" hidden="false" customHeight="false" outlineLevel="0" collapsed="false">
      <c r="A25" s="106" t="str">
        <f aca="false">IF(C25="","",COUNTA(C$8:C25))</f>
        <v/>
      </c>
      <c r="B25" s="27"/>
      <c r="C25" s="35"/>
      <c r="D25" s="22"/>
      <c r="E25" s="24"/>
      <c r="F25" s="24"/>
      <c r="G25" s="22"/>
      <c r="H25" s="27"/>
      <c r="I25" s="24"/>
      <c r="J25" s="24"/>
      <c r="K25" s="106" t="str">
        <f aca="false">IF(OR(C25="",E25=""),"",IF(E25="ผู้รับจ้าง / Contractor","ไม่มีสิทธิ์ (ผู้รับจ้างรับผิดชอบ)","มีสิทธิ์ขอขยายเวลา"))</f>
        <v/>
      </c>
      <c r="L25" s="35"/>
    </row>
    <row r="26" customFormat="false" ht="15" hidden="false" customHeight="false" outlineLevel="0" collapsed="false">
      <c r="A26" s="106" t="str">
        <f aca="false">IF(C26="","",COUNTA(C$8:C26))</f>
        <v/>
      </c>
      <c r="B26" s="27"/>
      <c r="C26" s="35"/>
      <c r="D26" s="22"/>
      <c r="E26" s="24"/>
      <c r="F26" s="24"/>
      <c r="G26" s="22"/>
      <c r="H26" s="27"/>
      <c r="I26" s="24"/>
      <c r="J26" s="24"/>
      <c r="K26" s="106" t="str">
        <f aca="false">IF(OR(C26="",E26=""),"",IF(E26="ผู้รับจ้าง / Contractor","ไม่มีสิทธิ์ (ผู้รับจ้างรับผิดชอบ)","มีสิทธิ์ขอขยายเวลา"))</f>
        <v/>
      </c>
      <c r="L26" s="35"/>
    </row>
    <row r="27" customFormat="false" ht="15" hidden="false" customHeight="false" outlineLevel="0" collapsed="false">
      <c r="A27" s="106" t="str">
        <f aca="false">IF(C27="","",COUNTA(C$8:C27))</f>
        <v/>
      </c>
      <c r="B27" s="27"/>
      <c r="C27" s="35"/>
      <c r="D27" s="22"/>
      <c r="E27" s="24"/>
      <c r="F27" s="24"/>
      <c r="G27" s="22"/>
      <c r="H27" s="27"/>
      <c r="I27" s="24"/>
      <c r="J27" s="24"/>
      <c r="K27" s="106" t="str">
        <f aca="false">IF(OR(C27="",E27=""),"",IF(E27="ผู้รับจ้าง / Contractor","ไม่มีสิทธิ์ (ผู้รับจ้างรับผิดชอบ)","มีสิทธิ์ขอขยายเวลา"))</f>
        <v/>
      </c>
      <c r="L27" s="35"/>
    </row>
    <row r="28" customFormat="false" ht="15" hidden="false" customHeight="false" outlineLevel="0" collapsed="false">
      <c r="A28" s="106" t="str">
        <f aca="false">IF(C28="","",COUNTA(C$8:C28))</f>
        <v/>
      </c>
      <c r="B28" s="27"/>
      <c r="C28" s="35"/>
      <c r="D28" s="22"/>
      <c r="E28" s="24"/>
      <c r="F28" s="24"/>
      <c r="G28" s="22"/>
      <c r="H28" s="27"/>
      <c r="I28" s="24"/>
      <c r="J28" s="24"/>
      <c r="K28" s="106" t="str">
        <f aca="false">IF(OR(C28="",E28=""),"",IF(E28="ผู้รับจ้าง / Contractor","ไม่มีสิทธิ์ (ผู้รับจ้างรับผิดชอบ)","มีสิทธิ์ขอขยายเวลา"))</f>
        <v/>
      </c>
      <c r="L28" s="35"/>
    </row>
    <row r="29" customFormat="false" ht="15" hidden="false" customHeight="false" outlineLevel="0" collapsed="false">
      <c r="A29" s="106" t="str">
        <f aca="false">IF(C29="","",COUNTA(C$8:C29))</f>
        <v/>
      </c>
      <c r="B29" s="27"/>
      <c r="C29" s="35"/>
      <c r="D29" s="22"/>
      <c r="E29" s="24"/>
      <c r="F29" s="24"/>
      <c r="G29" s="22"/>
      <c r="H29" s="27"/>
      <c r="I29" s="24"/>
      <c r="J29" s="24"/>
      <c r="K29" s="106" t="str">
        <f aca="false">IF(OR(C29="",E29=""),"",IF(E29="ผู้รับจ้าง / Contractor","ไม่มีสิทธิ์ (ผู้รับจ้างรับผิดชอบ)","มีสิทธิ์ขอขยายเวลา"))</f>
        <v/>
      </c>
      <c r="L29" s="35"/>
    </row>
    <row r="30" customFormat="false" ht="15" hidden="false" customHeight="false" outlineLevel="0" collapsed="false">
      <c r="A30" s="106" t="str">
        <f aca="false">IF(C30="","",COUNTA(C$8:C30))</f>
        <v/>
      </c>
      <c r="B30" s="27"/>
      <c r="C30" s="35"/>
      <c r="D30" s="22"/>
      <c r="E30" s="24"/>
      <c r="F30" s="24"/>
      <c r="G30" s="22"/>
      <c r="H30" s="27"/>
      <c r="I30" s="24"/>
      <c r="J30" s="24"/>
      <c r="K30" s="106" t="str">
        <f aca="false">IF(OR(C30="",E30=""),"",IF(E30="ผู้รับจ้าง / Contractor","ไม่มีสิทธิ์ (ผู้รับจ้างรับผิดชอบ)","มีสิทธิ์ขอขยายเวลา"))</f>
        <v/>
      </c>
      <c r="L30" s="35"/>
    </row>
    <row r="31" customFormat="false" ht="15" hidden="false" customHeight="false" outlineLevel="0" collapsed="false">
      <c r="A31" s="106" t="str">
        <f aca="false">IF(C31="","",COUNTA(C$8:C31))</f>
        <v/>
      </c>
      <c r="B31" s="27"/>
      <c r="C31" s="35"/>
      <c r="D31" s="22"/>
      <c r="E31" s="24"/>
      <c r="F31" s="24"/>
      <c r="G31" s="22"/>
      <c r="H31" s="27"/>
      <c r="I31" s="24"/>
      <c r="J31" s="24"/>
      <c r="K31" s="106" t="str">
        <f aca="false">IF(OR(C31="",E31=""),"",IF(E31="ผู้รับจ้าง / Contractor","ไม่มีสิทธิ์ (ผู้รับจ้างรับผิดชอบ)","มีสิทธิ์ขอขยายเวลา"))</f>
        <v/>
      </c>
      <c r="L31" s="35"/>
    </row>
    <row r="32" customFormat="false" ht="15" hidden="false" customHeight="false" outlineLevel="0" collapsed="false">
      <c r="A32" s="106" t="str">
        <f aca="false">IF(C32="","",COUNTA(C$8:C32))</f>
        <v/>
      </c>
      <c r="B32" s="27"/>
      <c r="C32" s="35"/>
      <c r="D32" s="22"/>
      <c r="E32" s="24"/>
      <c r="F32" s="24"/>
      <c r="G32" s="22"/>
      <c r="H32" s="27"/>
      <c r="I32" s="24"/>
      <c r="J32" s="24"/>
      <c r="K32" s="106" t="str">
        <f aca="false">IF(OR(C32="",E32=""),"",IF(E32="ผู้รับจ้าง / Contractor","ไม่มีสิทธิ์ (ผู้รับจ้างรับผิดชอบ)","มีสิทธิ์ขอขยายเวลา"))</f>
        <v/>
      </c>
      <c r="L32" s="35"/>
    </row>
    <row r="33" customFormat="false" ht="15" hidden="false" customHeight="false" outlineLevel="0" collapsed="false">
      <c r="A33" s="106" t="str">
        <f aca="false">IF(C33="","",COUNTA(C$8:C33))</f>
        <v/>
      </c>
      <c r="B33" s="27"/>
      <c r="C33" s="35"/>
      <c r="D33" s="22"/>
      <c r="E33" s="24"/>
      <c r="F33" s="24"/>
      <c r="G33" s="22"/>
      <c r="H33" s="27"/>
      <c r="I33" s="24"/>
      <c r="J33" s="24"/>
      <c r="K33" s="106" t="str">
        <f aca="false">IF(OR(C33="",E33=""),"",IF(E33="ผู้รับจ้าง / Contractor","ไม่มีสิทธิ์ (ผู้รับจ้างรับผิดชอบ)","มีสิทธิ์ขอขยายเวลา"))</f>
        <v/>
      </c>
      <c r="L33" s="35"/>
    </row>
    <row r="34" customFormat="false" ht="15" hidden="false" customHeight="false" outlineLevel="0" collapsed="false">
      <c r="A34" s="106" t="str">
        <f aca="false">IF(C34="","",COUNTA(C$8:C34))</f>
        <v/>
      </c>
      <c r="B34" s="27"/>
      <c r="C34" s="35"/>
      <c r="D34" s="22"/>
      <c r="E34" s="24"/>
      <c r="F34" s="24"/>
      <c r="G34" s="22"/>
      <c r="H34" s="27"/>
      <c r="I34" s="24"/>
      <c r="J34" s="24"/>
      <c r="K34" s="106" t="str">
        <f aca="false">IF(OR(C34="",E34=""),"",IF(E34="ผู้รับจ้าง / Contractor","ไม่มีสิทธิ์ (ผู้รับจ้างรับผิดชอบ)","มีสิทธิ์ขอขยายเวลา"))</f>
        <v/>
      </c>
      <c r="L34" s="35"/>
    </row>
    <row r="35" customFormat="false" ht="15" hidden="false" customHeight="false" outlineLevel="0" collapsed="false">
      <c r="A35" s="106" t="str">
        <f aca="false">IF(C35="","",COUNTA(C$8:C35))</f>
        <v/>
      </c>
      <c r="B35" s="27"/>
      <c r="C35" s="35"/>
      <c r="D35" s="22"/>
      <c r="E35" s="24"/>
      <c r="F35" s="24"/>
      <c r="G35" s="22"/>
      <c r="H35" s="27"/>
      <c r="I35" s="24"/>
      <c r="J35" s="24"/>
      <c r="K35" s="106" t="str">
        <f aca="false">IF(OR(C35="",E35=""),"",IF(E35="ผู้รับจ้าง / Contractor","ไม่มีสิทธิ์ (ผู้รับจ้างรับผิดชอบ)","มีสิทธิ์ขอขยายเวลา"))</f>
        <v/>
      </c>
      <c r="L35" s="35"/>
    </row>
    <row r="36" customFormat="false" ht="15" hidden="false" customHeight="false" outlineLevel="0" collapsed="false">
      <c r="A36" s="106" t="str">
        <f aca="false">IF(C36="","",COUNTA(C$8:C36))</f>
        <v/>
      </c>
      <c r="B36" s="27"/>
      <c r="C36" s="35"/>
      <c r="D36" s="22"/>
      <c r="E36" s="24"/>
      <c r="F36" s="24"/>
      <c r="G36" s="22"/>
      <c r="H36" s="27"/>
      <c r="I36" s="24"/>
      <c r="J36" s="24"/>
      <c r="K36" s="106" t="str">
        <f aca="false">IF(OR(C36="",E36=""),"",IF(E36="ผู้รับจ้าง / Contractor","ไม่มีสิทธิ์ (ผู้รับจ้างรับผิดชอบ)","มีสิทธิ์ขอขยายเวลา"))</f>
        <v/>
      </c>
      <c r="L36" s="35"/>
    </row>
    <row r="37" customFormat="false" ht="15" hidden="false" customHeight="false" outlineLevel="0" collapsed="false">
      <c r="A37" s="106" t="str">
        <f aca="false">IF(C37="","",COUNTA(C$8:C37))</f>
        <v/>
      </c>
      <c r="B37" s="27"/>
      <c r="C37" s="35"/>
      <c r="D37" s="22"/>
      <c r="E37" s="24"/>
      <c r="F37" s="24"/>
      <c r="G37" s="22"/>
      <c r="H37" s="27"/>
      <c r="I37" s="24"/>
      <c r="J37" s="24"/>
      <c r="K37" s="106" t="str">
        <f aca="false">IF(OR(C37="",E37=""),"",IF(E37="ผู้รับจ้าง / Contractor","ไม่มีสิทธิ์ (ผู้รับจ้างรับผิดชอบ)","มีสิทธิ์ขอขยายเวลา"))</f>
        <v/>
      </c>
      <c r="L37" s="35"/>
    </row>
    <row r="38" customFormat="false" ht="15" hidden="false" customHeight="false" outlineLevel="0" collapsed="false">
      <c r="A38" s="106" t="str">
        <f aca="false">IF(C38="","",COUNTA(C$8:C38))</f>
        <v/>
      </c>
      <c r="B38" s="27"/>
      <c r="C38" s="35"/>
      <c r="D38" s="22"/>
      <c r="E38" s="24"/>
      <c r="F38" s="24"/>
      <c r="G38" s="22"/>
      <c r="H38" s="27"/>
      <c r="I38" s="24"/>
      <c r="J38" s="24"/>
      <c r="K38" s="106" t="str">
        <f aca="false">IF(OR(C38="",E38=""),"",IF(E38="ผู้รับจ้าง / Contractor","ไม่มีสิทธิ์ (ผู้รับจ้างรับผิดชอบ)","มีสิทธิ์ขอขยายเวลา"))</f>
        <v/>
      </c>
      <c r="L38" s="35"/>
    </row>
    <row r="39" customFormat="false" ht="15" hidden="false" customHeight="false" outlineLevel="0" collapsed="false">
      <c r="A39" s="106" t="str">
        <f aca="false">IF(C39="","",COUNTA(C$8:C39))</f>
        <v/>
      </c>
      <c r="B39" s="27"/>
      <c r="C39" s="35"/>
      <c r="D39" s="22"/>
      <c r="E39" s="24"/>
      <c r="F39" s="24"/>
      <c r="G39" s="22"/>
      <c r="H39" s="27"/>
      <c r="I39" s="24"/>
      <c r="J39" s="24"/>
      <c r="K39" s="106" t="str">
        <f aca="false">IF(OR(C39="",E39=""),"",IF(E39="ผู้รับจ้าง / Contractor","ไม่มีสิทธิ์ (ผู้รับจ้างรับผิดชอบ)","มีสิทธิ์ขอขยายเวลา"))</f>
        <v/>
      </c>
      <c r="L39" s="35"/>
    </row>
    <row r="40" customFormat="false" ht="15" hidden="false" customHeight="false" outlineLevel="0" collapsed="false">
      <c r="A40" s="106" t="str">
        <f aca="false">IF(C40="","",COUNTA(C$8:C40))</f>
        <v/>
      </c>
      <c r="B40" s="27"/>
      <c r="C40" s="35"/>
      <c r="D40" s="22"/>
      <c r="E40" s="24"/>
      <c r="F40" s="24"/>
      <c r="G40" s="22"/>
      <c r="H40" s="27"/>
      <c r="I40" s="24"/>
      <c r="J40" s="24"/>
      <c r="K40" s="106" t="str">
        <f aca="false">IF(OR(C40="",E40=""),"",IF(E40="ผู้รับจ้าง / Contractor","ไม่มีสิทธิ์ (ผู้รับจ้างรับผิดชอบ)","มีสิทธิ์ขอขยายเวลา"))</f>
        <v/>
      </c>
      <c r="L40" s="35"/>
    </row>
    <row r="41" customFormat="false" ht="15" hidden="false" customHeight="false" outlineLevel="0" collapsed="false">
      <c r="A41" s="106" t="str">
        <f aca="false">IF(C41="","",COUNTA(C$8:C41))</f>
        <v/>
      </c>
      <c r="B41" s="27"/>
      <c r="C41" s="35"/>
      <c r="D41" s="22"/>
      <c r="E41" s="24"/>
      <c r="F41" s="24"/>
      <c r="G41" s="22"/>
      <c r="H41" s="27"/>
      <c r="I41" s="24"/>
      <c r="J41" s="24"/>
      <c r="K41" s="106" t="str">
        <f aca="false">IF(OR(C41="",E41=""),"",IF(E41="ผู้รับจ้าง / Contractor","ไม่มีสิทธิ์ (ผู้รับจ้างรับผิดชอบ)","มีสิทธิ์ขอขยายเวลา"))</f>
        <v/>
      </c>
      <c r="L41" s="35"/>
    </row>
    <row r="42" customFormat="false" ht="15" hidden="false" customHeight="false" outlineLevel="0" collapsed="false">
      <c r="A42" s="106" t="str">
        <f aca="false">IF(C42="","",COUNTA(C$8:C42))</f>
        <v/>
      </c>
      <c r="B42" s="27"/>
      <c r="C42" s="35"/>
      <c r="D42" s="22"/>
      <c r="E42" s="24"/>
      <c r="F42" s="24"/>
      <c r="G42" s="22"/>
      <c r="H42" s="27"/>
      <c r="I42" s="24"/>
      <c r="J42" s="24"/>
      <c r="K42" s="106" t="str">
        <f aca="false">IF(OR(C42="",E42=""),"",IF(E42="ผู้รับจ้าง / Contractor","ไม่มีสิทธิ์ (ผู้รับจ้างรับผิดชอบ)","มีสิทธิ์ขอขยายเวลา"))</f>
        <v/>
      </c>
      <c r="L42" s="35"/>
    </row>
    <row r="43" customFormat="false" ht="15" hidden="false" customHeight="false" outlineLevel="0" collapsed="false">
      <c r="A43" s="106" t="str">
        <f aca="false">IF(C43="","",COUNTA(C$8:C43))</f>
        <v/>
      </c>
      <c r="B43" s="27"/>
      <c r="C43" s="35"/>
      <c r="D43" s="22"/>
      <c r="E43" s="24"/>
      <c r="F43" s="24"/>
      <c r="G43" s="22"/>
      <c r="H43" s="27"/>
      <c r="I43" s="24"/>
      <c r="J43" s="24"/>
      <c r="K43" s="106" t="str">
        <f aca="false">IF(OR(C43="",E43=""),"",IF(E43="ผู้รับจ้าง / Contractor","ไม่มีสิทธิ์ (ผู้รับจ้างรับผิดชอบ)","มีสิทธิ์ขอขยายเวลา"))</f>
        <v/>
      </c>
      <c r="L43" s="35"/>
    </row>
    <row r="44" customFormat="false" ht="15" hidden="false" customHeight="false" outlineLevel="0" collapsed="false">
      <c r="A44" s="106" t="str">
        <f aca="false">IF(C44="","",COUNTA(C$8:C44))</f>
        <v/>
      </c>
      <c r="B44" s="27"/>
      <c r="C44" s="35"/>
      <c r="D44" s="22"/>
      <c r="E44" s="24"/>
      <c r="F44" s="24"/>
      <c r="G44" s="22"/>
      <c r="H44" s="27"/>
      <c r="I44" s="24"/>
      <c r="J44" s="24"/>
      <c r="K44" s="106" t="str">
        <f aca="false">IF(OR(C44="",E44=""),"",IF(E44="ผู้รับจ้าง / Contractor","ไม่มีสิทธิ์ (ผู้รับจ้างรับผิดชอบ)","มีสิทธิ์ขอขยายเวลา"))</f>
        <v/>
      </c>
      <c r="L44" s="35"/>
    </row>
    <row r="45" customFormat="false" ht="15" hidden="false" customHeight="false" outlineLevel="0" collapsed="false">
      <c r="A45" s="106" t="str">
        <f aca="false">IF(C45="","",COUNTA(C$8:C45))</f>
        <v/>
      </c>
      <c r="B45" s="27"/>
      <c r="C45" s="35"/>
      <c r="D45" s="22"/>
      <c r="E45" s="24"/>
      <c r="F45" s="24"/>
      <c r="G45" s="22"/>
      <c r="H45" s="27"/>
      <c r="I45" s="24"/>
      <c r="J45" s="24"/>
      <c r="K45" s="106" t="str">
        <f aca="false">IF(OR(C45="",E45=""),"",IF(E45="ผู้รับจ้าง / Contractor","ไม่มีสิทธิ์ (ผู้รับจ้างรับผิดชอบ)","มีสิทธิ์ขอขยายเวลา"))</f>
        <v/>
      </c>
      <c r="L45" s="35"/>
    </row>
    <row r="46" customFormat="false" ht="15" hidden="false" customHeight="false" outlineLevel="0" collapsed="false">
      <c r="A46" s="106" t="str">
        <f aca="false">IF(C46="","",COUNTA(C$8:C46))</f>
        <v/>
      </c>
      <c r="B46" s="27"/>
      <c r="C46" s="35"/>
      <c r="D46" s="22"/>
      <c r="E46" s="24"/>
      <c r="F46" s="24"/>
      <c r="G46" s="22"/>
      <c r="H46" s="27"/>
      <c r="I46" s="24"/>
      <c r="J46" s="24"/>
      <c r="K46" s="106" t="str">
        <f aca="false">IF(OR(C46="",E46=""),"",IF(E46="ผู้รับจ้าง / Contractor","ไม่มีสิทธิ์ (ผู้รับจ้างรับผิดชอบ)","มีสิทธิ์ขอขยายเวลา"))</f>
        <v/>
      </c>
      <c r="L46" s="35"/>
    </row>
    <row r="47" customFormat="false" ht="15" hidden="false" customHeight="false" outlineLevel="0" collapsed="false">
      <c r="A47" s="106" t="str">
        <f aca="false">IF(C47="","",COUNTA(C$8:C47))</f>
        <v/>
      </c>
      <c r="B47" s="27"/>
      <c r="C47" s="35"/>
      <c r="D47" s="22"/>
      <c r="E47" s="24"/>
      <c r="F47" s="24"/>
      <c r="G47" s="22"/>
      <c r="H47" s="27"/>
      <c r="I47" s="24"/>
      <c r="J47" s="24"/>
      <c r="K47" s="106" t="str">
        <f aca="false">IF(OR(C47="",E47=""),"",IF(E47="ผู้รับจ้าง / Contractor","ไม่มีสิทธิ์ (ผู้รับจ้างรับผิดชอบ)","มีสิทธิ์ขอขยายเวลา"))</f>
        <v/>
      </c>
      <c r="L47" s="35"/>
    </row>
    <row r="48" customFormat="false" ht="15" hidden="false" customHeight="false" outlineLevel="0" collapsed="false">
      <c r="A48" s="106" t="str">
        <f aca="false">IF(C48="","",COUNTA(C$8:C48))</f>
        <v/>
      </c>
      <c r="B48" s="27"/>
      <c r="C48" s="35"/>
      <c r="D48" s="22"/>
      <c r="E48" s="24"/>
      <c r="F48" s="24"/>
      <c r="G48" s="22"/>
      <c r="H48" s="27"/>
      <c r="I48" s="24"/>
      <c r="J48" s="24"/>
      <c r="K48" s="106" t="str">
        <f aca="false">IF(OR(C48="",E48=""),"",IF(E48="ผู้รับจ้าง / Contractor","ไม่มีสิทธิ์ (ผู้รับจ้างรับผิดชอบ)","มีสิทธิ์ขอขยายเวลา"))</f>
        <v/>
      </c>
      <c r="L48" s="35"/>
    </row>
    <row r="49" customFormat="false" ht="15" hidden="false" customHeight="false" outlineLevel="0" collapsed="false">
      <c r="A49" s="106" t="str">
        <f aca="false">IF(C49="","",COUNTA(C$8:C49))</f>
        <v/>
      </c>
      <c r="B49" s="27"/>
      <c r="C49" s="35"/>
      <c r="D49" s="22"/>
      <c r="E49" s="24"/>
      <c r="F49" s="24"/>
      <c r="G49" s="22"/>
      <c r="H49" s="27"/>
      <c r="I49" s="24"/>
      <c r="J49" s="24"/>
      <c r="K49" s="106" t="str">
        <f aca="false">IF(OR(C49="",E49=""),"",IF(E49="ผู้รับจ้าง / Contractor","ไม่มีสิทธิ์ (ผู้รับจ้างรับผิดชอบ)","มีสิทธิ์ขอขยายเวลา"))</f>
        <v/>
      </c>
      <c r="L49" s="35"/>
    </row>
    <row r="50" customFormat="false" ht="15" hidden="false" customHeight="false" outlineLevel="0" collapsed="false">
      <c r="A50" s="106" t="str">
        <f aca="false">IF(C50="","",COUNTA(C$8:C50))</f>
        <v/>
      </c>
      <c r="B50" s="27"/>
      <c r="C50" s="35"/>
      <c r="D50" s="22"/>
      <c r="E50" s="24"/>
      <c r="F50" s="24"/>
      <c r="G50" s="22"/>
      <c r="H50" s="27"/>
      <c r="I50" s="24"/>
      <c r="J50" s="24"/>
      <c r="K50" s="106" t="str">
        <f aca="false">IF(OR(C50="",E50=""),"",IF(E50="ผู้รับจ้าง / Contractor","ไม่มีสิทธิ์ (ผู้รับจ้างรับผิดชอบ)","มีสิทธิ์ขอขยายเวลา"))</f>
        <v/>
      </c>
      <c r="L50" s="35"/>
    </row>
    <row r="51" customFormat="false" ht="15" hidden="false" customHeight="false" outlineLevel="0" collapsed="false">
      <c r="A51" s="106" t="str">
        <f aca="false">IF(C51="","",COUNTA(C$8:C51))</f>
        <v/>
      </c>
      <c r="B51" s="27"/>
      <c r="C51" s="35"/>
      <c r="D51" s="22"/>
      <c r="E51" s="24"/>
      <c r="F51" s="24"/>
      <c r="G51" s="22"/>
      <c r="H51" s="27"/>
      <c r="I51" s="24"/>
      <c r="J51" s="24"/>
      <c r="K51" s="106" t="str">
        <f aca="false">IF(OR(C51="",E51=""),"",IF(E51="ผู้รับจ้าง / Contractor","ไม่มีสิทธิ์ (ผู้รับจ้างรับผิดชอบ)","มีสิทธิ์ขอขยายเวลา"))</f>
        <v/>
      </c>
      <c r="L51" s="35"/>
    </row>
    <row r="52" customFormat="false" ht="15" hidden="false" customHeight="false" outlineLevel="0" collapsed="false">
      <c r="A52" s="106" t="str">
        <f aca="false">IF(C52="","",COUNTA(C$8:C52))</f>
        <v/>
      </c>
      <c r="B52" s="27"/>
      <c r="C52" s="35"/>
      <c r="D52" s="22"/>
      <c r="E52" s="24"/>
      <c r="F52" s="24"/>
      <c r="G52" s="22"/>
      <c r="H52" s="27"/>
      <c r="I52" s="24"/>
      <c r="J52" s="24"/>
      <c r="K52" s="106" t="str">
        <f aca="false">IF(OR(C52="",E52=""),"",IF(E52="ผู้รับจ้าง / Contractor","ไม่มีสิทธิ์ (ผู้รับจ้างรับผิดชอบ)","มีสิทธิ์ขอขยายเวลา"))</f>
        <v/>
      </c>
      <c r="L52" s="35"/>
    </row>
    <row r="53" customFormat="false" ht="15" hidden="false" customHeight="false" outlineLevel="0" collapsed="false">
      <c r="A53" s="106" t="str">
        <f aca="false">IF(C53="","",COUNTA(C$8:C53))</f>
        <v/>
      </c>
      <c r="B53" s="27"/>
      <c r="C53" s="35"/>
      <c r="D53" s="22"/>
      <c r="E53" s="24"/>
      <c r="F53" s="24"/>
      <c r="G53" s="22"/>
      <c r="H53" s="27"/>
      <c r="I53" s="24"/>
      <c r="J53" s="24"/>
      <c r="K53" s="106" t="str">
        <f aca="false">IF(OR(C53="",E53=""),"",IF(E53="ผู้รับจ้าง / Contractor","ไม่มีสิทธิ์ (ผู้รับจ้างรับผิดชอบ)","มีสิทธิ์ขอขยายเวลา"))</f>
        <v/>
      </c>
      <c r="L53" s="35"/>
    </row>
    <row r="54" customFormat="false" ht="15" hidden="false" customHeight="false" outlineLevel="0" collapsed="false">
      <c r="A54" s="106" t="str">
        <f aca="false">IF(C54="","",COUNTA(C$8:C54))</f>
        <v/>
      </c>
      <c r="B54" s="27"/>
      <c r="C54" s="35"/>
      <c r="D54" s="22"/>
      <c r="E54" s="24"/>
      <c r="F54" s="24"/>
      <c r="G54" s="22"/>
      <c r="H54" s="27"/>
      <c r="I54" s="24"/>
      <c r="J54" s="24"/>
      <c r="K54" s="106" t="str">
        <f aca="false">IF(OR(C54="",E54=""),"",IF(E54="ผู้รับจ้าง / Contractor","ไม่มีสิทธิ์ (ผู้รับจ้างรับผิดชอบ)","มีสิทธิ์ขอขยายเวลา"))</f>
        <v/>
      </c>
      <c r="L54" s="35"/>
    </row>
    <row r="55" customFormat="false" ht="15" hidden="false" customHeight="false" outlineLevel="0" collapsed="false">
      <c r="A55" s="106" t="str">
        <f aca="false">IF(C55="","",COUNTA(C$8:C55))</f>
        <v/>
      </c>
      <c r="B55" s="27"/>
      <c r="C55" s="35"/>
      <c r="D55" s="22"/>
      <c r="E55" s="24"/>
      <c r="F55" s="24"/>
      <c r="G55" s="22"/>
      <c r="H55" s="27"/>
      <c r="I55" s="24"/>
      <c r="J55" s="24"/>
      <c r="K55" s="106" t="str">
        <f aca="false">IF(OR(C55="",E55=""),"",IF(E55="ผู้รับจ้าง / Contractor","ไม่มีสิทธิ์ (ผู้รับจ้างรับผิดชอบ)","มีสิทธิ์ขอขยายเวลา"))</f>
        <v/>
      </c>
      <c r="L55" s="35"/>
    </row>
    <row r="56" customFormat="false" ht="15" hidden="false" customHeight="false" outlineLevel="0" collapsed="false">
      <c r="A56" s="106" t="str">
        <f aca="false">IF(C56="","",COUNTA(C$8:C56))</f>
        <v/>
      </c>
      <c r="B56" s="27"/>
      <c r="C56" s="35"/>
      <c r="D56" s="22"/>
      <c r="E56" s="24"/>
      <c r="F56" s="24"/>
      <c r="G56" s="22"/>
      <c r="H56" s="27"/>
      <c r="I56" s="24"/>
      <c r="J56" s="24"/>
      <c r="K56" s="106" t="str">
        <f aca="false">IF(OR(C56="",E56=""),"",IF(E56="ผู้รับจ้าง / Contractor","ไม่มีสิทธิ์ (ผู้รับจ้างรับผิดชอบ)","มีสิทธิ์ขอขยายเวลา"))</f>
        <v/>
      </c>
      <c r="L56" s="35"/>
    </row>
    <row r="57" customFormat="false" ht="15" hidden="false" customHeight="false" outlineLevel="0" collapsed="false">
      <c r="A57" s="106" t="str">
        <f aca="false">IF(C57="","",COUNTA(C$8:C57))</f>
        <v/>
      </c>
      <c r="B57" s="27"/>
      <c r="C57" s="35"/>
      <c r="D57" s="22"/>
      <c r="E57" s="24"/>
      <c r="F57" s="24"/>
      <c r="G57" s="22"/>
      <c r="H57" s="27"/>
      <c r="I57" s="24"/>
      <c r="J57" s="24"/>
      <c r="K57" s="106" t="str">
        <f aca="false">IF(OR(C57="",E57=""),"",IF(E57="ผู้รับจ้าง / Contractor","ไม่มีสิทธิ์ (ผู้รับจ้างรับผิดชอบ)","มีสิทธิ์ขอขยายเวลา"))</f>
        <v/>
      </c>
      <c r="L57" s="35"/>
    </row>
  </sheetData>
  <sheetProtection sheet="true" formatCells="false" formatColumns="false" formatRows="false"/>
  <conditionalFormatting sqref="K8:K57">
    <cfRule type="expression" priority="2" aboveAverage="0" equalAverage="0" bottom="0" percent="0" rank="0" text="" dxfId="15">
      <formula>LEFT(K8,3)="ไม่ม"</formula>
    </cfRule>
  </conditionalFormatting>
  <conditionalFormatting sqref="I8:I57">
    <cfRule type="expression" priority="3" aboveAverage="0" equalAverage="0" bottom="0" percent="0" rank="0" text="" dxfId="5">
      <formula>I8="รอพิจารณา / Pending"</formula>
    </cfRule>
  </conditionalFormatting>
  <dataValidations count="3">
    <dataValidation allowBlank="false" errorStyle="stop" operator="between" showDropDown="false" showErrorMessage="false" showInputMessage="false" sqref="E8:E57" type="list">
      <formula1>"ผู้ว่าจ้าง / Employer,ผู้รับจ้าง / Contractor,เหตุสุดวิสัย / Force Majeure,อื่นๆ / Other"</formula1>
      <formula2>0</formula2>
    </dataValidation>
    <dataValidation allowBlank="false" errorStyle="stop" operator="between" showDropDown="false" showErrorMessage="false" showInputMessage="false" sqref="I8:I57" type="list">
      <formula1>"รอพิจารณา / Pending,อนุมัติ / Approved,อนุมัติบางส่วน / Partial,ไม่อนุมัติ / Rejected"</formula1>
      <formula2>0</formula2>
    </dataValidation>
    <dataValidation allowBlank="false" error="กรอกจำนวนวันเป็นเลขจำนวนเต็ม" errorStyle="stop" operator="greaterThanOrEqual" showDropDown="false" showErrorMessage="false" showInputMessage="false" sqref="F8:F57 J8:J57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2026-09-27T15:58:46Z</dcterms:created>
  <dc:creator>openpyxl</dc:creator>
  <dc:description/>
  <dc:language>en-US</dc:language>
  <cp:lastModifiedBy/>
  <dcterms:modified xsi:type="dcterms:W3CDTF">2026-10-18T21:10:50Z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