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drawings/drawing5.xml" ContentType="application/vnd.openxmlformats-officedocument.drawing+xml"/>
  <Override PartName="/xl/drawings/vmlDrawing2.vml" ContentType="application/vnd.openxmlformats-officedocument.vmlDrawing"/>
  <Override PartName="/xl/comments1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คู่มือ Guide" sheetId="1" state="visible" r:id="rId3"/>
    <sheet name="ตั้งค่า Setup" sheetId="2" state="visible" r:id="rId4"/>
    <sheet name="Dashboard" sheetId="3" state="visible" r:id="rId5"/>
    <sheet name="สรุปงานส่วน Summary" sheetId="4" state="visible" r:id="rId6"/>
    <sheet name="รายงาน Report" sheetId="5" state="visible" r:id="rId7"/>
    <sheet name="งวดงาน Installments" sheetId="6" state="visible" r:id="rId8"/>
    <sheet name="บันทึกสัปดาห์ Weekly Log" sheetId="7" state="visible" r:id="rId9"/>
    <sheet name="รายงานกรรมการ Weekly" sheetId="8" state="visible" r:id="rId10"/>
    <sheet name="งานเพิ่มลด VO" sheetId="9" state="visible" r:id="rId11"/>
    <sheet name="เงินงวด Payment" sheetId="10" state="visible" r:id="rId12"/>
    <sheet name="ขออนุมัติวัสดุ Submittal" sheetId="11" state="visible" r:id="rId13"/>
    <sheet name="แผนงาน Schedule" sheetId="12" state="visible" r:id="rId14"/>
    <sheet name="S-Curve" sheetId="13" state="visible" r:id="rId15"/>
    <sheet name="ขยายเวลา EOT" sheetId="14" state="visible" r:id="rId16"/>
  </sheets>
  <definedNames>
    <definedName function="false" hidden="true" localSheetId="11" name="_xlnm._FilterDatabase" vbProcedure="false">'แผนงาน Schedule'!$A$6:$Z$156</definedName>
    <definedName function="false" hidden="false" localSheetId="4" name="_xlnm.Print_Area" vbProcedure="false">'รายงาน Report'!$A$1:$K$77</definedName>
    <definedName function="false" hidden="false" localSheetId="7" name="_xlnm.Print_Area" vbProcedure="false">'รายงานกรรมการ Weekly'!$A$1:$K$129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FreeSans"/>
            <family val="2"/>
          </rPr>
          <t xml:space="preserve">ค่าตัวอย่าง – ใส่ตามสัญญาจริง 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FreeSans"/>
            <family val="2"/>
            <charset val="1"/>
          </rPr>
          <t xml:space="preserve">ถ้าไม่มีเงินล่วงหน้า ใส่ </t>
        </r>
        <r>
          <rPr>
            <sz val="10"/>
            <rFont val="Arial"/>
            <family val="2"/>
            <charset val="1"/>
          </rPr>
          <t xml:space="preserve">0%)</t>
        </r>
      </text>
    </comment>
    <comment ref="D7" authorId="0">
      <text>
        <r>
          <rPr>
            <sz val="10"/>
            <rFont val="FreeSans"/>
            <family val="2"/>
          </rPr>
          <t xml:space="preserve">ค่าตัวอย่าง – ใส่ตามสัญญาจริง 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FreeSans"/>
            <family val="2"/>
            <charset val="1"/>
          </rPr>
          <t xml:space="preserve">ถ้าใช้หนังสือค้ำประกันแทน ใส่ </t>
        </r>
        <r>
          <rPr>
            <sz val="10"/>
            <rFont val="Arial"/>
            <family val="2"/>
            <charset val="1"/>
          </rPr>
          <t xml:space="preserve">0%)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FreeSans"/>
            <family val="2"/>
          </rPr>
          <t xml:space="preserve">ข้อมูลทั้งหมดในไฟล์นี้เป็นตัวอย่าง </t>
        </r>
        <r>
          <rPr>
            <sz val="10"/>
            <rFont val="Arial"/>
            <family val="2"/>
            <charset val="1"/>
          </rPr>
          <t xml:space="preserve">(EXAMPLE) </t>
        </r>
        <r>
          <rPr>
            <sz val="10"/>
            <rFont val="FreeSans"/>
            <family val="2"/>
            <charset val="1"/>
          </rPr>
          <t xml:space="preserve">แสดงโครงการ </t>
        </r>
        <r>
          <rPr>
            <sz val="10"/>
            <rFont val="Arial"/>
            <family val="2"/>
            <charset val="1"/>
          </rPr>
          <t xml:space="preserve">6 </t>
        </r>
        <r>
          <rPr>
            <sz val="10"/>
            <rFont val="FreeSans"/>
            <family val="2"/>
            <charset val="1"/>
          </rPr>
          <t xml:space="preserve">งานส่วนที่ทำงานขนานกัน – ลบและแทนที่ด้วยข้อมูลจริง</t>
        </r>
      </text>
    </comment>
    <comment ref="P7" authorId="0">
      <text>
        <r>
          <rPr>
            <sz val="10"/>
            <rFont val="Arial"/>
            <family val="2"/>
          </rPr>
          <t xml:space="preserve">% </t>
        </r>
        <r>
          <rPr>
            <sz val="10"/>
            <rFont val="FreeSans"/>
            <family val="2"/>
            <charset val="1"/>
          </rPr>
          <t xml:space="preserve">ความคืบหน้าของรายการนี้เอง เช่น </t>
        </r>
        <r>
          <rPr>
            <sz val="10"/>
            <rFont val="Arial"/>
            <family val="2"/>
            <charset val="1"/>
          </rPr>
          <t xml:space="preserve">60%</t>
        </r>
      </text>
    </comment>
    <comment ref="P157" authorId="0">
      <text>
        <r>
          <rPr>
            <sz val="10"/>
            <rFont val="FreeSans"/>
            <family val="2"/>
          </rPr>
          <t xml:space="preserve">ผลงานจริงรวมของโครงการ – นำค่านี้ไปกรอกในชีต </t>
        </r>
        <r>
          <rPr>
            <sz val="10"/>
            <rFont val="Arial"/>
            <family val="2"/>
            <charset val="1"/>
          </rPr>
          <t xml:space="preserve">S-Curve </t>
        </r>
        <r>
          <rPr>
            <sz val="10"/>
            <rFont val="FreeSans"/>
            <family val="2"/>
            <charset val="1"/>
          </rPr>
          <t xml:space="preserve">คอลัมน์ </t>
        </r>
        <r>
          <rPr>
            <sz val="10"/>
            <rFont val="Arial"/>
            <family val="2"/>
            <charset val="1"/>
          </rPr>
          <t xml:space="preserve">Actual </t>
        </r>
        <r>
          <rPr>
            <sz val="10"/>
            <rFont val="FreeSans"/>
            <family val="2"/>
            <charset val="1"/>
          </rPr>
          <t xml:space="preserve">ของงวดปัจจุบัน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7" authorId="0">
      <text>
        <r>
          <rPr>
            <sz val="10"/>
            <rFont val="FreeSans"/>
            <family val="2"/>
          </rPr>
          <t xml:space="preserve">ค่า </t>
        </r>
        <r>
          <rPr>
            <sz val="10"/>
            <rFont val="Arial"/>
            <family val="2"/>
            <charset val="1"/>
          </rPr>
          <t xml:space="preserve">Actual, AC </t>
        </r>
        <r>
          <rPr>
            <sz val="10"/>
            <rFont val="FreeSans"/>
            <family val="2"/>
            <charset val="1"/>
          </rPr>
          <t xml:space="preserve">และเงินเบิกจ่ายในไฟล์นี้เป็นข้อมูลตัวอย่าง</t>
        </r>
      </text>
    </comment>
  </commentList>
</comments>
</file>

<file path=xl/sharedStrings.xml><?xml version="1.0" encoding="utf-8"?>
<sst xmlns="http://schemas.openxmlformats.org/spreadsheetml/2006/main" count="993" uniqueCount="834">
  <si>
    <r>
      <rPr>
        <b val="true"/>
        <sz val="16"/>
        <color rgb="FF1F3864"/>
        <rFont val="FreeSans"/>
        <family val="2"/>
      </rPr>
      <t xml:space="preserve">คู่มือการใช้งาน </t>
    </r>
    <r>
      <rPr>
        <b val="true"/>
        <sz val="16"/>
        <color rgb="FF1F3864"/>
        <rFont val="Tahoma"/>
        <family val="0"/>
        <charset val="1"/>
      </rPr>
      <t xml:space="preserve">/ User Guide — Project Control v3 (Multi Work-Package)</t>
    </r>
  </si>
  <si>
    <r>
      <rPr>
        <b val="true"/>
        <sz val="11"/>
        <color rgb="FFFFFFFF"/>
        <rFont val="Tahoma"/>
        <family val="0"/>
        <charset val="1"/>
      </rPr>
      <t xml:space="preserve">1. </t>
    </r>
    <r>
      <rPr>
        <b val="true"/>
        <sz val="11"/>
        <color rgb="FFFFFFFF"/>
        <rFont val="FreeSans"/>
        <family val="2"/>
      </rPr>
      <t xml:space="preserve">ภาพรวมไฟล์ </t>
    </r>
    <r>
      <rPr>
        <b val="true"/>
        <sz val="11"/>
        <color rgb="FFFFFFFF"/>
        <rFont val="Tahoma"/>
        <family val="0"/>
        <charset val="1"/>
      </rPr>
      <t xml:space="preserve">/ Workbook Overview</t>
    </r>
  </si>
  <si>
    <r>
      <rPr>
        <sz val="9"/>
        <rFont val="FreeSans"/>
        <family val="2"/>
      </rPr>
      <t xml:space="preserve">ไฟล์นี้ออกแบบสำหรับโครงการที่มีงานหลายส่วน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เช่น อาคาร รั้ว รางระบายน้ำ ถนน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</rPr>
      <t xml:space="preserve">ลาน ถมดิน โรงจอดรถ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</rPr>
      <t xml:space="preserve">ซึ่งหลายส่วนก่อสร้างพร้อมกันได้ ใช้ </t>
    </r>
    <r>
      <rPr>
        <sz val="9"/>
        <rFont val="Tahoma"/>
        <family val="0"/>
        <charset val="1"/>
      </rPr>
      <t xml:space="preserve">WBS 3 </t>
    </r>
    <r>
      <rPr>
        <sz val="9"/>
        <rFont val="FreeSans"/>
        <family val="2"/>
      </rPr>
      <t xml:space="preserve">ระดับในแผนงานชีตเดียว ทำให้ </t>
    </r>
    <r>
      <rPr>
        <sz val="9"/>
        <rFont val="Tahoma"/>
        <family val="0"/>
        <charset val="1"/>
      </rPr>
      <t xml:space="preserve">S-Curve, EVM, </t>
    </r>
    <r>
      <rPr>
        <sz val="9"/>
        <rFont val="FreeSans"/>
        <family val="2"/>
      </rPr>
      <t xml:space="preserve">ค่าปรับ และรายงานคำนวณจากฐานเดียวกันทั้งสัญญา และยังดูผลแยกรายงานส่วนได้</t>
    </r>
  </si>
  <si>
    <r>
      <rPr>
        <b val="true"/>
        <sz val="9"/>
        <color rgb="FFC00000"/>
        <rFont val="FreeSans"/>
        <family val="2"/>
      </rPr>
      <t xml:space="preserve">⚠ ข้อมูลทั้งหมดในไฟล์นี้เป็นข้อมูลตัวอย่าง </t>
    </r>
    <r>
      <rPr>
        <b val="true"/>
        <sz val="9"/>
        <color rgb="FFC00000"/>
        <rFont val="Tahoma"/>
        <family val="0"/>
        <charset val="1"/>
      </rPr>
      <t xml:space="preserve">(EXAMPLE) </t>
    </r>
    <r>
      <rPr>
        <b val="true"/>
        <sz val="9"/>
        <color rgb="FFC00000"/>
        <rFont val="FreeSans"/>
        <family val="2"/>
      </rPr>
      <t xml:space="preserve">เพื่อสาธิตการทำงาน – ดูวิธีล้างข้อมูลในหัวข้อ </t>
    </r>
    <r>
      <rPr>
        <b val="true"/>
        <sz val="9"/>
        <color rgb="FFC00000"/>
        <rFont val="Tahoma"/>
        <family val="0"/>
        <charset val="1"/>
      </rPr>
      <t xml:space="preserve">4</t>
    </r>
  </si>
  <si>
    <r>
      <rPr>
        <b val="true"/>
        <sz val="9"/>
        <color rgb="FF1F3864"/>
        <rFont val="FreeSans"/>
        <family val="2"/>
      </rPr>
      <t xml:space="preserve">ชีต </t>
    </r>
    <r>
      <rPr>
        <b val="true"/>
        <sz val="9"/>
        <color rgb="FF1F3864"/>
        <rFont val="Tahoma"/>
        <family val="0"/>
        <charset val="1"/>
      </rPr>
      <t xml:space="preserve">/ Sheet</t>
    </r>
  </si>
  <si>
    <r>
      <rPr>
        <b val="true"/>
        <sz val="9"/>
        <color rgb="FF1F3864"/>
        <rFont val="FreeSans"/>
        <family val="2"/>
      </rPr>
      <t xml:space="preserve">ใช้ทำอะไร </t>
    </r>
    <r>
      <rPr>
        <b val="true"/>
        <sz val="9"/>
        <color rgb="FF1F3864"/>
        <rFont val="Tahoma"/>
        <family val="0"/>
        <charset val="1"/>
      </rPr>
      <t xml:space="preserve">/ Purpose</t>
    </r>
  </si>
  <si>
    <r>
      <rPr>
        <b val="true"/>
        <sz val="9"/>
        <color rgb="FF1F3864"/>
        <rFont val="FreeSans"/>
        <family val="2"/>
      </rPr>
      <t xml:space="preserve">ต้องกรอกอะไร </t>
    </r>
    <r>
      <rPr>
        <b val="true"/>
        <sz val="9"/>
        <color rgb="FF1F3864"/>
        <rFont val="Tahoma"/>
        <family val="0"/>
        <charset val="1"/>
      </rPr>
      <t xml:space="preserve">/ What to fill</t>
    </r>
  </si>
  <si>
    <r>
      <rPr>
        <b val="true"/>
        <sz val="9"/>
        <rFont val="FreeSans"/>
        <family val="2"/>
      </rPr>
      <t xml:space="preserve">ตั้งค่า </t>
    </r>
    <r>
      <rPr>
        <b val="true"/>
        <sz val="9"/>
        <rFont val="Tahoma"/>
        <family val="0"/>
        <charset val="1"/>
      </rPr>
      <t xml:space="preserve">Setup</t>
    </r>
  </si>
  <si>
    <r>
      <rPr>
        <sz val="9"/>
        <rFont val="FreeSans"/>
        <family val="2"/>
      </rPr>
      <t xml:space="preserve">ข้อมูลสัญญา วันที่ตรวจวัด อัตราค่าปรับ รายชื่องานส่วน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ระดับ </t>
    </r>
    <r>
      <rPr>
        <sz val="9"/>
        <rFont val="Tahoma"/>
        <family val="0"/>
        <charset val="1"/>
      </rPr>
      <t xml:space="preserve">1) </t>
    </r>
    <r>
      <rPr>
        <sz val="9"/>
        <rFont val="FreeSans"/>
        <family val="2"/>
      </rPr>
      <t xml:space="preserve">และหมวดงาน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ระดับ </t>
    </r>
    <r>
      <rPr>
        <sz val="9"/>
        <rFont val="Tahoma"/>
        <family val="0"/>
        <charset val="1"/>
      </rPr>
      <t xml:space="preserve">2)</t>
    </r>
  </si>
  <si>
    <r>
      <rPr>
        <sz val="9"/>
        <rFont val="FreeSans"/>
        <family val="2"/>
      </rPr>
      <t xml:space="preserve">ช่องสีเหลืองทั้งหมด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ครั้งแรก</t>
    </r>
    <r>
      <rPr>
        <sz val="9"/>
        <rFont val="Tahoma"/>
        <family val="0"/>
        <charset val="1"/>
      </rPr>
      <t xml:space="preserve">) + Status Date </t>
    </r>
    <r>
      <rPr>
        <sz val="9"/>
        <rFont val="FreeSans"/>
        <family val="2"/>
      </rPr>
      <t xml:space="preserve">ทุกงวด</t>
    </r>
  </si>
  <si>
    <t xml:space="preserve">Dashboard</t>
  </si>
  <si>
    <r>
      <rPr>
        <sz val="9"/>
        <rFont val="FreeSans"/>
        <family val="2"/>
      </rPr>
      <t xml:space="preserve">ตัวชี้วัดรวมทั้งโครงการ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เวลา ต้นทุน ขยายเวลา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</rPr>
      <t xml:space="preserve">ค่าปรับ พร้อมกราฟ </t>
    </r>
    <r>
      <rPr>
        <sz val="9"/>
        <rFont val="Tahoma"/>
        <family val="0"/>
        <charset val="1"/>
      </rPr>
      <t xml:space="preserve">S-Curve, EVM </t>
    </r>
    <r>
      <rPr>
        <sz val="9"/>
        <rFont val="FreeSans"/>
        <family val="2"/>
      </rPr>
      <t xml:space="preserve">และกราฟแท่งรายงานส่วน</t>
    </r>
  </si>
  <si>
    <t xml:space="preserve">ไม่ต้องกรอก</t>
  </si>
  <si>
    <r>
      <rPr>
        <b val="true"/>
        <sz val="9"/>
        <rFont val="FreeSans"/>
        <family val="2"/>
      </rPr>
      <t xml:space="preserve">สรุปงานส่วน </t>
    </r>
    <r>
      <rPr>
        <b val="true"/>
        <sz val="9"/>
        <rFont val="Tahoma"/>
        <family val="0"/>
        <charset val="1"/>
      </rPr>
      <t xml:space="preserve">Summary</t>
    </r>
  </si>
  <si>
    <r>
      <rPr>
        <sz val="9"/>
        <rFont val="FreeSans"/>
        <family val="2"/>
      </rPr>
      <t xml:space="preserve">สรุปผลแยกรายงานส่วนและรายหมวดงาน พร้อม </t>
    </r>
    <r>
      <rPr>
        <sz val="9"/>
        <rFont val="Tahoma"/>
        <family val="0"/>
        <charset val="1"/>
      </rPr>
      <t xml:space="preserve">Gantt </t>
    </r>
    <r>
      <rPr>
        <sz val="9"/>
        <rFont val="FreeSans"/>
        <family val="2"/>
      </rPr>
      <t xml:space="preserve">ระดับงานส่วน แสดงงานที่ทำขนานกัน</t>
    </r>
  </si>
  <si>
    <r>
      <rPr>
        <b val="true"/>
        <sz val="9"/>
        <rFont val="FreeSans"/>
        <family val="2"/>
      </rPr>
      <t xml:space="preserve">รายงาน </t>
    </r>
    <r>
      <rPr>
        <b val="true"/>
        <sz val="9"/>
        <rFont val="Tahoma"/>
        <family val="0"/>
        <charset val="1"/>
      </rPr>
      <t xml:space="preserve">Report</t>
    </r>
  </si>
  <si>
    <r>
      <rPr>
        <sz val="9"/>
        <rFont val="FreeSans"/>
        <family val="2"/>
      </rPr>
      <t xml:space="preserve">รายงานประจำงวด </t>
    </r>
    <r>
      <rPr>
        <sz val="9"/>
        <rFont val="Tahoma"/>
        <family val="0"/>
        <charset val="1"/>
      </rPr>
      <t xml:space="preserve">A4 </t>
    </r>
    <r>
      <rPr>
        <sz val="9"/>
        <rFont val="FreeSans"/>
        <family val="2"/>
      </rPr>
      <t xml:space="preserve">พร้อมพิมพ์ มีหัวข้อความก้าวหน้ารายงานส่วน</t>
    </r>
  </si>
  <si>
    <r>
      <rPr>
        <sz val="9"/>
        <rFont val="FreeSans"/>
        <family val="2"/>
      </rPr>
      <t xml:space="preserve">หัวข้อ </t>
    </r>
    <r>
      <rPr>
        <sz val="9"/>
        <rFont val="Tahoma"/>
        <family val="0"/>
        <charset val="1"/>
      </rPr>
      <t xml:space="preserve">6 </t>
    </r>
    <r>
      <rPr>
        <sz val="9"/>
        <rFont val="FreeSans"/>
        <family val="2"/>
      </rPr>
      <t xml:space="preserve">ปัญหาและแนวทางแก้ไข</t>
    </r>
  </si>
  <si>
    <r>
      <rPr>
        <b val="true"/>
        <sz val="9"/>
        <rFont val="FreeSans"/>
        <family val="2"/>
      </rPr>
      <t xml:space="preserve">แผนงาน </t>
    </r>
    <r>
      <rPr>
        <b val="true"/>
        <sz val="9"/>
        <rFont val="Tahoma"/>
        <family val="0"/>
        <charset val="1"/>
      </rPr>
      <t xml:space="preserve">Schedule</t>
    </r>
  </si>
  <si>
    <r>
      <rPr>
        <sz val="9"/>
        <rFont val="FreeSans"/>
        <family val="2"/>
      </rPr>
      <t xml:space="preserve">รายการงานทั้งหมด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สูงสุด </t>
    </r>
    <r>
      <rPr>
        <sz val="9"/>
        <rFont val="Tahoma"/>
        <family val="0"/>
        <charset val="1"/>
      </rPr>
      <t xml:space="preserve">150 </t>
    </r>
    <r>
      <rPr>
        <sz val="9"/>
        <rFont val="FreeSans"/>
        <family val="2"/>
      </rPr>
      <t xml:space="preserve">รายการ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</rPr>
      <t xml:space="preserve">แบบ </t>
    </r>
    <r>
      <rPr>
        <sz val="9"/>
        <rFont val="Tahoma"/>
        <family val="0"/>
        <charset val="1"/>
      </rPr>
      <t xml:space="preserve">WBS 3 </t>
    </r>
    <r>
      <rPr>
        <sz val="9"/>
        <rFont val="FreeSans"/>
        <family val="2"/>
      </rPr>
      <t xml:space="preserve">ระดับ พร้อม </t>
    </r>
    <r>
      <rPr>
        <sz val="9"/>
        <rFont val="Tahoma"/>
        <family val="0"/>
        <charset val="1"/>
      </rPr>
      <t xml:space="preserve">Baseline / Revised / Actual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Gantt</t>
    </r>
  </si>
  <si>
    <r>
      <rPr>
        <sz val="9"/>
        <rFont val="FreeSans"/>
        <family val="2"/>
      </rPr>
      <t xml:space="preserve">ครั้งแรก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งานส่วน หมวด รายการ </t>
    </r>
    <r>
      <rPr>
        <sz val="9"/>
        <rFont val="Tahoma"/>
        <family val="0"/>
        <charset val="1"/>
      </rPr>
      <t xml:space="preserve">BOQ/</t>
    </r>
    <r>
      <rPr>
        <sz val="9"/>
        <rFont val="FreeSans"/>
        <family val="2"/>
      </rPr>
      <t xml:space="preserve">น้ำหนัก วันแผน • ทุกงวด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วันจริง </t>
    </r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จริง</t>
    </r>
  </si>
  <si>
    <t xml:space="preserve">S-Curve</t>
  </si>
  <si>
    <r>
      <rPr>
        <sz val="9"/>
        <rFont val="FreeSans"/>
        <family val="2"/>
      </rPr>
      <t xml:space="preserve">ตารางรายงวดสำหรับ </t>
    </r>
    <r>
      <rPr>
        <sz val="9"/>
        <rFont val="Tahoma"/>
        <family val="0"/>
        <charset val="1"/>
      </rPr>
      <t xml:space="preserve">S-Curve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EVM </t>
    </r>
    <r>
      <rPr>
        <sz val="9"/>
        <rFont val="FreeSans"/>
        <family val="2"/>
      </rPr>
      <t xml:space="preserve">รวมทั้งโครงการ</t>
    </r>
  </si>
  <si>
    <r>
      <rPr>
        <sz val="9"/>
        <rFont val="FreeSans"/>
        <family val="2"/>
      </rPr>
      <t xml:space="preserve">ทุกงวด</t>
    </r>
    <r>
      <rPr>
        <sz val="9"/>
        <rFont val="Tahoma"/>
        <family val="0"/>
        <charset val="1"/>
      </rPr>
      <t xml:space="preserve">: Actual % </t>
    </r>
    <r>
      <rPr>
        <sz val="9"/>
        <rFont val="FreeSans"/>
        <family val="2"/>
      </rPr>
      <t xml:space="preserve">สะสม</t>
    </r>
    <r>
      <rPr>
        <sz val="9"/>
        <rFont val="Tahoma"/>
        <family val="0"/>
        <charset val="1"/>
      </rPr>
      <t xml:space="preserve">, AC </t>
    </r>
    <r>
      <rPr>
        <sz val="9"/>
        <rFont val="FreeSans"/>
        <family val="2"/>
      </rPr>
      <t xml:space="preserve">ในงวด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เบิกจ่ายในงวด</t>
    </r>
  </si>
  <si>
    <r>
      <rPr>
        <b val="true"/>
        <sz val="9"/>
        <rFont val="FreeSans"/>
        <family val="2"/>
      </rPr>
      <t xml:space="preserve">ขยายเวลา </t>
    </r>
    <r>
      <rPr>
        <b val="true"/>
        <sz val="9"/>
        <rFont val="Tahoma"/>
        <family val="0"/>
        <charset val="1"/>
      </rPr>
      <t xml:space="preserve">EOT</t>
    </r>
  </si>
  <si>
    <t xml:space="preserve">ทะเบียนเหตุการณ์ล่าช้าและการขอขยายเวลา</t>
  </si>
  <si>
    <r>
      <rPr>
        <sz val="9"/>
        <rFont val="FreeSans"/>
        <family val="2"/>
      </rPr>
      <t xml:space="preserve">เมื่อมีเหตุการณ์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ยื่นหนังสือ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ได้ผลพิจารณา</t>
    </r>
  </si>
  <si>
    <r>
      <rPr>
        <b val="true"/>
        <sz val="11"/>
        <color rgb="FFFFFFFF"/>
        <rFont val="Tahoma"/>
        <family val="0"/>
        <charset val="1"/>
      </rPr>
      <t xml:space="preserve">2. </t>
    </r>
    <r>
      <rPr>
        <b val="true"/>
        <sz val="11"/>
        <color rgb="FFFFFFFF"/>
        <rFont val="FreeSans"/>
        <family val="2"/>
      </rPr>
      <t xml:space="preserve">โครงสร้างงาน </t>
    </r>
    <r>
      <rPr>
        <b val="true"/>
        <sz val="11"/>
        <color rgb="FFFFFFFF"/>
        <rFont val="Tahoma"/>
        <family val="0"/>
        <charset val="1"/>
      </rPr>
      <t xml:space="preserve">3 </t>
    </r>
    <r>
      <rPr>
        <b val="true"/>
        <sz val="11"/>
        <color rgb="FFFFFFFF"/>
        <rFont val="FreeSans"/>
        <family val="2"/>
      </rPr>
      <t xml:space="preserve">ระดับ </t>
    </r>
    <r>
      <rPr>
        <b val="true"/>
        <sz val="11"/>
        <color rgb="FFFFFFFF"/>
        <rFont val="Tahoma"/>
        <family val="0"/>
        <charset val="1"/>
      </rPr>
      <t xml:space="preserve">/ 3-Level WBS</t>
    </r>
  </si>
  <si>
    <r>
      <rPr>
        <b val="true"/>
        <sz val="9"/>
        <color rgb="FF1F3864"/>
        <rFont val="FreeSans"/>
        <family val="2"/>
      </rPr>
      <t xml:space="preserve">ระดับ </t>
    </r>
    <r>
      <rPr>
        <b val="true"/>
        <sz val="9"/>
        <color rgb="FF1F3864"/>
        <rFont val="Tahoma"/>
        <family val="0"/>
        <charset val="1"/>
      </rPr>
      <t xml:space="preserve">/ Level</t>
    </r>
  </si>
  <si>
    <r>
      <rPr>
        <b val="true"/>
        <sz val="9"/>
        <color rgb="FF1F3864"/>
        <rFont val="FreeSans"/>
        <family val="2"/>
      </rPr>
      <t xml:space="preserve">ความหมาย </t>
    </r>
    <r>
      <rPr>
        <b val="true"/>
        <sz val="9"/>
        <color rgb="FF1F3864"/>
        <rFont val="Tahoma"/>
        <family val="0"/>
        <charset val="1"/>
      </rPr>
      <t xml:space="preserve">/ Meaning</t>
    </r>
  </si>
  <si>
    <r>
      <rPr>
        <b val="true"/>
        <sz val="9"/>
        <color rgb="FF1F3864"/>
        <rFont val="FreeSans"/>
        <family val="2"/>
      </rPr>
      <t xml:space="preserve">ตัวอย่าง </t>
    </r>
    <r>
      <rPr>
        <b val="true"/>
        <sz val="9"/>
        <color rgb="FF1F3864"/>
        <rFont val="Tahoma"/>
        <family val="0"/>
        <charset val="1"/>
      </rPr>
      <t xml:space="preserve">/ Example</t>
    </r>
  </si>
  <si>
    <r>
      <rPr>
        <b val="true"/>
        <sz val="9"/>
        <rFont val="FreeSans"/>
        <family val="2"/>
      </rPr>
      <t xml:space="preserve">ระดับ </t>
    </r>
    <r>
      <rPr>
        <b val="true"/>
        <sz val="9"/>
        <rFont val="Tahoma"/>
        <family val="0"/>
        <charset val="1"/>
      </rPr>
      <t xml:space="preserve">1 </t>
    </r>
    <r>
      <rPr>
        <b val="true"/>
        <sz val="9"/>
        <rFont val="FreeSans"/>
        <family val="2"/>
      </rPr>
      <t xml:space="preserve">งานส่วน </t>
    </r>
    <r>
      <rPr>
        <b val="true"/>
        <sz val="9"/>
        <rFont val="Tahoma"/>
        <family val="0"/>
        <charset val="1"/>
      </rPr>
      <t xml:space="preserve">/ Work Package</t>
    </r>
  </si>
  <si>
    <t xml:space="preserve">แบ่งตามสิ่งก่อสร้างหรือพื้นที่ – ใช้ดูว่าแต่ละส่วนคืบหน้าเท่าไร</t>
  </si>
  <si>
    <r>
      <rPr>
        <sz val="9"/>
        <rFont val="FreeSans"/>
        <family val="2"/>
      </rPr>
      <t xml:space="preserve">อาคาร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รั้ว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รางระบายน้ำ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ถนน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</rPr>
      <t xml:space="preserve">ลาน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ถมดิน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โรงจอดรถ</t>
    </r>
  </si>
  <si>
    <r>
      <rPr>
        <b val="true"/>
        <sz val="9"/>
        <rFont val="FreeSans"/>
        <family val="2"/>
      </rPr>
      <t xml:space="preserve">ระดับ </t>
    </r>
    <r>
      <rPr>
        <b val="true"/>
        <sz val="9"/>
        <rFont val="Tahoma"/>
        <family val="0"/>
        <charset val="1"/>
      </rPr>
      <t xml:space="preserve">2 </t>
    </r>
    <r>
      <rPr>
        <b val="true"/>
        <sz val="9"/>
        <rFont val="FreeSans"/>
        <family val="2"/>
      </rPr>
      <t xml:space="preserve">หมวดงาน </t>
    </r>
    <r>
      <rPr>
        <b val="true"/>
        <sz val="9"/>
        <rFont val="Tahoma"/>
        <family val="0"/>
        <charset val="1"/>
      </rPr>
      <t xml:space="preserve">/ Discipline</t>
    </r>
  </si>
  <si>
    <t xml:space="preserve">แบ่งตามประเภทงานหรือทีมช่าง – ใช้ดูภาระงานของแต่ละทีม</t>
  </si>
  <si>
    <r>
      <rPr>
        <sz val="9"/>
        <rFont val="FreeSans"/>
        <family val="2"/>
      </rPr>
      <t xml:space="preserve">งานดิน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โครงสร้าง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สถาปัตย์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ระบบ</t>
    </r>
  </si>
  <si>
    <r>
      <rPr>
        <b val="true"/>
        <sz val="9"/>
        <rFont val="FreeSans"/>
        <family val="2"/>
      </rPr>
      <t xml:space="preserve">ระดับ </t>
    </r>
    <r>
      <rPr>
        <b val="true"/>
        <sz val="9"/>
        <rFont val="Tahoma"/>
        <family val="0"/>
        <charset val="1"/>
      </rPr>
      <t xml:space="preserve">3 </t>
    </r>
    <r>
      <rPr>
        <b val="true"/>
        <sz val="9"/>
        <rFont val="FreeSans"/>
        <family val="2"/>
      </rPr>
      <t xml:space="preserve">รายการงาน </t>
    </r>
    <r>
      <rPr>
        <b val="true"/>
        <sz val="9"/>
        <rFont val="Tahoma"/>
        <family val="0"/>
        <charset val="1"/>
      </rPr>
      <t xml:space="preserve">/ Work Item</t>
    </r>
  </si>
  <si>
    <t xml:space="preserve">งานย่อยที่วัดผลได้จริงหน้างาน</t>
  </si>
  <si>
    <r>
      <rPr>
        <sz val="9"/>
        <rFont val="FreeSans"/>
        <family val="2"/>
      </rPr>
      <t xml:space="preserve">งานเสาเข็มอาคาร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งานฐานรากรั้ว</t>
    </r>
  </si>
  <si>
    <r>
      <rPr>
        <b val="true"/>
        <sz val="9"/>
        <rFont val="FreeSans"/>
        <family val="2"/>
      </rPr>
      <t xml:space="preserve">รหัส </t>
    </r>
    <r>
      <rPr>
        <b val="true"/>
        <sz val="9"/>
        <rFont val="Tahoma"/>
        <family val="0"/>
        <charset val="1"/>
      </rPr>
      <t xml:space="preserve">WBS</t>
    </r>
  </si>
  <si>
    <r>
      <rPr>
        <sz val="9"/>
        <rFont val="FreeSans"/>
        <family val="2"/>
      </rPr>
      <t xml:space="preserve">สร้างอัตโนมัติ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งานส่วน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หมวดงาน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ลำดับ</t>
    </r>
  </si>
  <si>
    <r>
      <rPr>
        <sz val="9"/>
        <rFont val="Tahoma"/>
        <family val="0"/>
        <charset val="1"/>
      </rPr>
      <t xml:space="preserve">2.3.01 = </t>
    </r>
    <r>
      <rPr>
        <sz val="9"/>
        <rFont val="FreeSans"/>
        <family val="2"/>
      </rPr>
      <t xml:space="preserve">อาคาร • งานโครงสร้าง • รายการที่ </t>
    </r>
    <r>
      <rPr>
        <sz val="9"/>
        <rFont val="Tahoma"/>
        <family val="0"/>
        <charset val="1"/>
      </rPr>
      <t xml:space="preserve">1</t>
    </r>
  </si>
  <si>
    <r>
      <rPr>
        <b val="true"/>
        <sz val="11"/>
        <color rgb="FFFFFFFF"/>
        <rFont val="Tahoma"/>
        <family val="0"/>
        <charset val="1"/>
      </rPr>
      <t xml:space="preserve">3. </t>
    </r>
    <r>
      <rPr>
        <b val="true"/>
        <sz val="11"/>
        <color rgb="FFFFFFFF"/>
        <rFont val="FreeSans"/>
        <family val="2"/>
      </rPr>
      <t xml:space="preserve">งานที่ก่อสร้างพร้อมกัน </t>
    </r>
    <r>
      <rPr>
        <b val="true"/>
        <sz val="11"/>
        <color rgb="FFFFFFFF"/>
        <rFont val="Tahoma"/>
        <family val="0"/>
        <charset val="1"/>
      </rPr>
      <t xml:space="preserve">/ Parallel Work</t>
    </r>
  </si>
  <si>
    <r>
      <rPr>
        <sz val="9"/>
        <rFont val="FreeSans"/>
        <family val="2"/>
      </rPr>
      <t xml:space="preserve">• แต่ละรายการงานมีวันเริ่ม</t>
    </r>
    <r>
      <rPr>
        <sz val="9"/>
        <rFont val="Tahoma"/>
        <family val="0"/>
        <charset val="1"/>
      </rPr>
      <t xml:space="preserve">-</t>
    </r>
    <r>
      <rPr>
        <sz val="9"/>
        <rFont val="FreeSans"/>
        <family val="2"/>
      </rPr>
      <t xml:space="preserve">เสร็จของตัวเอง ใส่วันที่ซ้อนทับกันได้ตามจริง เช่น งานรางระบายน้ำ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ส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ค</t>
    </r>
    <r>
      <rPr>
        <sz val="9"/>
        <rFont val="Tahoma"/>
        <family val="0"/>
        <charset val="1"/>
      </rPr>
      <t xml:space="preserve">.–</t>
    </r>
    <r>
      <rPr>
        <sz val="9"/>
        <rFont val="FreeSans"/>
        <family val="2"/>
      </rPr>
      <t xml:space="preserve">ต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ค</t>
    </r>
    <r>
      <rPr>
        <sz val="9"/>
        <rFont val="Tahoma"/>
        <family val="0"/>
        <charset val="1"/>
      </rPr>
      <t xml:space="preserve">.) </t>
    </r>
    <r>
      <rPr>
        <sz val="9"/>
        <rFont val="FreeSans"/>
        <family val="2"/>
      </rPr>
      <t xml:space="preserve">ทำพร้อมงานเสาเข็มอาคาร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ย</t>
    </r>
    <r>
      <rPr>
        <sz val="9"/>
        <rFont val="Tahoma"/>
        <family val="0"/>
        <charset val="1"/>
      </rPr>
      <t xml:space="preserve">.–</t>
    </r>
    <r>
      <rPr>
        <sz val="9"/>
        <rFont val="FreeSans"/>
        <family val="2"/>
      </rPr>
      <t xml:space="preserve">ต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ค</t>
    </r>
    <r>
      <rPr>
        <sz val="9"/>
        <rFont val="Tahoma"/>
        <family val="0"/>
        <charset val="1"/>
      </rPr>
      <t xml:space="preserve">.) </t>
    </r>
    <r>
      <rPr>
        <sz val="9"/>
        <rFont val="FreeSans"/>
        <family val="2"/>
      </rPr>
      <t xml:space="preserve">และงานฐานรากรั้ว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ย</t>
    </r>
    <r>
      <rPr>
        <sz val="9"/>
        <rFont val="Tahoma"/>
        <family val="0"/>
        <charset val="1"/>
      </rPr>
      <t xml:space="preserve">.–</t>
    </r>
    <r>
      <rPr>
        <sz val="9"/>
        <rFont val="FreeSans"/>
        <family val="2"/>
      </rPr>
      <t xml:space="preserve">ต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ค</t>
    </r>
    <r>
      <rPr>
        <sz val="9"/>
        <rFont val="Tahoma"/>
        <family val="0"/>
        <charset val="1"/>
      </rPr>
      <t xml:space="preserve">.)</t>
    </r>
  </si>
  <si>
    <r>
      <rPr>
        <sz val="9"/>
        <rFont val="FreeSans"/>
        <family val="2"/>
      </rPr>
      <t xml:space="preserve">• ระบบรวมผลตามน้ำหนักงาน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มูลค่า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</rPr>
      <t xml:space="preserve">โดยอัตโนมัติ – งานส่วนที่มีมูลค่ามากมีผลต่อ </t>
    </r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รวมมากกว่า</t>
    </r>
  </si>
  <si>
    <r>
      <rPr>
        <sz val="9"/>
        <rFont val="Tahoma"/>
        <family val="0"/>
        <charset val="1"/>
      </rPr>
      <t xml:space="preserve">• Gantt </t>
    </r>
    <r>
      <rPr>
        <sz val="9"/>
        <rFont val="FreeSans"/>
        <family val="2"/>
      </rPr>
      <t xml:space="preserve">ในชีต สรุปงานส่วน แสดงช่วงเวลาของทุกงานส่วนในหน้าเดียว เห็นทันทีว่าช่วงไหนมีกี่ส่วนทำขนานกัน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ใช้วางแผนกำลังคน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เครื่องจักร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</si>
  <si>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• ถ้างานหนึ่งต้องรออีกงานหนึ่งเสร็จ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เช่น ถนนต้องรอรางระบายน้ำ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</rPr>
      <t xml:space="preserve">ให้ตั้งวันเริ่มของงานถัดไปหลังวันเสร็จของงานก่อนหน้าเอง – ไฟล์นี้ไม่ผูกความสัมพันธ์อัตโนมัติ</t>
    </r>
  </si>
  <si>
    <r>
      <rPr>
        <sz val="9"/>
        <rFont val="FreeSans"/>
        <family val="2"/>
      </rPr>
      <t xml:space="preserve">• ในชีตแผนงาน ใช้ปุ่มกรอง </t>
    </r>
    <r>
      <rPr>
        <sz val="9"/>
        <rFont val="Tahoma"/>
        <family val="0"/>
        <charset val="1"/>
      </rPr>
      <t xml:space="preserve">(▼) </t>
    </r>
    <r>
      <rPr>
        <sz val="9"/>
        <rFont val="FreeSans"/>
        <family val="2"/>
      </rPr>
      <t xml:space="preserve">ที่หัวคอลัมน์ งานส่วน เพื่อดูหรือกรอกข้อมูลทีละงานส่วนได้</t>
    </r>
  </si>
  <si>
    <r>
      <rPr>
        <b val="true"/>
        <sz val="11"/>
        <color rgb="FFFFFFFF"/>
        <rFont val="Tahoma"/>
        <family val="0"/>
        <charset val="1"/>
      </rPr>
      <t xml:space="preserve">4. </t>
    </r>
    <r>
      <rPr>
        <b val="true"/>
        <sz val="11"/>
        <color rgb="FFFFFFFF"/>
        <rFont val="FreeSans"/>
        <family val="2"/>
      </rPr>
      <t xml:space="preserve">ตั้งค่าโครงการใหม่ </t>
    </r>
    <r>
      <rPr>
        <b val="true"/>
        <sz val="11"/>
        <color rgb="FFFFFFFF"/>
        <rFont val="Tahoma"/>
        <family val="0"/>
        <charset val="1"/>
      </rPr>
      <t xml:space="preserve">/ New Project Setup</t>
    </r>
  </si>
  <si>
    <r>
      <rPr>
        <sz val="9"/>
        <rFont val="Tahoma"/>
        <family val="0"/>
        <charset val="1"/>
      </rPr>
      <t xml:space="preserve">1) </t>
    </r>
    <r>
      <rPr>
        <sz val="9"/>
        <rFont val="FreeSans"/>
        <family val="2"/>
      </rPr>
      <t xml:space="preserve">ชีต ตั้งค่า </t>
    </r>
    <r>
      <rPr>
        <sz val="9"/>
        <rFont val="Tahoma"/>
        <family val="0"/>
        <charset val="1"/>
      </rPr>
      <t xml:space="preserve">Setup: </t>
    </r>
    <r>
      <rPr>
        <sz val="9"/>
        <rFont val="FreeSans"/>
        <family val="2"/>
      </rPr>
      <t xml:space="preserve">กรอกข้อมูลสัญญา • แก้รายชื่องานส่วน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สูงสุด </t>
    </r>
    <r>
      <rPr>
        <sz val="9"/>
        <rFont val="Tahoma"/>
        <family val="0"/>
        <charset val="1"/>
      </rPr>
      <t xml:space="preserve">10) </t>
    </r>
    <r>
      <rPr>
        <sz val="9"/>
        <rFont val="FreeSans"/>
        <family val="2"/>
      </rPr>
      <t xml:space="preserve">และหมวดงาน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สูงสุด </t>
    </r>
    <r>
      <rPr>
        <sz val="9"/>
        <rFont val="Tahoma"/>
        <family val="0"/>
        <charset val="1"/>
      </rPr>
      <t xml:space="preserve">10)</t>
    </r>
  </si>
  <si>
    <r>
      <rPr>
        <sz val="9"/>
        <rFont val="Tahoma"/>
        <family val="0"/>
        <charset val="1"/>
      </rPr>
      <t xml:space="preserve">2) </t>
    </r>
    <r>
      <rPr>
        <sz val="9"/>
        <rFont val="FreeSans"/>
        <family val="2"/>
      </rPr>
      <t xml:space="preserve">ชีต แผนงาน </t>
    </r>
    <r>
      <rPr>
        <sz val="9"/>
        <rFont val="Tahoma"/>
        <family val="0"/>
        <charset val="1"/>
      </rPr>
      <t xml:space="preserve">Schedule: </t>
    </r>
    <r>
      <rPr>
        <sz val="9"/>
        <rFont val="FreeSans"/>
        <family val="2"/>
      </rPr>
      <t xml:space="preserve">ลบข้อมูลตัวอย่างในช่องสีเหลืองทั้งหมด แล้วกรอกรายการงาน เลือกงานส่วนและหมวดจาก </t>
    </r>
    <r>
      <rPr>
        <sz val="9"/>
        <rFont val="Tahoma"/>
        <family val="0"/>
        <charset val="1"/>
      </rPr>
      <t xml:space="preserve">Drop-down</t>
    </r>
  </si>
  <si>
    <r>
      <rPr>
        <sz val="9"/>
        <rFont val="Tahoma"/>
        <family val="0"/>
        <charset val="1"/>
      </rPr>
      <t xml:space="preserve">3) </t>
    </r>
    <r>
      <rPr>
        <sz val="9"/>
        <rFont val="FreeSans"/>
        <family val="2"/>
      </rPr>
      <t xml:space="preserve">น้ำหนักงาน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แนะนำให้กรอก </t>
    </r>
    <r>
      <rPr>
        <sz val="9"/>
        <rFont val="Tahoma"/>
        <family val="0"/>
        <charset val="1"/>
      </rPr>
      <t xml:space="preserve">'</t>
    </r>
    <r>
      <rPr>
        <sz val="9"/>
        <rFont val="FreeSans"/>
        <family val="2"/>
      </rPr>
      <t xml:space="preserve">มูลค่า </t>
    </r>
    <r>
      <rPr>
        <sz val="9"/>
        <rFont val="Tahoma"/>
        <family val="0"/>
        <charset val="1"/>
      </rPr>
      <t xml:space="preserve">BOQ' </t>
    </r>
    <r>
      <rPr>
        <sz val="9"/>
        <rFont val="FreeSans"/>
        <family val="2"/>
      </rPr>
      <t xml:space="preserve">ทุกรายการ ระบบคำนวณน้ำหนักจากสัดส่วนมูลค่าให้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หรือกรอก </t>
    </r>
    <r>
      <rPr>
        <sz val="9"/>
        <rFont val="Tahoma"/>
        <family val="0"/>
        <charset val="1"/>
      </rPr>
      <t xml:space="preserve">'</t>
    </r>
    <r>
      <rPr>
        <sz val="9"/>
        <rFont val="FreeSans"/>
        <family val="2"/>
      </rPr>
      <t xml:space="preserve">น้ำหนักกำหนดเอง</t>
    </r>
    <r>
      <rPr>
        <sz val="9"/>
        <rFont val="Tahoma"/>
        <family val="0"/>
        <charset val="1"/>
      </rPr>
      <t xml:space="preserve">' </t>
    </r>
    <r>
      <rPr>
        <sz val="9"/>
        <rFont val="FreeSans"/>
        <family val="2"/>
      </rPr>
      <t xml:space="preserve">แทน</t>
    </r>
    <r>
      <rPr>
        <sz val="9"/>
        <rFont val="Tahoma"/>
        <family val="0"/>
        <charset val="1"/>
      </rPr>
      <t xml:space="preserve">) • </t>
    </r>
    <r>
      <rPr>
        <sz val="9"/>
        <rFont val="FreeSans"/>
        <family val="2"/>
      </rPr>
      <t xml:space="preserve">รวมต้องได้ </t>
    </r>
    <r>
      <rPr>
        <sz val="9"/>
        <rFont val="Tahoma"/>
        <family val="0"/>
        <charset val="1"/>
      </rPr>
      <t xml:space="preserve">100%</t>
    </r>
  </si>
  <si>
    <r>
      <rPr>
        <sz val="9"/>
        <rFont val="Tahoma"/>
        <family val="0"/>
        <charset val="1"/>
      </rPr>
      <t xml:space="preserve">4) </t>
    </r>
    <r>
      <rPr>
        <sz val="9"/>
        <rFont val="FreeSans"/>
        <family val="2"/>
      </rPr>
      <t xml:space="preserve">ชีต </t>
    </r>
    <r>
      <rPr>
        <sz val="9"/>
        <rFont val="Tahoma"/>
        <family val="0"/>
        <charset val="1"/>
      </rPr>
      <t xml:space="preserve">S-Curve: </t>
    </r>
    <r>
      <rPr>
        <sz val="9"/>
        <rFont val="FreeSans"/>
        <family val="2"/>
      </rPr>
      <t xml:space="preserve">ลบค่าตัวอย่างในคอลัมน์ </t>
    </r>
    <r>
      <rPr>
        <sz val="9"/>
        <rFont val="Tahoma"/>
        <family val="0"/>
        <charset val="1"/>
      </rPr>
      <t xml:space="preserve">Actual, AC </t>
    </r>
    <r>
      <rPr>
        <sz val="9"/>
        <rFont val="FreeSans"/>
        <family val="2"/>
      </rPr>
      <t xml:space="preserve">และเบิกจ่าย • ชีต ขยายเวลา </t>
    </r>
    <r>
      <rPr>
        <sz val="9"/>
        <rFont val="Tahoma"/>
        <family val="0"/>
        <charset val="1"/>
      </rPr>
      <t xml:space="preserve">EOT: </t>
    </r>
    <r>
      <rPr>
        <sz val="9"/>
        <rFont val="FreeSans"/>
        <family val="2"/>
      </rPr>
      <t xml:space="preserve">ลบรายการตัวอย่าง</t>
    </r>
  </si>
  <si>
    <r>
      <rPr>
        <b val="true"/>
        <sz val="11"/>
        <color rgb="FFFFFFFF"/>
        <rFont val="Tahoma"/>
        <family val="0"/>
        <charset val="1"/>
      </rPr>
      <t xml:space="preserve">5. </t>
    </r>
    <r>
      <rPr>
        <b val="true"/>
        <sz val="11"/>
        <color rgb="FFFFFFFF"/>
        <rFont val="FreeSans"/>
        <family val="2"/>
      </rPr>
      <t xml:space="preserve">อัปเดตทุกงวด </t>
    </r>
    <r>
      <rPr>
        <b val="true"/>
        <sz val="11"/>
        <color rgb="FFFFFFFF"/>
        <rFont val="Tahoma"/>
        <family val="0"/>
        <charset val="1"/>
      </rPr>
      <t xml:space="preserve">/ Periodic Update</t>
    </r>
  </si>
  <si>
    <r>
      <rPr>
        <sz val="9"/>
        <rFont val="Tahoma"/>
        <family val="0"/>
        <charset val="1"/>
      </rPr>
      <t xml:space="preserve">1) </t>
    </r>
    <r>
      <rPr>
        <sz val="9"/>
        <rFont val="FreeSans"/>
        <family val="2"/>
      </rPr>
      <t xml:space="preserve">ตั้งค่า </t>
    </r>
    <r>
      <rPr>
        <sz val="9"/>
        <rFont val="Tahoma"/>
        <family val="0"/>
        <charset val="1"/>
      </rPr>
      <t xml:space="preserve">Setup → </t>
    </r>
    <r>
      <rPr>
        <sz val="9"/>
        <rFont val="FreeSans"/>
        <family val="2"/>
      </rPr>
      <t xml:space="preserve">เปลี่ยน </t>
    </r>
    <r>
      <rPr>
        <sz val="9"/>
        <rFont val="Tahoma"/>
        <family val="0"/>
        <charset val="1"/>
      </rPr>
      <t xml:space="preserve">Status Date</t>
    </r>
  </si>
  <si>
    <r>
      <rPr>
        <sz val="9"/>
        <rFont val="Tahoma"/>
        <family val="0"/>
        <charset val="1"/>
      </rPr>
      <t xml:space="preserve">2) </t>
    </r>
    <r>
      <rPr>
        <sz val="9"/>
        <rFont val="FreeSans"/>
        <family val="2"/>
      </rPr>
      <t xml:space="preserve">แผนงาน </t>
    </r>
    <r>
      <rPr>
        <sz val="9"/>
        <rFont val="Tahoma"/>
        <family val="0"/>
        <charset val="1"/>
      </rPr>
      <t xml:space="preserve">Schedule → </t>
    </r>
    <r>
      <rPr>
        <sz val="9"/>
        <rFont val="FreeSans"/>
        <family val="2"/>
      </rPr>
      <t xml:space="preserve">กรอกวันเริ่มจริง </t>
    </r>
    <r>
      <rPr>
        <sz val="9"/>
        <rFont val="Tahoma"/>
        <family val="0"/>
        <charset val="1"/>
      </rPr>
      <t xml:space="preserve">(N) </t>
    </r>
    <r>
      <rPr>
        <sz val="9"/>
        <rFont val="FreeSans"/>
        <family val="2"/>
      </rPr>
      <t xml:space="preserve">วันเสร็จจริง </t>
    </r>
    <r>
      <rPr>
        <sz val="9"/>
        <rFont val="Tahoma"/>
        <family val="0"/>
        <charset val="1"/>
      </rPr>
      <t xml:space="preserve">(O – </t>
    </r>
    <r>
      <rPr>
        <sz val="9"/>
        <rFont val="FreeSans"/>
        <family val="2"/>
      </rPr>
      <t xml:space="preserve">เว้นว่างถ้ายังไม่เสร็จ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งานนี้ </t>
    </r>
    <r>
      <rPr>
        <sz val="9"/>
        <rFont val="Tahoma"/>
        <family val="0"/>
        <charset val="1"/>
      </rPr>
      <t xml:space="preserve">(P) </t>
    </r>
    <r>
      <rPr>
        <sz val="9"/>
        <rFont val="FreeSans"/>
        <family val="2"/>
      </rPr>
      <t xml:space="preserve">ของทุกรายการที่เริ่มแล้ว</t>
    </r>
  </si>
  <si>
    <r>
      <rPr>
        <sz val="9"/>
        <rFont val="Tahoma"/>
        <family val="0"/>
        <charset val="1"/>
      </rPr>
      <t xml:space="preserve">3) S-Curve → </t>
    </r>
    <r>
      <rPr>
        <sz val="9"/>
        <rFont val="FreeSans"/>
        <family val="2"/>
      </rPr>
      <t xml:space="preserve">ที่แถวสีส้ม กรอก </t>
    </r>
    <r>
      <rPr>
        <sz val="9"/>
        <rFont val="Tahoma"/>
        <family val="0"/>
        <charset val="1"/>
      </rPr>
      <t xml:space="preserve">Actual % </t>
    </r>
    <r>
      <rPr>
        <sz val="9"/>
        <rFont val="FreeSans"/>
        <family val="2"/>
      </rPr>
      <t xml:space="preserve">สะสม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ค่าจากแถว </t>
    </r>
    <r>
      <rPr>
        <sz val="9"/>
        <rFont val="Tahoma"/>
        <family val="0"/>
        <charset val="1"/>
      </rPr>
      <t xml:space="preserve">TOTAL </t>
    </r>
    <r>
      <rPr>
        <sz val="9"/>
        <rFont val="FreeSans"/>
        <family val="2"/>
      </rPr>
      <t xml:space="preserve">คอลัมน์ </t>
    </r>
    <r>
      <rPr>
        <sz val="9"/>
        <rFont val="Tahoma"/>
        <family val="0"/>
        <charset val="1"/>
      </rPr>
      <t xml:space="preserve">P </t>
    </r>
    <r>
      <rPr>
        <sz val="9"/>
        <rFont val="FreeSans"/>
        <family val="2"/>
      </rPr>
      <t xml:space="preserve">ของชีตแผนงาน</t>
    </r>
    <r>
      <rPr>
        <sz val="9"/>
        <rFont val="Tahoma"/>
        <family val="0"/>
        <charset val="1"/>
      </rPr>
      <t xml:space="preserve">) + AC + </t>
    </r>
    <r>
      <rPr>
        <sz val="9"/>
        <rFont val="FreeSans"/>
        <family val="2"/>
      </rPr>
      <t xml:space="preserve">เบิกจ่ายในงวด</t>
    </r>
  </si>
  <si>
    <r>
      <rPr>
        <sz val="9"/>
        <rFont val="Tahoma"/>
        <family val="0"/>
        <charset val="1"/>
      </rPr>
      <t xml:space="preserve">4) </t>
    </r>
    <r>
      <rPr>
        <sz val="9"/>
        <rFont val="FreeSans"/>
        <family val="2"/>
      </rPr>
      <t xml:space="preserve">ขยายเวลา </t>
    </r>
    <r>
      <rPr>
        <sz val="9"/>
        <rFont val="Tahoma"/>
        <family val="0"/>
        <charset val="1"/>
      </rPr>
      <t xml:space="preserve">EOT → </t>
    </r>
    <r>
      <rPr>
        <sz val="9"/>
        <rFont val="FreeSans"/>
        <family val="2"/>
      </rPr>
      <t xml:space="preserve">บันทึกเหตุการณ์ใหม่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อัปเดตผลพิจารณา</t>
    </r>
  </si>
  <si>
    <r>
      <rPr>
        <sz val="9"/>
        <rFont val="Tahoma"/>
        <family val="0"/>
        <charset val="1"/>
      </rPr>
      <t xml:space="preserve">5) </t>
    </r>
    <r>
      <rPr>
        <sz val="9"/>
        <rFont val="FreeSans"/>
        <family val="2"/>
      </rPr>
      <t xml:space="preserve">ตรวจชีต สรุปงานส่วน ว่างานส่วนไหนล่าช้า แล้วกรอกหัวข้อ </t>
    </r>
    <r>
      <rPr>
        <sz val="9"/>
        <rFont val="Tahoma"/>
        <family val="0"/>
        <charset val="1"/>
      </rPr>
      <t xml:space="preserve">6 </t>
    </r>
    <r>
      <rPr>
        <sz val="9"/>
        <rFont val="FreeSans"/>
        <family val="2"/>
      </rPr>
      <t xml:space="preserve">ในรายงาน และพิมพ์รายงาน</t>
    </r>
  </si>
  <si>
    <r>
      <rPr>
        <b val="true"/>
        <sz val="11"/>
        <color rgb="FFFFFFFF"/>
        <rFont val="Tahoma"/>
        <family val="0"/>
        <charset val="1"/>
      </rPr>
      <t xml:space="preserve">6. </t>
    </r>
    <r>
      <rPr>
        <b val="true"/>
        <sz val="11"/>
        <color rgb="FFFFFFFF"/>
        <rFont val="FreeSans"/>
        <family val="2"/>
      </rPr>
      <t xml:space="preserve">วิธีวัด </t>
    </r>
    <r>
      <rPr>
        <b val="true"/>
        <sz val="11"/>
        <color rgb="FFFFFFFF"/>
        <rFont val="Tahoma"/>
        <family val="0"/>
        <charset val="1"/>
      </rPr>
      <t xml:space="preserve">% </t>
    </r>
    <r>
      <rPr>
        <b val="true"/>
        <sz val="11"/>
        <color rgb="FFFFFFFF"/>
        <rFont val="FreeSans"/>
        <family val="2"/>
      </rPr>
      <t xml:space="preserve">ความคืบหน้าของรายการงาน </t>
    </r>
    <r>
      <rPr>
        <b val="true"/>
        <sz val="11"/>
        <color rgb="FFFFFFFF"/>
        <rFont val="Tahoma"/>
        <family val="0"/>
        <charset val="1"/>
      </rPr>
      <t xml:space="preserve">/ Measuring % Complete</t>
    </r>
  </si>
  <si>
    <t xml:space="preserve">ตามปริมาณงาน</t>
  </si>
  <si>
    <r>
      <rPr>
        <sz val="9"/>
        <rFont val="FreeSans"/>
        <family val="2"/>
      </rPr>
      <t xml:space="preserve">งานที่นับ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วัดได้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ปริมาณที่ทำแล้ว </t>
    </r>
    <r>
      <rPr>
        <sz val="9"/>
        <rFont val="Tahoma"/>
        <family val="0"/>
        <charset val="1"/>
      </rPr>
      <t xml:space="preserve">÷ </t>
    </r>
    <r>
      <rPr>
        <sz val="9"/>
        <rFont val="FreeSans"/>
        <family val="2"/>
      </rPr>
      <t xml:space="preserve">ปริมาณทั้งหมด</t>
    </r>
  </si>
  <si>
    <r>
      <rPr>
        <sz val="9"/>
        <rFont val="FreeSans"/>
        <family val="2"/>
      </rPr>
      <t xml:space="preserve">ตอกเสาเข็ม </t>
    </r>
    <r>
      <rPr>
        <sz val="9"/>
        <rFont val="Tahoma"/>
        <family val="0"/>
        <charset val="1"/>
      </rPr>
      <t xml:space="preserve">45 </t>
    </r>
    <r>
      <rPr>
        <sz val="9"/>
        <rFont val="FreeSans"/>
        <family val="2"/>
      </rPr>
      <t xml:space="preserve">จาก </t>
    </r>
    <r>
      <rPr>
        <sz val="9"/>
        <rFont val="Tahoma"/>
        <family val="0"/>
        <charset val="1"/>
      </rPr>
      <t xml:space="preserve">60 </t>
    </r>
    <r>
      <rPr>
        <sz val="9"/>
        <rFont val="FreeSans"/>
        <family val="2"/>
      </rPr>
      <t xml:space="preserve">ต้น </t>
    </r>
    <r>
      <rPr>
        <sz val="9"/>
        <rFont val="Tahoma"/>
        <family val="0"/>
        <charset val="1"/>
      </rPr>
      <t xml:space="preserve">= 75%</t>
    </r>
  </si>
  <si>
    <t xml:space="preserve">แบ่งขั้นตอน</t>
  </si>
  <si>
    <r>
      <rPr>
        <sz val="9"/>
        <rFont val="FreeSans"/>
        <family val="2"/>
      </rPr>
      <t xml:space="preserve">งานหลายขั้นตอน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กำหนดน้ำหนักแต่ละขั้น</t>
    </r>
  </si>
  <si>
    <r>
      <rPr>
        <sz val="9"/>
        <rFont val="FreeSans"/>
        <family val="2"/>
      </rPr>
      <t xml:space="preserve">ตั้งแบบ </t>
    </r>
    <r>
      <rPr>
        <sz val="9"/>
        <rFont val="Tahoma"/>
        <family val="0"/>
        <charset val="1"/>
      </rPr>
      <t xml:space="preserve">20% </t>
    </r>
    <r>
      <rPr>
        <sz val="9"/>
        <rFont val="FreeSans"/>
        <family val="2"/>
      </rPr>
      <t xml:space="preserve">ผูกเหล็ก </t>
    </r>
    <r>
      <rPr>
        <sz val="9"/>
        <rFont val="Tahoma"/>
        <family val="0"/>
        <charset val="1"/>
      </rPr>
      <t xml:space="preserve">30% </t>
    </r>
    <r>
      <rPr>
        <sz val="9"/>
        <rFont val="FreeSans"/>
        <family val="2"/>
      </rPr>
      <t xml:space="preserve">เทคอนกรีต </t>
    </r>
    <r>
      <rPr>
        <sz val="9"/>
        <rFont val="Tahoma"/>
        <family val="0"/>
        <charset val="1"/>
      </rPr>
      <t xml:space="preserve">40% </t>
    </r>
    <r>
      <rPr>
        <sz val="9"/>
        <rFont val="FreeSans"/>
        <family val="2"/>
      </rPr>
      <t xml:space="preserve">บ่ม </t>
    </r>
    <r>
      <rPr>
        <sz val="9"/>
        <rFont val="Tahoma"/>
        <family val="0"/>
        <charset val="1"/>
      </rPr>
      <t xml:space="preserve">10%</t>
    </r>
  </si>
  <si>
    <t xml:space="preserve">0 / 50 / 100</t>
  </si>
  <si>
    <t xml:space="preserve">งานสั้นหรือวัดยาก</t>
  </si>
  <si>
    <r>
      <rPr>
        <sz val="9"/>
        <rFont val="FreeSans"/>
        <family val="2"/>
      </rPr>
      <t xml:space="preserve">ยังไม่เริ่ม </t>
    </r>
    <r>
      <rPr>
        <sz val="9"/>
        <rFont val="Tahoma"/>
        <family val="0"/>
        <charset val="1"/>
      </rPr>
      <t xml:space="preserve">0% • </t>
    </r>
    <r>
      <rPr>
        <sz val="9"/>
        <rFont val="FreeSans"/>
        <family val="2"/>
      </rPr>
      <t xml:space="preserve">กำลังทำ </t>
    </r>
    <r>
      <rPr>
        <sz val="9"/>
        <rFont val="Tahoma"/>
        <family val="0"/>
        <charset val="1"/>
      </rPr>
      <t xml:space="preserve">50% • </t>
    </r>
    <r>
      <rPr>
        <sz val="9"/>
        <rFont val="FreeSans"/>
        <family val="2"/>
      </rPr>
      <t xml:space="preserve">เสร็จ </t>
    </r>
    <r>
      <rPr>
        <sz val="9"/>
        <rFont val="Tahoma"/>
        <family val="0"/>
        <charset val="1"/>
      </rPr>
      <t xml:space="preserve">100%</t>
    </r>
  </si>
  <si>
    <t xml:space="preserve">ห้ามใช้</t>
  </si>
  <si>
    <r>
      <rPr>
        <sz val="9"/>
        <rFont val="FreeSans"/>
        <family val="2"/>
      </rPr>
      <t xml:space="preserve">เวลาที่ผ่านไป หรือเงินที่จ่ายไป เป็นเกณฑ์วัด </t>
    </r>
    <r>
      <rPr>
        <sz val="9"/>
        <rFont val="Tahoma"/>
        <family val="0"/>
        <charset val="1"/>
      </rPr>
      <t xml:space="preserve">%</t>
    </r>
  </si>
  <si>
    <t xml:space="preserve">จะซ่อนความล่าช้าที่แท้จริง</t>
  </si>
  <si>
    <r>
      <rPr>
        <b val="true"/>
        <sz val="11"/>
        <color rgb="FFFFFFFF"/>
        <rFont val="Tahoma"/>
        <family val="0"/>
        <charset val="1"/>
      </rPr>
      <t xml:space="preserve">7. </t>
    </r>
    <r>
      <rPr>
        <b val="true"/>
        <sz val="11"/>
        <color rgb="FFFFFFFF"/>
        <rFont val="FreeSans"/>
        <family val="2"/>
      </rPr>
      <t xml:space="preserve">สัญลักษณ์สี </t>
    </r>
    <r>
      <rPr>
        <b val="true"/>
        <sz val="11"/>
        <color rgb="FFFFFFFF"/>
        <rFont val="Tahoma"/>
        <family val="0"/>
        <charset val="1"/>
      </rPr>
      <t xml:space="preserve">/ Color Legend</t>
    </r>
  </si>
  <si>
    <t xml:space="preserve">ช่องพื้นเหลือง ตัวน้ำเงิน</t>
  </si>
  <si>
    <t xml:space="preserve">ช่องให้กรอก</t>
  </si>
  <si>
    <t xml:space="preserve">ช่องพื้นขาว</t>
  </si>
  <si>
    <r>
      <rPr>
        <sz val="9"/>
        <rFont val="FreeSans"/>
        <family val="2"/>
      </rPr>
      <t xml:space="preserve">สูตร – ล็อกไว้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ปลดล็อก</t>
    </r>
    <r>
      <rPr>
        <sz val="9"/>
        <rFont val="Tahoma"/>
        <family val="0"/>
        <charset val="1"/>
      </rPr>
      <t xml:space="preserve">: Review → Unprotect Sheet </t>
    </r>
    <r>
      <rPr>
        <sz val="9"/>
        <rFont val="FreeSans"/>
        <family val="2"/>
      </rPr>
      <t xml:space="preserve">ไม่มีรหัสผ่าน</t>
    </r>
    <r>
      <rPr>
        <sz val="9"/>
        <rFont val="Tahoma"/>
        <family val="0"/>
        <charset val="1"/>
      </rPr>
      <t xml:space="preserve">)</t>
    </r>
  </si>
  <si>
    <r>
      <rPr>
        <b val="true"/>
        <sz val="9"/>
        <rFont val="Tahoma"/>
        <family val="0"/>
        <charset val="1"/>
      </rPr>
      <t xml:space="preserve">Gantt </t>
    </r>
    <r>
      <rPr>
        <b val="true"/>
        <sz val="9"/>
        <rFont val="FreeSans"/>
        <family val="2"/>
      </rPr>
      <t xml:space="preserve">ฟ้า </t>
    </r>
    <r>
      <rPr>
        <b val="true"/>
        <sz val="9"/>
        <rFont val="Tahoma"/>
        <family val="0"/>
        <charset val="1"/>
      </rPr>
      <t xml:space="preserve">/ </t>
    </r>
    <r>
      <rPr>
        <b val="true"/>
        <sz val="9"/>
        <rFont val="FreeSans"/>
        <family val="2"/>
      </rPr>
      <t xml:space="preserve">ส้ม </t>
    </r>
    <r>
      <rPr>
        <b val="true"/>
        <sz val="9"/>
        <rFont val="Tahoma"/>
        <family val="0"/>
        <charset val="1"/>
      </rPr>
      <t xml:space="preserve">/ </t>
    </r>
    <r>
      <rPr>
        <b val="true"/>
        <sz val="9"/>
        <rFont val="FreeSans"/>
        <family val="2"/>
      </rPr>
      <t xml:space="preserve">เขียว</t>
    </r>
  </si>
  <si>
    <r>
      <rPr>
        <sz val="9"/>
        <rFont val="FreeSans"/>
        <family val="2"/>
      </rPr>
      <t xml:space="preserve">ช่วงแผนเดิม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ช่วงทำงานจริงนอกแผน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จริงตรงกับแผน</t>
    </r>
  </si>
  <si>
    <r>
      <rPr>
        <b val="true"/>
        <sz val="9"/>
        <rFont val="FreeSans"/>
        <family val="2"/>
      </rPr>
      <t xml:space="preserve">หัว </t>
    </r>
    <r>
      <rPr>
        <b val="true"/>
        <sz val="9"/>
        <rFont val="Tahoma"/>
        <family val="0"/>
        <charset val="1"/>
      </rPr>
      <t xml:space="preserve">Gantt </t>
    </r>
    <r>
      <rPr>
        <b val="true"/>
        <sz val="9"/>
        <rFont val="FreeSans"/>
        <family val="2"/>
      </rPr>
      <t xml:space="preserve">สีแดง</t>
    </r>
  </si>
  <si>
    <t xml:space="preserve">งวดที่มีวันตรวจวัด</t>
  </si>
  <si>
    <r>
      <rPr>
        <b val="true"/>
        <sz val="9"/>
        <rFont val="FreeSans"/>
        <family val="2"/>
      </rPr>
      <t xml:space="preserve">สถานะ แดง </t>
    </r>
    <r>
      <rPr>
        <b val="true"/>
        <sz val="9"/>
        <rFont val="Tahoma"/>
        <family val="0"/>
        <charset val="1"/>
      </rPr>
      <t xml:space="preserve">/ </t>
    </r>
    <r>
      <rPr>
        <b val="true"/>
        <sz val="9"/>
        <rFont val="FreeSans"/>
        <family val="2"/>
      </rPr>
      <t xml:space="preserve">เหลือง </t>
    </r>
    <r>
      <rPr>
        <b val="true"/>
        <sz val="9"/>
        <rFont val="Tahoma"/>
        <family val="0"/>
        <charset val="1"/>
      </rPr>
      <t xml:space="preserve">/ </t>
    </r>
    <r>
      <rPr>
        <b val="true"/>
        <sz val="9"/>
        <rFont val="FreeSans"/>
        <family val="2"/>
      </rPr>
      <t xml:space="preserve">เขียว</t>
    </r>
  </si>
  <si>
    <r>
      <rPr>
        <sz val="9"/>
        <rFont val="FreeSans"/>
        <family val="2"/>
      </rPr>
      <t xml:space="preserve">ล่าช้า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เฝ้าระวัง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ตามแผนหรือเสร็จ</t>
    </r>
  </si>
  <si>
    <r>
      <rPr>
        <b val="true"/>
        <sz val="11"/>
        <color rgb="FFFFFFFF"/>
        <rFont val="Tahoma"/>
        <family val="0"/>
        <charset val="1"/>
      </rPr>
      <t xml:space="preserve">8. </t>
    </r>
    <r>
      <rPr>
        <b val="true"/>
        <sz val="11"/>
        <color rgb="FFFFFFFF"/>
        <rFont val="FreeSans"/>
        <family val="2"/>
      </rPr>
      <t xml:space="preserve">อภิธานศัพท์ตัวชี้วัด </t>
    </r>
    <r>
      <rPr>
        <b val="true"/>
        <sz val="11"/>
        <color rgb="FFFFFFFF"/>
        <rFont val="Tahoma"/>
        <family val="0"/>
        <charset val="1"/>
      </rPr>
      <t xml:space="preserve">/ KPI Glossary</t>
    </r>
  </si>
  <si>
    <r>
      <rPr>
        <b val="true"/>
        <sz val="9"/>
        <color rgb="FF1F3864"/>
        <rFont val="FreeSans"/>
        <family val="2"/>
      </rPr>
      <t xml:space="preserve">ตัวชี้วัด </t>
    </r>
    <r>
      <rPr>
        <b val="true"/>
        <sz val="9"/>
        <color rgb="FF1F3864"/>
        <rFont val="Tahoma"/>
        <family val="0"/>
        <charset val="1"/>
      </rPr>
      <t xml:space="preserve">/ KPI</t>
    </r>
  </si>
  <si>
    <r>
      <rPr>
        <b val="true"/>
        <sz val="9"/>
        <color rgb="FF1F3864"/>
        <rFont val="FreeSans"/>
        <family val="2"/>
      </rPr>
      <t xml:space="preserve">สูตรและการแปลผล </t>
    </r>
    <r>
      <rPr>
        <b val="true"/>
        <sz val="9"/>
        <color rgb="FF1F3864"/>
        <rFont val="Tahoma"/>
        <family val="0"/>
        <charset val="1"/>
      </rPr>
      <t xml:space="preserve">/ Formula &amp; Interpretation</t>
    </r>
  </si>
  <si>
    <t xml:space="preserve">กราฟความก้าวหน้าสะสมตามเวลา</t>
  </si>
  <si>
    <r>
      <rPr>
        <sz val="9"/>
        <rFont val="FreeSans"/>
        <family val="2"/>
      </rPr>
      <t xml:space="preserve">เส้นจริงต่ำกว่าแผน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</rPr>
      <t xml:space="preserve">ล่าช้า • ระยะห่างแนวนอน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</rPr>
      <t xml:space="preserve">ช้ากี่วัน</t>
    </r>
  </si>
  <si>
    <t xml:space="preserve">Baseline / Revised / Forecast</t>
  </si>
  <si>
    <r>
      <rPr>
        <sz val="9"/>
        <rFont val="FreeSans"/>
        <family val="2"/>
      </rPr>
      <t xml:space="preserve">แผนตามสัญญา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แผนเร่งรัด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เส้นคาดการณ์</t>
    </r>
  </si>
  <si>
    <r>
      <rPr>
        <sz val="9"/>
        <rFont val="Tahoma"/>
        <family val="0"/>
        <charset val="1"/>
      </rPr>
      <t xml:space="preserve">Forecast </t>
    </r>
    <r>
      <rPr>
        <sz val="9"/>
        <rFont val="FreeSans"/>
        <family val="2"/>
      </rPr>
      <t xml:space="preserve">ลากจากจุดจริงล่าสุดไป </t>
    </r>
    <r>
      <rPr>
        <sz val="9"/>
        <rFont val="Tahoma"/>
        <family val="0"/>
        <charset val="1"/>
      </rPr>
      <t xml:space="preserve">100% </t>
    </r>
    <r>
      <rPr>
        <sz val="9"/>
        <rFont val="FreeSans"/>
        <family val="2"/>
      </rPr>
      <t xml:space="preserve">ณ วันคาดว่าเสร็จ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แสดงถึงสุดแกนเวลา</t>
    </r>
    <r>
      <rPr>
        <sz val="9"/>
        <rFont val="Tahoma"/>
        <family val="0"/>
        <charset val="1"/>
      </rPr>
      <t xml:space="preserve">)</t>
    </r>
  </si>
  <si>
    <t xml:space="preserve">Data Date</t>
  </si>
  <si>
    <t xml:space="preserve">วันที่ของข้อมูลผลงานจริงที่ใช้คำนวณ</t>
  </si>
  <si>
    <r>
      <rPr>
        <sz val="9"/>
        <rFont val="FreeSans"/>
        <family val="2"/>
      </rPr>
      <t xml:space="preserve">ไม่ตรงกับ </t>
    </r>
    <r>
      <rPr>
        <sz val="9"/>
        <rFont val="Tahoma"/>
        <family val="0"/>
        <charset val="1"/>
      </rPr>
      <t xml:space="preserve">Status Date (</t>
    </r>
    <r>
      <rPr>
        <sz val="9"/>
        <rFont val="FreeSans"/>
        <family val="2"/>
      </rPr>
      <t xml:space="preserve">สีแดง</t>
    </r>
    <r>
      <rPr>
        <sz val="9"/>
        <rFont val="Tahoma"/>
        <family val="0"/>
        <charset val="1"/>
      </rPr>
      <t xml:space="preserve">) = </t>
    </r>
    <r>
      <rPr>
        <sz val="9"/>
        <rFont val="FreeSans"/>
        <family val="2"/>
      </rPr>
      <t xml:space="preserve">ยังไม่อัปเดต</t>
    </r>
  </si>
  <si>
    <t xml:space="preserve">PV / EV / AC</t>
  </si>
  <si>
    <r>
      <rPr>
        <sz val="9"/>
        <rFont val="FreeSans"/>
        <family val="2"/>
      </rPr>
      <t xml:space="preserve">มูลค่างานตามแผน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มูลค่างานที่ทำได้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ต้นทุนจริง</t>
    </r>
  </si>
  <si>
    <r>
      <rPr>
        <sz val="9"/>
        <rFont val="Tahoma"/>
        <family val="0"/>
        <charset val="1"/>
      </rPr>
      <t xml:space="preserve">PV = %</t>
    </r>
    <r>
      <rPr>
        <sz val="9"/>
        <rFont val="FreeSans"/>
        <family val="2"/>
      </rPr>
      <t xml:space="preserve">แผน </t>
    </r>
    <r>
      <rPr>
        <sz val="9"/>
        <rFont val="Tahoma"/>
        <family val="0"/>
        <charset val="1"/>
      </rPr>
      <t xml:space="preserve">× BAC • EV = %</t>
    </r>
    <r>
      <rPr>
        <sz val="9"/>
        <rFont val="FreeSans"/>
        <family val="2"/>
      </rPr>
      <t xml:space="preserve">จริง </t>
    </r>
    <r>
      <rPr>
        <sz val="9"/>
        <rFont val="Tahoma"/>
        <family val="0"/>
        <charset val="1"/>
      </rPr>
      <t xml:space="preserve">× BAC • AC </t>
    </r>
    <r>
      <rPr>
        <sz val="9"/>
        <rFont val="FreeSans"/>
        <family val="2"/>
      </rPr>
      <t xml:space="preserve">กรอกเอง</t>
    </r>
  </si>
  <si>
    <t xml:space="preserve">SV / CV</t>
  </si>
  <si>
    <r>
      <rPr>
        <sz val="9"/>
        <rFont val="FreeSans"/>
        <family val="2"/>
      </rPr>
      <t xml:space="preserve">ผลต่างด้านเวลา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ด้านต้นทุน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</si>
  <si>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SV = EV − PV • CV = EV − AC • </t>
    </r>
    <r>
      <rPr>
        <sz val="9"/>
        <rFont val="FreeSans"/>
        <family val="2"/>
      </rPr>
      <t xml:space="preserve">ติดลบ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</rPr>
      <t xml:space="preserve">ไม่ดี</t>
    </r>
  </si>
  <si>
    <t xml:space="preserve">SPI</t>
  </si>
  <si>
    <t xml:space="preserve">ประสิทธิภาพด้านเวลา</t>
  </si>
  <si>
    <r>
      <rPr>
        <sz val="9"/>
        <rFont val="Tahoma"/>
        <family val="0"/>
        <charset val="1"/>
      </rPr>
      <t xml:space="preserve">EV ÷ PV • ≥1.00 </t>
    </r>
    <r>
      <rPr>
        <sz val="9"/>
        <rFont val="FreeSans"/>
        <family val="2"/>
      </rPr>
      <t xml:space="preserve">ตามแผน • </t>
    </r>
    <r>
      <rPr>
        <sz val="9"/>
        <rFont val="Tahoma"/>
        <family val="0"/>
        <charset val="1"/>
      </rPr>
      <t xml:space="preserve">0.90–0.99 </t>
    </r>
    <r>
      <rPr>
        <sz val="9"/>
        <rFont val="FreeSans"/>
        <family val="2"/>
      </rPr>
      <t xml:space="preserve">เฝ้าระวัง • </t>
    </r>
    <r>
      <rPr>
        <sz val="9"/>
        <rFont val="Tahoma"/>
        <family val="0"/>
        <charset val="1"/>
      </rPr>
      <t xml:space="preserve">&lt;0.90 </t>
    </r>
    <r>
      <rPr>
        <sz val="9"/>
        <rFont val="FreeSans"/>
        <family val="2"/>
      </rPr>
      <t xml:space="preserve">ล่าช้ามาก</t>
    </r>
  </si>
  <si>
    <t xml:space="preserve">CPI</t>
  </si>
  <si>
    <t xml:space="preserve">ประสิทธิภาพด้านต้นทุน</t>
  </si>
  <si>
    <r>
      <rPr>
        <sz val="9"/>
        <rFont val="Tahoma"/>
        <family val="0"/>
        <charset val="1"/>
      </rPr>
      <t xml:space="preserve">EV ÷ AC • &lt;1.00 </t>
    </r>
    <r>
      <rPr>
        <sz val="9"/>
        <rFont val="FreeSans"/>
        <family val="2"/>
      </rPr>
      <t xml:space="preserve">ใช้เงินเกินมูลค่างาน</t>
    </r>
  </si>
  <si>
    <t xml:space="preserve">EAC / ETC / VAC</t>
  </si>
  <si>
    <r>
      <rPr>
        <sz val="9"/>
        <rFont val="FreeSans"/>
        <family val="2"/>
      </rPr>
      <t xml:space="preserve">ต้นทุนรวมคาดการณ์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ต้นทุนที่ต้องใช้อีก </t>
    </r>
    <r>
      <rPr>
        <sz val="9"/>
        <rFont val="Tahoma"/>
        <family val="0"/>
        <charset val="1"/>
      </rPr>
      <t xml:space="preserve">/ </t>
    </r>
    <r>
      <rPr>
        <sz val="9"/>
        <rFont val="FreeSans"/>
        <family val="2"/>
      </rPr>
      <t xml:space="preserve">คาดว่าเกินหรือต่ำกว่างบ</t>
    </r>
  </si>
  <si>
    <t xml:space="preserve">BAC ÷ CPI • EAC − AC • BAC − EAC</t>
  </si>
  <si>
    <t xml:space="preserve">TCPI</t>
  </si>
  <si>
    <t xml:space="preserve">ประสิทธิภาพต้นทุนที่ต้องทำให้ได้กับงานที่เหลือ</t>
  </si>
  <si>
    <r>
      <rPr>
        <sz val="9"/>
        <rFont val="Tahoma"/>
        <family val="0"/>
        <charset val="1"/>
      </rPr>
      <t xml:space="preserve">(BAC − EV) ÷ (BAC − AC) • &gt;1.10 </t>
    </r>
    <r>
      <rPr>
        <sz val="9"/>
        <rFont val="FreeSans"/>
        <family val="2"/>
      </rPr>
      <t xml:space="preserve">เป็นไปได้ยาก</t>
    </r>
  </si>
  <si>
    <t xml:space="preserve">ES / AT / SV(t) / SPI(t)</t>
  </si>
  <si>
    <r>
      <rPr>
        <sz val="9"/>
        <rFont val="Tahoma"/>
        <family val="0"/>
        <charset val="1"/>
      </rPr>
      <t xml:space="preserve">Earned Schedule: </t>
    </r>
    <r>
      <rPr>
        <sz val="9"/>
        <rFont val="FreeSans"/>
        <family val="2"/>
      </rPr>
      <t xml:space="preserve">วัดความล่าช้าเป็นวัน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มาตรฐานสากล แม่นกว่า </t>
    </r>
    <r>
      <rPr>
        <sz val="9"/>
        <rFont val="Tahoma"/>
        <family val="0"/>
        <charset val="1"/>
      </rPr>
      <t xml:space="preserve">SPI </t>
    </r>
    <r>
      <rPr>
        <sz val="9"/>
        <rFont val="FreeSans"/>
        <family val="2"/>
      </rPr>
      <t xml:space="preserve">ช่วงท้ายโครงการ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</si>
  <si>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ES = </t>
    </r>
    <r>
      <rPr>
        <sz val="9"/>
        <rFont val="FreeSans"/>
        <family val="2"/>
      </rPr>
      <t xml:space="preserve">วันที่แผนเท่ากับผลงานจริง • </t>
    </r>
    <r>
      <rPr>
        <sz val="9"/>
        <rFont val="Tahoma"/>
        <family val="0"/>
        <charset val="1"/>
      </rPr>
      <t xml:space="preserve">SV(t) = ES − AT • SPI(t) = ES ÷ AT</t>
    </r>
  </si>
  <si>
    <t xml:space="preserve">Forecast Completion</t>
  </si>
  <si>
    <t xml:space="preserve">คาดการณ์วันแล้วเสร็จ</t>
  </si>
  <si>
    <r>
      <rPr>
        <sz val="9"/>
        <rFont val="FreeSans"/>
        <family val="2"/>
      </rPr>
      <t xml:space="preserve">มี </t>
    </r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รายรายการ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</rPr>
      <t xml:space="preserve">วันเสร็จคาดการณ์ช้าสุด • ไม่มี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</rPr>
      <t xml:space="preserve">ระยะเวลา </t>
    </r>
    <r>
      <rPr>
        <sz val="9"/>
        <rFont val="Tahoma"/>
        <family val="0"/>
        <charset val="1"/>
      </rPr>
      <t xml:space="preserve">÷ SPI(t)</t>
    </r>
  </si>
  <si>
    <t xml:space="preserve">Required Rate</t>
  </si>
  <si>
    <r>
      <rPr>
        <sz val="9"/>
        <rFont val="FreeSans"/>
        <family val="2"/>
      </rPr>
      <t xml:space="preserve">ต้องทำวันละกี่ </t>
    </r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จึงจะทันสัญญา</t>
    </r>
  </si>
  <si>
    <r>
      <rPr>
        <sz val="9"/>
        <rFont val="Tahoma"/>
        <family val="0"/>
        <charset val="1"/>
      </rPr>
      <t xml:space="preserve">(100% − %</t>
    </r>
    <r>
      <rPr>
        <sz val="9"/>
        <rFont val="FreeSans"/>
        <family val="2"/>
      </rPr>
      <t xml:space="preserve">จริง</t>
    </r>
    <r>
      <rPr>
        <sz val="9"/>
        <rFont val="Tahoma"/>
        <family val="0"/>
        <charset val="1"/>
      </rPr>
      <t xml:space="preserve">) ÷ </t>
    </r>
    <r>
      <rPr>
        <sz val="9"/>
        <rFont val="FreeSans"/>
        <family val="2"/>
      </rPr>
      <t xml:space="preserve">วันคงเหลือ</t>
    </r>
  </si>
  <si>
    <t xml:space="preserve">EOT</t>
  </si>
  <si>
    <t xml:space="preserve">การขยายเวลาตามสัญญา</t>
  </si>
  <si>
    <t xml:space="preserve">วันที่อนุมัติจะเลื่อนวันสิ้นสุดสัญญาและลดค่าปรับ</t>
  </si>
  <si>
    <r>
      <rPr>
        <b val="true"/>
        <sz val="9"/>
        <rFont val="Tahoma"/>
        <family val="0"/>
        <charset val="1"/>
      </rPr>
      <t xml:space="preserve">LD / </t>
    </r>
    <r>
      <rPr>
        <b val="true"/>
        <sz val="9"/>
        <rFont val="FreeSans"/>
        <family val="2"/>
      </rPr>
      <t xml:space="preserve">ค่าปรับ</t>
    </r>
  </si>
  <si>
    <t xml:space="preserve">ค่าปรับรายวันกรณีส่งมอบล่าช้า</t>
  </si>
  <si>
    <r>
      <rPr>
        <sz val="9"/>
        <rFont val="Tahoma"/>
        <family val="0"/>
        <charset val="1"/>
      </rPr>
      <t xml:space="preserve">MAX(</t>
    </r>
    <r>
      <rPr>
        <sz val="9"/>
        <rFont val="FreeSans"/>
        <family val="2"/>
      </rPr>
      <t xml:space="preserve">ขั้นต่ำ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อัตรา </t>
    </r>
    <r>
      <rPr>
        <sz val="9"/>
        <rFont val="Tahoma"/>
        <family val="0"/>
        <charset val="1"/>
      </rPr>
      <t xml:space="preserve">× </t>
    </r>
    <r>
      <rPr>
        <sz val="9"/>
        <rFont val="FreeSans"/>
        <family val="2"/>
      </rPr>
      <t xml:space="preserve">มูลค่าสัญญา</t>
    </r>
    <r>
      <rPr>
        <sz val="9"/>
        <rFont val="Tahoma"/>
        <family val="0"/>
        <charset val="1"/>
      </rPr>
      <t xml:space="preserve">) × </t>
    </r>
    <r>
      <rPr>
        <sz val="9"/>
        <rFont val="FreeSans"/>
        <family val="2"/>
      </rPr>
      <t xml:space="preserve">วันล่าช้า</t>
    </r>
  </si>
  <si>
    <r>
      <rPr>
        <b val="true"/>
        <sz val="9"/>
        <rFont val="Tahoma"/>
        <family val="0"/>
        <charset val="1"/>
      </rPr>
      <t xml:space="preserve">SPI </t>
    </r>
    <r>
      <rPr>
        <b val="true"/>
        <sz val="9"/>
        <rFont val="FreeSans"/>
        <family val="2"/>
      </rPr>
      <t xml:space="preserve">รายงานส่วน</t>
    </r>
  </si>
  <si>
    <t xml:space="preserve">ประสิทธิภาพเวลาของแต่ละงานส่วน</t>
  </si>
  <si>
    <r>
      <rPr>
        <sz val="9"/>
        <rFont val="Tahoma"/>
        <family val="0"/>
        <charset val="1"/>
      </rPr>
      <t xml:space="preserve">%</t>
    </r>
    <r>
      <rPr>
        <sz val="9"/>
        <rFont val="FreeSans"/>
        <family val="2"/>
      </rPr>
      <t xml:space="preserve">จริงของงานส่วน </t>
    </r>
    <r>
      <rPr>
        <sz val="9"/>
        <rFont val="Tahoma"/>
        <family val="0"/>
        <charset val="1"/>
      </rPr>
      <t xml:space="preserve">÷ %</t>
    </r>
    <r>
      <rPr>
        <sz val="9"/>
        <rFont val="FreeSans"/>
        <family val="2"/>
      </rPr>
      <t xml:space="preserve">แผนของงานส่วน – ใช้หาว่าส่วนไหนเป็นตัวถ่วง</t>
    </r>
  </si>
  <si>
    <r>
      <rPr>
        <b val="true"/>
        <sz val="11"/>
        <color rgb="FFFFFFFF"/>
        <rFont val="Tahoma"/>
        <family val="0"/>
        <charset val="1"/>
      </rPr>
      <t xml:space="preserve">9. </t>
    </r>
    <r>
      <rPr>
        <b val="true"/>
        <sz val="11"/>
        <color rgb="FFFFFFFF"/>
        <rFont val="FreeSans"/>
        <family val="2"/>
      </rPr>
      <t xml:space="preserve">ข้อจำกัด </t>
    </r>
    <r>
      <rPr>
        <b val="true"/>
        <sz val="11"/>
        <color rgb="FFFFFFFF"/>
        <rFont val="Tahoma"/>
        <family val="0"/>
        <charset val="1"/>
      </rPr>
      <t xml:space="preserve">/ Limitations</t>
    </r>
  </si>
  <si>
    <r>
      <rPr>
        <sz val="9"/>
        <rFont val="FreeSans"/>
        <family val="2"/>
      </rPr>
      <t xml:space="preserve">• ความจุ</t>
    </r>
    <r>
      <rPr>
        <sz val="9"/>
        <rFont val="Tahoma"/>
        <family val="0"/>
        <charset val="1"/>
      </rPr>
      <t xml:space="preserve">: 150 </t>
    </r>
    <r>
      <rPr>
        <sz val="9"/>
        <rFont val="FreeSans"/>
        <family val="2"/>
      </rPr>
      <t xml:space="preserve">รายการงาน • </t>
    </r>
    <r>
      <rPr>
        <sz val="9"/>
        <rFont val="Tahoma"/>
        <family val="0"/>
        <charset val="1"/>
      </rPr>
      <t xml:space="preserve">10 </t>
    </r>
    <r>
      <rPr>
        <sz val="9"/>
        <rFont val="FreeSans"/>
        <family val="2"/>
      </rPr>
      <t xml:space="preserve">งานส่วน • </t>
    </r>
    <r>
      <rPr>
        <sz val="9"/>
        <rFont val="Tahoma"/>
        <family val="0"/>
        <charset val="1"/>
      </rPr>
      <t xml:space="preserve">10 </t>
    </r>
    <r>
      <rPr>
        <sz val="9"/>
        <rFont val="FreeSans"/>
        <family val="2"/>
      </rPr>
      <t xml:space="preserve">หมวด • </t>
    </r>
    <r>
      <rPr>
        <sz val="9"/>
        <rFont val="Tahoma"/>
        <family val="0"/>
        <charset val="1"/>
      </rPr>
      <t xml:space="preserve">80 </t>
    </r>
    <r>
      <rPr>
        <sz val="9"/>
        <rFont val="FreeSans"/>
        <family val="2"/>
      </rPr>
      <t xml:space="preserve">งวด • </t>
    </r>
    <r>
      <rPr>
        <sz val="9"/>
        <rFont val="Tahoma"/>
        <family val="0"/>
        <charset val="1"/>
      </rPr>
      <t xml:space="preserve">50 </t>
    </r>
    <r>
      <rPr>
        <sz val="9"/>
        <rFont val="FreeSans"/>
        <family val="2"/>
      </rPr>
      <t xml:space="preserve">เหตุการณ์ขยายเวลา</t>
    </r>
  </si>
  <si>
    <r>
      <rPr>
        <sz val="9"/>
        <rFont val="FreeSans"/>
        <family val="2"/>
      </rPr>
      <t xml:space="preserve">• ไม่วิเคราะห์ความสัมพันธ์ระหว่างงาน </t>
    </r>
    <r>
      <rPr>
        <sz val="9"/>
        <rFont val="Tahoma"/>
        <family val="0"/>
        <charset val="1"/>
      </rPr>
      <t xml:space="preserve">(Critical Path) – </t>
    </r>
    <r>
      <rPr>
        <sz val="9"/>
        <rFont val="FreeSans"/>
        <family val="2"/>
      </rPr>
      <t xml:space="preserve">ถ้าต้องการ ใช้ร่วมกับ </t>
    </r>
    <r>
      <rPr>
        <sz val="9"/>
        <rFont val="Tahoma"/>
        <family val="0"/>
        <charset val="1"/>
      </rPr>
      <t xml:space="preserve">MS Project </t>
    </r>
    <r>
      <rPr>
        <sz val="9"/>
        <rFont val="FreeSans"/>
        <family val="2"/>
      </rPr>
      <t xml:space="preserve">หรือ </t>
    </r>
    <r>
      <rPr>
        <sz val="9"/>
        <rFont val="Tahoma"/>
        <family val="0"/>
        <charset val="1"/>
      </rPr>
      <t xml:space="preserve">Primavera P6</t>
    </r>
  </si>
  <si>
    <r>
      <rPr>
        <sz val="9"/>
        <rFont val="Tahoma"/>
        <family val="0"/>
        <charset val="1"/>
      </rPr>
      <t xml:space="preserve">• S-Curve </t>
    </r>
    <r>
      <rPr>
        <sz val="9"/>
        <rFont val="FreeSans"/>
        <family val="2"/>
      </rPr>
      <t xml:space="preserve">รายงานส่วนแสดงเป็นตาราง </t>
    </r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Gantt (</t>
    </r>
    <r>
      <rPr>
        <sz val="9"/>
        <rFont val="FreeSans"/>
        <family val="2"/>
      </rPr>
      <t xml:space="preserve">ไม่มีกราฟ </t>
    </r>
    <r>
      <rPr>
        <sz val="9"/>
        <rFont val="Tahoma"/>
        <family val="0"/>
        <charset val="1"/>
      </rPr>
      <t xml:space="preserve">S-Curve </t>
    </r>
    <r>
      <rPr>
        <sz val="9"/>
        <rFont val="FreeSans"/>
        <family val="2"/>
      </rPr>
      <t xml:space="preserve">แยกรายงานส่วน เพราะต้องเก็บประวัติ </t>
    </r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จริงแยกทุกส่วนทุกงวด</t>
    </r>
    <r>
      <rPr>
        <sz val="9"/>
        <rFont val="Tahoma"/>
        <family val="0"/>
        <charset val="1"/>
      </rPr>
      <t xml:space="preserve">)</t>
    </r>
  </si>
  <si>
    <t xml:space="preserve">• อัตราค่าปรับในตัวอย่างเป็นค่าสมมติ ต้องแก้ให้ตรงตามสัญญา</t>
  </si>
  <si>
    <r>
      <rPr>
        <b val="true"/>
        <sz val="11"/>
        <color rgb="FFFFFFFF"/>
        <rFont val="FreeSans"/>
        <family val="2"/>
      </rPr>
      <t xml:space="preserve">รายงานต่อคณะกรรมการตรวจรับพัสดุ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รายสัปดาห์</t>
    </r>
    <r>
      <rPr>
        <b val="true"/>
        <sz val="11"/>
        <color rgb="FFFFFFFF"/>
        <rFont val="Tahoma"/>
        <family val="0"/>
        <charset val="1"/>
      </rPr>
      <t xml:space="preserve">) / Weekly Committee Report</t>
    </r>
  </si>
  <si>
    <r>
      <rPr>
        <sz val="9"/>
        <rFont val="FreeSans"/>
        <family val="2"/>
      </rPr>
      <t xml:space="preserve">ชุดรายงานนี้มี </t>
    </r>
    <r>
      <rPr>
        <sz val="9"/>
        <rFont val="Tahoma"/>
        <family val="0"/>
        <charset val="1"/>
      </rPr>
      <t xml:space="preserve">3 </t>
    </r>
    <r>
      <rPr>
        <sz val="9"/>
        <rFont val="FreeSans"/>
        <family val="2"/>
      </rPr>
      <t xml:space="preserve">ชีต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แท็บสีม่วง</t>
    </r>
    <r>
      <rPr>
        <sz val="9"/>
        <rFont val="Tahoma"/>
        <family val="0"/>
        <charset val="1"/>
      </rPr>
      <t xml:space="preserve">): </t>
    </r>
    <r>
      <rPr>
        <sz val="9"/>
        <rFont val="FreeSans"/>
        <family val="2"/>
      </rPr>
      <t xml:space="preserve">งวดงาน </t>
    </r>
    <r>
      <rPr>
        <sz val="9"/>
        <rFont val="Tahoma"/>
        <family val="0"/>
        <charset val="1"/>
      </rPr>
      <t xml:space="preserve">Installments • </t>
    </r>
    <r>
      <rPr>
        <sz val="9"/>
        <rFont val="FreeSans"/>
        <family val="2"/>
      </rPr>
      <t xml:space="preserve">บันทึกสัปดาห์ </t>
    </r>
    <r>
      <rPr>
        <sz val="9"/>
        <rFont val="Tahoma"/>
        <family val="0"/>
        <charset val="1"/>
      </rPr>
      <t xml:space="preserve">Weekly Log • </t>
    </r>
    <r>
      <rPr>
        <sz val="9"/>
        <rFont val="FreeSans"/>
        <family val="2"/>
      </rPr>
      <t xml:space="preserve">รายงานกรรมการ </t>
    </r>
    <r>
      <rPr>
        <sz val="9"/>
        <rFont val="Tahoma"/>
        <family val="0"/>
        <charset val="1"/>
      </rPr>
      <t xml:space="preserve">Weekly (</t>
    </r>
    <r>
      <rPr>
        <sz val="9"/>
        <rFont val="FreeSans"/>
        <family val="2"/>
      </rPr>
      <t xml:space="preserve">พิมพ์ได้ในรูปแบบบันทึกข้อความ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</si>
  <si>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ครั้งแรก</t>
    </r>
    <r>
      <rPr>
        <sz val="9"/>
        <rFont val="Tahoma"/>
        <family val="0"/>
        <charset val="1"/>
      </rPr>
      <t xml:space="preserve">: (1) </t>
    </r>
    <r>
      <rPr>
        <sz val="9"/>
        <rFont val="FreeSans"/>
        <family val="2"/>
      </rPr>
      <t xml:space="preserve">ชีตงวดงาน – กรอกงวดงานตามสัญญา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เนื้องาน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ผลงานสะสมที่กำหนด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ถ้ามี</t>
    </r>
    <r>
      <rPr>
        <sz val="9"/>
        <rFont val="Tahoma"/>
        <family val="0"/>
        <charset val="1"/>
      </rPr>
      <t xml:space="preserve">), </t>
    </r>
    <r>
      <rPr>
        <sz val="9"/>
        <rFont val="FreeSans"/>
        <family val="2"/>
      </rPr>
      <t xml:space="preserve">กำหนดเสร็จ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จำนวนเงิน • ยอดรวมต้องเท่ามูลค่าสัญญา</t>
    </r>
  </si>
  <si>
    <r>
      <rPr>
        <sz val="9"/>
        <rFont val="Tahoma"/>
        <family val="0"/>
        <charset val="1"/>
      </rPr>
      <t xml:space="preserve">            (2) </t>
    </r>
    <r>
      <rPr>
        <sz val="9"/>
        <rFont val="FreeSans"/>
        <family val="2"/>
      </rPr>
      <t xml:space="preserve">ชีตบันทึกสัปดาห์ – กรอกส่วนราชการ เลขที่หนังสือ วันลงนามสัญญา ชื่อผู้ควบคุมงาน และคณะกรรมการ</t>
    </r>
  </si>
  <si>
    <r>
      <rPr>
        <sz val="9"/>
        <rFont val="FreeSans"/>
        <family val="2"/>
      </rPr>
      <t xml:space="preserve">ทุกสัปดาห์</t>
    </r>
    <r>
      <rPr>
        <sz val="9"/>
        <rFont val="Tahoma"/>
        <family val="0"/>
        <charset val="1"/>
      </rPr>
      <t xml:space="preserve">: (1) </t>
    </r>
    <r>
      <rPr>
        <sz val="9"/>
        <rFont val="FreeSans"/>
        <family val="2"/>
      </rPr>
      <t xml:space="preserve">ชีตบันทึกสัปดาห์ – กรอกแถวของสัปดาห์นั้น</t>
    </r>
    <r>
      <rPr>
        <sz val="9"/>
        <rFont val="Tahoma"/>
        <family val="0"/>
        <charset val="1"/>
      </rPr>
      <t xml:space="preserve">: % </t>
    </r>
    <r>
      <rPr>
        <sz val="9"/>
        <rFont val="FreeSans"/>
        <family val="2"/>
      </rPr>
      <t xml:space="preserve">จริงสะสม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คนงาน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เครื่องจักร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วันทำงาน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งานที่ทำ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แผนสัปดาห์หน้า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วัสดุ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การทดสอบ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ปัญหา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ความเห็น</t>
    </r>
  </si>
  <si>
    <r>
      <rPr>
        <sz val="9"/>
        <rFont val="Tahoma"/>
        <family val="0"/>
        <charset val="1"/>
      </rPr>
      <t xml:space="preserve">            (2) </t>
    </r>
    <r>
      <rPr>
        <sz val="9"/>
        <rFont val="FreeSans"/>
        <family val="2"/>
      </rPr>
      <t xml:space="preserve">ช่อง </t>
    </r>
    <r>
      <rPr>
        <sz val="9"/>
        <rFont val="Tahoma"/>
        <family val="0"/>
        <charset val="1"/>
      </rPr>
      <t xml:space="preserve">'</t>
    </r>
    <r>
      <rPr>
        <sz val="9"/>
        <rFont val="FreeSans"/>
        <family val="2"/>
      </rPr>
      <t xml:space="preserve">รายงานสัปดาห์ที่</t>
    </r>
    <r>
      <rPr>
        <sz val="9"/>
        <rFont val="Tahoma"/>
        <family val="0"/>
        <charset val="1"/>
      </rPr>
      <t xml:space="preserve">' </t>
    </r>
    <r>
      <rPr>
        <sz val="9"/>
        <rFont val="FreeSans"/>
        <family val="2"/>
      </rPr>
      <t xml:space="preserve">เลือกสัปดาห์ล่าสุดที่ครบ </t>
    </r>
    <r>
      <rPr>
        <sz val="9"/>
        <rFont val="Tahoma"/>
        <family val="0"/>
        <charset val="1"/>
      </rPr>
      <t xml:space="preserve">7 </t>
    </r>
    <r>
      <rPr>
        <sz val="9"/>
        <rFont val="FreeSans"/>
        <family val="2"/>
      </rPr>
      <t xml:space="preserve">วันให้อัตโนมัติ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พิมพ์ทับได้ถ้าต้องการพิมพ์สัปดาห์ย้อนหลัง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</si>
  <si>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            (3) </t>
    </r>
    <r>
      <rPr>
        <sz val="9"/>
        <rFont val="FreeSans"/>
        <family val="2"/>
      </rPr>
      <t xml:space="preserve">ชีตงวดงาน – อัปเดตวันที่ส่งมอบ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ตรวจรับ เมื่อมี • </t>
    </r>
    <r>
      <rPr>
        <sz val="9"/>
        <rFont val="Tahoma"/>
        <family val="0"/>
        <charset val="1"/>
      </rPr>
      <t xml:space="preserve">(4) </t>
    </r>
    <r>
      <rPr>
        <sz val="9"/>
        <rFont val="FreeSans"/>
        <family val="2"/>
      </rPr>
      <t xml:space="preserve">ชีตรายงานกรรมการ – แทรกรูปถ่าย แล้วสั่งพิมพ์ </t>
    </r>
    <r>
      <rPr>
        <sz val="9"/>
        <rFont val="Tahoma"/>
        <family val="0"/>
        <charset val="1"/>
      </rPr>
      <t xml:space="preserve">(A4 </t>
    </r>
    <r>
      <rPr>
        <sz val="9"/>
        <rFont val="FreeSans"/>
        <family val="2"/>
      </rPr>
      <t xml:space="preserve">แนวตั้ง </t>
    </r>
    <r>
      <rPr>
        <sz val="9"/>
        <rFont val="Tahoma"/>
        <family val="0"/>
        <charset val="1"/>
      </rPr>
      <t xml:space="preserve">3–4 </t>
    </r>
    <r>
      <rPr>
        <sz val="9"/>
        <rFont val="FreeSans"/>
        <family val="2"/>
      </rPr>
      <t xml:space="preserve">หน้า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</si>
  <si>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สัปดาห์ของรายงานนับจากวันเริ่มสัญญาทุก </t>
    </r>
    <r>
      <rPr>
        <sz val="9"/>
        <rFont val="Tahoma"/>
        <family val="0"/>
        <charset val="1"/>
      </rPr>
      <t xml:space="preserve">7 </t>
    </r>
    <r>
      <rPr>
        <sz val="9"/>
        <rFont val="FreeSans"/>
        <family val="2"/>
      </rPr>
      <t xml:space="preserve">วัน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สัปดาห์ที่ </t>
    </r>
    <r>
      <rPr>
        <sz val="9"/>
        <rFont val="Tahoma"/>
        <family val="0"/>
        <charset val="1"/>
      </rPr>
      <t xml:space="preserve">1 = </t>
    </r>
    <r>
      <rPr>
        <sz val="9"/>
        <rFont val="FreeSans"/>
        <family val="2"/>
      </rPr>
      <t xml:space="preserve">วันเริ่มสัญญา ถึง </t>
    </r>
    <r>
      <rPr>
        <sz val="9"/>
        <rFont val="Tahoma"/>
        <family val="0"/>
        <charset val="1"/>
      </rPr>
      <t xml:space="preserve">+6 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</rPr>
      <t xml:space="preserve">แยกอิสระจากรอบตัดงวด </t>
    </r>
    <r>
      <rPr>
        <sz val="9"/>
        <rFont val="Tahoma"/>
        <family val="0"/>
        <charset val="1"/>
      </rPr>
      <t xml:space="preserve">S-Curve </t>
    </r>
    <r>
      <rPr>
        <sz val="9"/>
        <rFont val="FreeSans"/>
        <family val="2"/>
      </rPr>
      <t xml:space="preserve">จึงไม่ต้องเปลี่ยนรอบ </t>
    </r>
    <r>
      <rPr>
        <sz val="9"/>
        <rFont val="Tahoma"/>
        <family val="0"/>
        <charset val="1"/>
      </rPr>
      <t xml:space="preserve">S-Curve</t>
    </r>
  </si>
  <si>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จริงสะสมรายสัปดาห์ ให้ใช้ค่าเดียวกับแถว </t>
    </r>
    <r>
      <rPr>
        <sz val="9"/>
        <rFont val="Tahoma"/>
        <family val="0"/>
        <charset val="1"/>
      </rPr>
      <t xml:space="preserve">TOTAL </t>
    </r>
    <r>
      <rPr>
        <sz val="9"/>
        <rFont val="FreeSans"/>
        <family val="2"/>
      </rPr>
      <t xml:space="preserve">คอลัมน์ </t>
    </r>
    <r>
      <rPr>
        <sz val="9"/>
        <rFont val="Tahoma"/>
        <family val="0"/>
        <charset val="1"/>
      </rPr>
      <t xml:space="preserve">% </t>
    </r>
    <r>
      <rPr>
        <sz val="9"/>
        <rFont val="FreeSans"/>
        <family val="2"/>
      </rPr>
      <t xml:space="preserve">งานนี้ ในชีตแผนงาน ณ วันสิ้นสัปดาห์</t>
    </r>
  </si>
  <si>
    <r>
      <rPr>
        <sz val="9"/>
        <rFont val="FreeSans"/>
        <family val="2"/>
      </rPr>
      <t xml:space="preserve">วันที่ในรายงานแสดงเป็น พ</t>
    </r>
    <r>
      <rPr>
        <sz val="9"/>
        <rFont val="Tahoma"/>
        <family val="0"/>
        <charset val="1"/>
      </rPr>
      <t xml:space="preserve">.</t>
    </r>
    <r>
      <rPr>
        <sz val="9"/>
        <rFont val="FreeSans"/>
        <family val="2"/>
      </rPr>
      <t xml:space="preserve">ศ</t>
    </r>
    <r>
      <rPr>
        <sz val="9"/>
        <rFont val="Tahoma"/>
        <family val="0"/>
        <charset val="1"/>
      </rPr>
      <t xml:space="preserve">. </t>
    </r>
    <r>
      <rPr>
        <sz val="9"/>
        <rFont val="FreeSans"/>
        <family val="2"/>
      </rPr>
      <t xml:space="preserve">อัตโนมัติ • รายงานอ้างอิงระเบียบฯ ที่กำหนดให้ผู้ควบคุมงานรายงานผลการปฏิบัติงานต่อคณะกรรมการตรวจรับพัสดุทุกสัปดาห์ – ตรวจสอบรูปแบบกับหน่วยงานของท่านอีกครั้ง</t>
    </r>
  </si>
  <si>
    <r>
      <rPr>
        <b val="true"/>
        <sz val="11"/>
        <color rgb="FFFFFFFF"/>
        <rFont val="FreeSans"/>
        <family val="2"/>
      </rPr>
      <t xml:space="preserve">การเงินสัญญาและวัสดุ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แท็บสีส้ม</t>
    </r>
    <r>
      <rPr>
        <b val="true"/>
        <sz val="11"/>
        <color rgb="FFFFFFFF"/>
        <rFont val="Tahoma"/>
        <family val="0"/>
        <charset val="1"/>
      </rPr>
      <t xml:space="preserve">) / Contract Finance &amp; Materials</t>
    </r>
  </si>
  <si>
    <r>
      <rPr>
        <sz val="9"/>
        <rFont val="FreeSans"/>
        <family val="2"/>
      </rPr>
      <t xml:space="preserve">งานเพิ่มลด </t>
    </r>
    <r>
      <rPr>
        <sz val="9"/>
        <rFont val="Tahoma"/>
        <family val="0"/>
        <charset val="1"/>
      </rPr>
      <t xml:space="preserve">VO: </t>
    </r>
    <r>
      <rPr>
        <sz val="9"/>
        <rFont val="FreeSans"/>
        <family val="2"/>
      </rPr>
      <t xml:space="preserve">บันทึกทุกการแก้ไขสัญญา • เฉพาะรายการที่ </t>
    </r>
    <r>
      <rPr>
        <sz val="9"/>
        <rFont val="Tahoma"/>
        <family val="0"/>
        <charset val="1"/>
      </rPr>
      <t xml:space="preserve">'</t>
    </r>
    <r>
      <rPr>
        <sz val="9"/>
        <rFont val="FreeSans"/>
        <family val="2"/>
      </rPr>
      <t xml:space="preserve">อนุมัติ</t>
    </r>
    <r>
      <rPr>
        <sz val="9"/>
        <rFont val="Tahoma"/>
        <family val="0"/>
        <charset val="1"/>
      </rPr>
      <t xml:space="preserve">' </t>
    </r>
    <r>
      <rPr>
        <sz val="9"/>
        <rFont val="FreeSans"/>
        <family val="2"/>
      </rPr>
      <t xml:space="preserve">จะปรับมูลค่าสัญญาปัจจุบัน • มูลค่าสัญญาเดิมในชีตตั้งค่ายังใช้เป็นฐาน </t>
    </r>
    <r>
      <rPr>
        <sz val="9"/>
        <rFont val="Tahoma"/>
        <family val="0"/>
        <charset val="1"/>
      </rPr>
      <t xml:space="preserve">(Baseline) </t>
    </r>
    <r>
      <rPr>
        <sz val="9"/>
        <rFont val="FreeSans"/>
        <family val="2"/>
      </rPr>
      <t xml:space="preserve">ของ </t>
    </r>
    <r>
      <rPr>
        <sz val="9"/>
        <rFont val="Tahoma"/>
        <family val="0"/>
        <charset val="1"/>
      </rPr>
      <t xml:space="preserve">S-Curve/EVM</t>
    </r>
  </si>
  <si>
    <r>
      <rPr>
        <sz val="9"/>
        <rFont val="FreeSans"/>
        <family val="2"/>
      </rPr>
      <t xml:space="preserve">   – งานเพิ่มที่อนุมัติ</t>
    </r>
    <r>
      <rPr>
        <sz val="9"/>
        <rFont val="Tahoma"/>
        <family val="0"/>
        <charset val="1"/>
      </rPr>
      <t xml:space="preserve">: </t>
    </r>
    <r>
      <rPr>
        <sz val="9"/>
        <rFont val="FreeSans"/>
        <family val="2"/>
      </rPr>
      <t xml:space="preserve">เพิ่มเป็นรายการใหม่ในชีตแผนงาน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มูลค่า </t>
    </r>
    <r>
      <rPr>
        <sz val="9"/>
        <rFont val="Tahoma"/>
        <family val="0"/>
        <charset val="1"/>
      </rPr>
      <t xml:space="preserve">BOQ + </t>
    </r>
    <r>
      <rPr>
        <sz val="9"/>
        <rFont val="FreeSans"/>
        <family val="2"/>
      </rPr>
      <t xml:space="preserve">วันแผน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</rPr>
      <t xml:space="preserve">เพื่อให้ผลงานรวมงานเพิ่ม • ถ้ากระทบเวลา ให้บันทึกในชีตขยายเวลา </t>
    </r>
    <r>
      <rPr>
        <sz val="9"/>
        <rFont val="Tahoma"/>
        <family val="0"/>
        <charset val="1"/>
      </rPr>
      <t xml:space="preserve">EOT</t>
    </r>
  </si>
  <si>
    <r>
      <rPr>
        <sz val="9"/>
        <rFont val="FreeSans"/>
        <family val="2"/>
      </rPr>
      <t xml:space="preserve">เงินงวด </t>
    </r>
    <r>
      <rPr>
        <sz val="9"/>
        <rFont val="Tahoma"/>
        <family val="0"/>
        <charset val="1"/>
      </rPr>
      <t xml:space="preserve">Payment: </t>
    </r>
    <r>
      <rPr>
        <sz val="9"/>
        <rFont val="FreeSans"/>
        <family val="2"/>
      </rPr>
      <t xml:space="preserve">ดึงงวดจากชีตงวดงาน แล้วคำนวณ ค่า </t>
    </r>
    <r>
      <rPr>
        <sz val="9"/>
        <rFont val="Tahoma"/>
        <family val="0"/>
        <charset val="1"/>
      </rPr>
      <t xml:space="preserve">K • </t>
    </r>
    <r>
      <rPr>
        <sz val="9"/>
        <rFont val="FreeSans"/>
        <family val="2"/>
      </rPr>
      <t xml:space="preserve">หักเงินล่วงหน้าตามสัดส่วน • หักเงินประกันผลงาน • ค่าปรับ → ยอดจ่ายสุทธิ</t>
    </r>
  </si>
  <si>
    <r>
      <rPr>
        <sz val="9"/>
        <rFont val="FreeSans"/>
        <family val="2"/>
      </rPr>
      <t xml:space="preserve">   – ค่า </t>
    </r>
    <r>
      <rPr>
        <sz val="9"/>
        <rFont val="Tahoma"/>
        <family val="0"/>
        <charset val="1"/>
      </rPr>
      <t xml:space="preserve">K: </t>
    </r>
    <r>
      <rPr>
        <sz val="9"/>
        <rFont val="FreeSans"/>
        <family val="2"/>
      </rPr>
      <t xml:space="preserve">ใส่สูตร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ค่าคงที่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สัมประสิทธิ์ </t>
    </r>
    <r>
      <rPr>
        <sz val="9"/>
        <rFont val="Tahoma"/>
        <family val="0"/>
        <charset val="1"/>
      </rPr>
      <t xml:space="preserve">+ </t>
    </r>
    <r>
      <rPr>
        <sz val="9"/>
        <rFont val="FreeSans"/>
        <family val="2"/>
      </rPr>
      <t xml:space="preserve">ดัชนีฐาน </t>
    </r>
    <r>
      <rPr>
        <sz val="9"/>
        <rFont val="Tahoma"/>
        <family val="0"/>
        <charset val="1"/>
      </rPr>
      <t xml:space="preserve">Io </t>
    </r>
    <r>
      <rPr>
        <sz val="9"/>
        <rFont val="FreeSans"/>
        <family val="2"/>
      </rPr>
      <t xml:space="preserve">เดือนเปิดซอง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</rPr>
      <t xml:space="preserve">ตามที่ระบุในสัญญา แล้วกรอกดัชนี </t>
    </r>
    <r>
      <rPr>
        <sz val="9"/>
        <rFont val="Tahoma"/>
        <family val="0"/>
        <charset val="1"/>
      </rPr>
      <t xml:space="preserve">It </t>
    </r>
    <r>
      <rPr>
        <sz val="9"/>
        <rFont val="FreeSans"/>
        <family val="2"/>
      </rPr>
      <t xml:space="preserve">ของเดือนส่งมอบแต่ละงวด • คิดเงินเพิ่ม</t>
    </r>
    <r>
      <rPr>
        <sz val="9"/>
        <rFont val="Tahoma"/>
        <family val="0"/>
        <charset val="1"/>
      </rPr>
      <t xml:space="preserve">/</t>
    </r>
    <r>
      <rPr>
        <sz val="9"/>
        <rFont val="FreeSans"/>
        <family val="2"/>
      </rPr>
      <t xml:space="preserve">ลดเฉพาะส่วนที่เกินเกณฑ์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ค่าเริ่มต้น </t>
    </r>
    <r>
      <rPr>
        <sz val="9"/>
        <rFont val="Tahoma"/>
        <family val="0"/>
        <charset val="1"/>
      </rPr>
      <t xml:space="preserve">4%)</t>
    </r>
  </si>
  <si>
    <r>
      <rPr>
        <sz val="9"/>
        <rFont val="FreeSans"/>
        <family val="2"/>
      </rPr>
      <t xml:space="preserve">   – อัตราเงินล่วงหน้า เงินประกันผลงาน สูตร </t>
    </r>
    <r>
      <rPr>
        <sz val="9"/>
        <rFont val="Tahoma"/>
        <family val="0"/>
        <charset val="1"/>
      </rPr>
      <t xml:space="preserve">K </t>
    </r>
    <r>
      <rPr>
        <sz val="9"/>
        <rFont val="FreeSans"/>
        <family val="2"/>
      </rPr>
      <t xml:space="preserve">และดัชนีในไฟล์เป็นค่าตัวอย่าง ต้องแก้ตามสัญญาจริง • ยอดสุทธิยังไม่คิดภาษี</t>
    </r>
  </si>
  <si>
    <r>
      <rPr>
        <sz val="9"/>
        <rFont val="FreeSans"/>
        <family val="2"/>
      </rPr>
      <t xml:space="preserve">ขออนุมัติวัสดุ </t>
    </r>
    <r>
      <rPr>
        <sz val="9"/>
        <rFont val="Tahoma"/>
        <family val="0"/>
        <charset val="1"/>
      </rPr>
      <t xml:space="preserve">Submittal: </t>
    </r>
    <r>
      <rPr>
        <sz val="9"/>
        <rFont val="FreeSans"/>
        <family val="2"/>
      </rPr>
      <t xml:space="preserve">เลือก </t>
    </r>
    <r>
      <rPr>
        <sz val="9"/>
        <rFont val="Tahoma"/>
        <family val="0"/>
        <charset val="1"/>
      </rPr>
      <t xml:space="preserve">WBS </t>
    </r>
    <r>
      <rPr>
        <sz val="9"/>
        <rFont val="FreeSans"/>
        <family val="2"/>
      </rPr>
      <t xml:space="preserve">ที่ใช้วัสดุ ระบบดึงวันเริ่มงาน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ใช้แผนเร่งรัดถ้ามี</t>
    </r>
    <r>
      <rPr>
        <sz val="9"/>
        <rFont val="Tahoma"/>
        <family val="0"/>
        <charset val="1"/>
      </rPr>
      <t xml:space="preserve">) </t>
    </r>
    <r>
      <rPr>
        <sz val="9"/>
        <rFont val="FreeSans"/>
        <family val="2"/>
      </rPr>
      <t xml:space="preserve">แล้วคำนวณวันที่ต้องได้รับอนุมัติ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</rPr>
      <t xml:space="preserve">วันเริ่มงาน − ระยะเวลาสั่งผลิต</t>
    </r>
  </si>
  <si>
    <r>
      <rPr>
        <sz val="9"/>
        <rFont val="FreeSans"/>
        <family val="2"/>
      </rPr>
      <t xml:space="preserve">   – สถานะแดง </t>
    </r>
    <r>
      <rPr>
        <sz val="9"/>
        <rFont val="Tahoma"/>
        <family val="0"/>
        <charset val="1"/>
      </rPr>
      <t xml:space="preserve">= </t>
    </r>
    <r>
      <rPr>
        <sz val="9"/>
        <rFont val="FreeSans"/>
        <family val="2"/>
      </rPr>
      <t xml:space="preserve">เลยกำหนดหรือเหลือไม่เกิน </t>
    </r>
    <r>
      <rPr>
        <sz val="9"/>
        <rFont val="Tahoma"/>
        <family val="0"/>
        <charset val="1"/>
      </rPr>
      <t xml:space="preserve">14 </t>
    </r>
    <r>
      <rPr>
        <sz val="9"/>
        <rFont val="FreeSans"/>
        <family val="2"/>
      </rPr>
      <t xml:space="preserve">วัน • ใช้ร่วมกับแอปเช็คลิสต์วัสดุ กฟภ</t>
    </r>
    <r>
      <rPr>
        <sz val="9"/>
        <rFont val="Tahoma"/>
        <family val="0"/>
        <charset val="1"/>
      </rPr>
      <t xml:space="preserve">.: </t>
    </r>
    <r>
      <rPr>
        <sz val="9"/>
        <rFont val="FreeSans"/>
        <family val="2"/>
      </rPr>
      <t xml:space="preserve">ตรวจด้วยแอป → บันทึกเลขที่เอกสารและผลตรวจ </t>
    </r>
    <r>
      <rPr>
        <sz val="9"/>
        <rFont val="Tahoma"/>
        <family val="0"/>
        <charset val="1"/>
      </rPr>
      <t xml:space="preserve">AI </t>
    </r>
    <r>
      <rPr>
        <sz val="9"/>
        <rFont val="FreeSans"/>
        <family val="2"/>
      </rPr>
      <t xml:space="preserve">ลงทะเบียนนี้</t>
    </r>
  </si>
  <si>
    <r>
      <rPr>
        <b val="true"/>
        <sz val="16"/>
        <color rgb="FF1F3864"/>
        <rFont val="FreeSans"/>
        <family val="2"/>
      </rPr>
      <t xml:space="preserve">ตั้งค่าโครงการ </t>
    </r>
    <r>
      <rPr>
        <b val="true"/>
        <sz val="16"/>
        <color rgb="FF1F3864"/>
        <rFont val="Tahoma"/>
        <family val="0"/>
        <charset val="1"/>
      </rPr>
      <t xml:space="preserve">/ Project Setup</t>
    </r>
  </si>
  <si>
    <r>
      <rPr>
        <i val="true"/>
        <sz val="9"/>
        <color rgb="FF595959"/>
        <rFont val="FreeSans"/>
        <family val="2"/>
      </rPr>
      <t xml:space="preserve">กรอกเฉพาะช่องสีเหลือง • ข้อมูลในไฟล์นี้เป็นข้อมูลตัวอย่าง </t>
    </r>
    <r>
      <rPr>
        <i val="true"/>
        <sz val="9"/>
        <color rgb="FF595959"/>
        <rFont val="Tahoma"/>
        <family val="0"/>
        <charset val="1"/>
      </rPr>
      <t xml:space="preserve">(EXAMPLE) – </t>
    </r>
    <r>
      <rPr>
        <i val="true"/>
        <sz val="9"/>
        <color rgb="FF595959"/>
        <rFont val="FreeSans"/>
        <family val="2"/>
      </rPr>
      <t xml:space="preserve">แทนที่ด้วยข้อมูลโครงการจริง</t>
    </r>
  </si>
  <si>
    <r>
      <rPr>
        <b val="true"/>
        <sz val="9"/>
        <color rgb="FFFFFFFF"/>
        <rFont val="FreeSans"/>
        <family val="2"/>
      </rPr>
      <t xml:space="preserve">รายการ </t>
    </r>
    <r>
      <rPr>
        <b val="true"/>
        <sz val="9"/>
        <color rgb="FFFFFFFF"/>
        <rFont val="Tahoma"/>
        <family val="0"/>
        <charset val="1"/>
      </rPr>
      <t xml:space="preserve">/ Item</t>
    </r>
  </si>
  <si>
    <r>
      <rPr>
        <b val="true"/>
        <sz val="9"/>
        <color rgb="FFFFFFFF"/>
        <rFont val="FreeSans"/>
        <family val="2"/>
      </rPr>
      <t xml:space="preserve">ค่า </t>
    </r>
    <r>
      <rPr>
        <b val="true"/>
        <sz val="9"/>
        <color rgb="FFFFFFFF"/>
        <rFont val="Tahoma"/>
        <family val="0"/>
        <charset val="1"/>
      </rPr>
      <t xml:space="preserve">/ Value</t>
    </r>
  </si>
  <si>
    <r>
      <rPr>
        <b val="true"/>
        <sz val="9"/>
        <color rgb="FFFFFFFF"/>
        <rFont val="FreeSans"/>
        <family val="2"/>
      </rPr>
      <t xml:space="preserve">หมายเหตุ </t>
    </r>
    <r>
      <rPr>
        <b val="true"/>
        <sz val="9"/>
        <color rgb="FFFFFFFF"/>
        <rFont val="Tahoma"/>
        <family val="0"/>
        <charset val="1"/>
      </rPr>
      <t xml:space="preserve">/ Note</t>
    </r>
  </si>
  <si>
    <r>
      <rPr>
        <sz val="10"/>
        <rFont val="FreeSans"/>
        <family val="2"/>
      </rPr>
      <t xml:space="preserve">ชื่อโครงการ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ไทย</t>
    </r>
    <r>
      <rPr>
        <sz val="10"/>
        <rFont val="Tahoma"/>
        <family val="0"/>
        <charset val="1"/>
      </rPr>
      <t xml:space="preserve">) / Project name (TH)</t>
    </r>
  </si>
  <si>
    <r>
      <rPr>
        <sz val="10"/>
        <color rgb="FF0000FF"/>
        <rFont val="FreeSans"/>
        <family val="2"/>
      </rPr>
      <t xml:space="preserve">โครงการตัวอย่าง</t>
    </r>
    <r>
      <rPr>
        <sz val="10"/>
        <color rgb="FF0000FF"/>
        <rFont val="Tahoma"/>
        <family val="0"/>
        <charset val="1"/>
      </rPr>
      <t xml:space="preserve">: </t>
    </r>
    <r>
      <rPr>
        <sz val="10"/>
        <color rgb="FF0000FF"/>
        <rFont val="FreeSans"/>
        <family val="2"/>
      </rPr>
      <t xml:space="preserve">ก่อสร้างอาคารพร้อมงานภายนอก</t>
    </r>
  </si>
  <si>
    <t xml:space="preserve">ข้อมูลตัวอย่าง</t>
  </si>
  <si>
    <r>
      <rPr>
        <sz val="10"/>
        <rFont val="FreeSans"/>
        <family val="2"/>
      </rPr>
      <t xml:space="preserve">ชื่อโครงการ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อังกฤษ</t>
    </r>
    <r>
      <rPr>
        <sz val="10"/>
        <rFont val="Tahoma"/>
        <family val="0"/>
        <charset val="1"/>
      </rPr>
      <t xml:space="preserve">) / Project name (EN)</t>
    </r>
  </si>
  <si>
    <t xml:space="preserve">Example: Building &amp; External Works</t>
  </si>
  <si>
    <r>
      <rPr>
        <sz val="10"/>
        <rFont val="FreeSans"/>
        <family val="2"/>
      </rPr>
      <t xml:space="preserve">ผู้ว่าจ้าง </t>
    </r>
    <r>
      <rPr>
        <sz val="10"/>
        <rFont val="Tahoma"/>
        <family val="0"/>
        <charset val="1"/>
      </rPr>
      <t xml:space="preserve">/ Employer</t>
    </r>
  </si>
  <si>
    <r>
      <rPr>
        <sz val="10"/>
        <rFont val="FreeSans"/>
        <family val="2"/>
      </rPr>
      <t xml:space="preserve">ผู้รับจ้าง </t>
    </r>
    <r>
      <rPr>
        <sz val="10"/>
        <rFont val="Tahoma"/>
        <family val="0"/>
        <charset val="1"/>
      </rPr>
      <t xml:space="preserve">/ Contractor</t>
    </r>
  </si>
  <si>
    <r>
      <rPr>
        <sz val="10"/>
        <rFont val="FreeSans"/>
        <family val="2"/>
      </rPr>
      <t xml:space="preserve">เลขที่สัญญา </t>
    </r>
    <r>
      <rPr>
        <sz val="10"/>
        <rFont val="Tahoma"/>
        <family val="0"/>
        <charset val="1"/>
      </rPr>
      <t xml:space="preserve">/ Contract No.</t>
    </r>
  </si>
  <si>
    <r>
      <rPr>
        <sz val="10"/>
        <rFont val="FreeSans"/>
        <family val="2"/>
      </rPr>
      <t xml:space="preserve">มูลค่าสัญญา </t>
    </r>
    <r>
      <rPr>
        <sz val="10"/>
        <rFont val="Tahoma"/>
        <family val="0"/>
        <charset val="1"/>
      </rPr>
      <t xml:space="preserve">/ Contract Value = BAC (</t>
    </r>
    <r>
      <rPr>
        <sz val="10"/>
        <rFont val="FreeSans"/>
        <family val="2"/>
      </rPr>
      <t xml:space="preserve">บาท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</si>
  <si>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ตัวอย่าง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ผลรวม </t>
    </r>
    <r>
      <rPr>
        <i val="true"/>
        <sz val="9"/>
        <color rgb="FF595959"/>
        <rFont val="Tahoma"/>
        <family val="0"/>
        <charset val="1"/>
      </rPr>
      <t xml:space="preserve">BOQ </t>
    </r>
    <r>
      <rPr>
        <i val="true"/>
        <sz val="9"/>
        <color rgb="FF595959"/>
        <rFont val="FreeSans"/>
        <family val="2"/>
      </rPr>
      <t xml:space="preserve">ในชีตแผนงาน</t>
    </r>
  </si>
  <si>
    <r>
      <rPr>
        <sz val="10"/>
        <rFont val="FreeSans"/>
        <family val="2"/>
      </rPr>
      <t xml:space="preserve">วันเริ่มสัญญา </t>
    </r>
    <r>
      <rPr>
        <sz val="10"/>
        <rFont val="Tahoma"/>
        <family val="0"/>
        <charset val="1"/>
      </rPr>
      <t xml:space="preserve">/ Commencement Date</t>
    </r>
  </si>
  <si>
    <r>
      <rPr>
        <sz val="10"/>
        <rFont val="FreeSans"/>
        <family val="2"/>
      </rPr>
      <t xml:space="preserve">ระยะเวลาสัญญา </t>
    </r>
    <r>
      <rPr>
        <sz val="10"/>
        <rFont val="Tahoma"/>
        <family val="0"/>
        <charset val="1"/>
      </rPr>
      <t xml:space="preserve">/ Contract Duration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/days)</t>
    </r>
  </si>
  <si>
    <r>
      <rPr>
        <sz val="10"/>
        <rFont val="FreeSans"/>
        <family val="2"/>
      </rPr>
      <t xml:space="preserve">วันสิ้นสุดตามสัญญาเดิม </t>
    </r>
    <r>
      <rPr>
        <sz val="10"/>
        <rFont val="Tahoma"/>
        <family val="0"/>
        <charset val="1"/>
      </rPr>
      <t xml:space="preserve">/ Original Completion</t>
    </r>
  </si>
  <si>
    <r>
      <rPr>
        <i val="true"/>
        <sz val="9"/>
        <color rgb="FF595959"/>
        <rFont val="FreeSans"/>
        <family val="2"/>
      </rPr>
      <t xml:space="preserve">นับวันเริ่มเป็นวันที่ </t>
    </r>
    <r>
      <rPr>
        <i val="true"/>
        <sz val="9"/>
        <color rgb="FF595959"/>
        <rFont val="Tahoma"/>
        <family val="0"/>
        <charset val="1"/>
      </rPr>
      <t xml:space="preserve">1 (</t>
    </r>
    <r>
      <rPr>
        <i val="true"/>
        <sz val="9"/>
        <color rgb="FF595959"/>
        <rFont val="FreeSans"/>
        <family val="2"/>
      </rPr>
      <t xml:space="preserve">พิมพ์ทับได้ถ้าสัญญาระบุต่างไป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</si>
  <si>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ขยายเวลาที่อนุมัติแล้ว </t>
    </r>
    <r>
      <rPr>
        <sz val="10"/>
        <rFont val="Tahoma"/>
        <family val="0"/>
        <charset val="1"/>
      </rPr>
      <t xml:space="preserve">/ Approved EOT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</si>
  <si>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ดึงจากชีต ขยายเวลา </t>
    </r>
    <r>
      <rPr>
        <i val="true"/>
        <sz val="9"/>
        <color rgb="FF595959"/>
        <rFont val="Tahoma"/>
        <family val="0"/>
        <charset val="1"/>
      </rPr>
      <t xml:space="preserve">EOT </t>
    </r>
    <r>
      <rPr>
        <i val="true"/>
        <sz val="9"/>
        <color rgb="FF595959"/>
        <rFont val="FreeSans"/>
        <family val="2"/>
      </rPr>
      <t xml:space="preserve">อัตโนมัติ</t>
    </r>
  </si>
  <si>
    <r>
      <rPr>
        <sz val="10"/>
        <rFont val="FreeSans"/>
        <family val="2"/>
      </rPr>
      <t xml:space="preserve">วันสิ้นสุดหลังขยายเวลา </t>
    </r>
    <r>
      <rPr>
        <sz val="10"/>
        <rFont val="Tahoma"/>
        <family val="0"/>
        <charset val="1"/>
      </rPr>
      <t xml:space="preserve">/ Revised Completion</t>
    </r>
  </si>
  <si>
    <r>
      <rPr>
        <sz val="10"/>
        <rFont val="FreeSans"/>
        <family val="2"/>
      </rPr>
      <t xml:space="preserve">วันที่ตรวจวัดผลงาน </t>
    </r>
    <r>
      <rPr>
        <sz val="10"/>
        <rFont val="Tahoma"/>
        <family val="0"/>
        <charset val="1"/>
      </rPr>
      <t xml:space="preserve">/ Status Date</t>
    </r>
  </si>
  <si>
    <t xml:space="preserve">เปลี่ยนทุกครั้งที่อัปเดตรายงาน</t>
  </si>
  <si>
    <r>
      <rPr>
        <sz val="10"/>
        <rFont val="FreeSans"/>
        <family val="2"/>
      </rPr>
      <t xml:space="preserve">รอบตัดงวด </t>
    </r>
    <r>
      <rPr>
        <sz val="10"/>
        <rFont val="Tahoma"/>
        <family val="0"/>
        <charset val="1"/>
      </rPr>
      <t xml:space="preserve">S-Curve / Reporting Period</t>
    </r>
  </si>
  <si>
    <r>
      <rPr>
        <sz val="10"/>
        <color rgb="FF0000FF"/>
        <rFont val="FreeSans"/>
        <family val="2"/>
      </rPr>
      <t xml:space="preserve">ทุก </t>
    </r>
    <r>
      <rPr>
        <sz val="10"/>
        <color rgb="FF0000FF"/>
        <rFont val="Tahoma"/>
        <family val="0"/>
        <charset val="1"/>
      </rPr>
      <t xml:space="preserve">10 </t>
    </r>
    <r>
      <rPr>
        <sz val="10"/>
        <color rgb="FF0000FF"/>
        <rFont val="FreeSans"/>
        <family val="2"/>
      </rPr>
      <t xml:space="preserve">วัน </t>
    </r>
    <r>
      <rPr>
        <sz val="10"/>
        <color rgb="FF0000FF"/>
        <rFont val="Tahoma"/>
        <family val="0"/>
        <charset val="1"/>
      </rPr>
      <t xml:space="preserve">/ 10-day</t>
    </r>
  </si>
  <si>
    <r>
      <rPr>
        <i val="true"/>
        <sz val="9"/>
        <color rgb="FF595959"/>
        <rFont val="FreeSans"/>
        <family val="2"/>
      </rPr>
      <t xml:space="preserve">ทุก </t>
    </r>
    <r>
      <rPr>
        <i val="true"/>
        <sz val="9"/>
        <color rgb="FF595959"/>
        <rFont val="Tahoma"/>
        <family val="0"/>
        <charset val="1"/>
      </rPr>
      <t xml:space="preserve">10 </t>
    </r>
    <r>
      <rPr>
        <i val="true"/>
        <sz val="9"/>
        <color rgb="FF595959"/>
        <rFont val="FreeSans"/>
        <family val="2"/>
      </rPr>
      <t xml:space="preserve">วัน </t>
    </r>
    <r>
      <rPr>
        <i val="true"/>
        <sz val="9"/>
        <color rgb="FF595959"/>
        <rFont val="Tahoma"/>
        <family val="0"/>
        <charset val="1"/>
      </rPr>
      <t xml:space="preserve">/ </t>
    </r>
    <r>
      <rPr>
        <i val="true"/>
        <sz val="9"/>
        <color rgb="FF595959"/>
        <rFont val="FreeSans"/>
        <family val="2"/>
      </rPr>
      <t xml:space="preserve">รายสัปดาห์ </t>
    </r>
    <r>
      <rPr>
        <i val="true"/>
        <sz val="9"/>
        <color rgb="FF595959"/>
        <rFont val="Tahoma"/>
        <family val="0"/>
        <charset val="1"/>
      </rPr>
      <t xml:space="preserve">/ </t>
    </r>
    <r>
      <rPr>
        <i val="true"/>
        <sz val="9"/>
        <color rgb="FF595959"/>
        <rFont val="FreeSans"/>
        <family val="2"/>
      </rPr>
      <t xml:space="preserve">รายเดือน</t>
    </r>
  </si>
  <si>
    <r>
      <rPr>
        <sz val="10"/>
        <rFont val="FreeSans"/>
        <family val="2"/>
      </rPr>
      <t xml:space="preserve">อัตราค่าปรับต่อวัน </t>
    </r>
    <r>
      <rPr>
        <sz val="10"/>
        <rFont val="Tahoma"/>
        <family val="0"/>
        <charset val="1"/>
      </rPr>
      <t xml:space="preserve">/ LD Rate (% of contract per day)</t>
    </r>
  </si>
  <si>
    <t xml:space="preserve">ค่าตัวอย่าง – ใส่ตามสัญญาจริง</t>
  </si>
  <si>
    <r>
      <rPr>
        <sz val="10"/>
        <rFont val="FreeSans"/>
        <family val="2"/>
      </rPr>
      <t xml:space="preserve">ค่าปรับขั้นต่ำต่อวัน </t>
    </r>
    <r>
      <rPr>
        <sz val="10"/>
        <rFont val="Tahoma"/>
        <family val="0"/>
        <charset val="1"/>
      </rPr>
      <t xml:space="preserve">/ Minimum LD per day (</t>
    </r>
    <r>
      <rPr>
        <sz val="10"/>
        <rFont val="FreeSans"/>
        <family val="2"/>
      </rPr>
      <t xml:space="preserve">บาท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</si>
  <si>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ตามสัญญา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ถ้าไม่มีใส่ </t>
    </r>
    <r>
      <rPr>
        <i val="true"/>
        <sz val="9"/>
        <color rgb="FF595959"/>
        <rFont val="Tahoma"/>
        <family val="0"/>
        <charset val="1"/>
      </rPr>
      <t xml:space="preserve">0)</t>
    </r>
  </si>
  <si>
    <r>
      <rPr>
        <sz val="10"/>
        <rFont val="FreeSans"/>
        <family val="2"/>
      </rPr>
      <t xml:space="preserve">เกณฑ์เตือนค่าปรับสะสม </t>
    </r>
    <r>
      <rPr>
        <sz val="10"/>
        <rFont val="Tahoma"/>
        <family val="0"/>
        <charset val="1"/>
      </rPr>
      <t xml:space="preserve">/ LD Warning Threshold</t>
    </r>
  </si>
  <si>
    <r>
      <rPr>
        <i val="true"/>
        <sz val="9"/>
        <color rgb="FF595959"/>
        <rFont val="FreeSans"/>
        <family val="2"/>
      </rPr>
      <t xml:space="preserve">หลายสัญญาให้สิทธิ์บอกเลิกเมื่อค่าปรับเกิน </t>
    </r>
    <r>
      <rPr>
        <i val="true"/>
        <sz val="9"/>
        <color rgb="FF595959"/>
        <rFont val="Tahoma"/>
        <family val="0"/>
        <charset val="1"/>
      </rPr>
      <t xml:space="preserve">10%</t>
    </r>
  </si>
  <si>
    <r>
      <rPr>
        <sz val="10"/>
        <rFont val="FreeSans"/>
        <family val="2"/>
      </rPr>
      <t xml:space="preserve">ช่วงแผนงานล่วงหน้า </t>
    </r>
    <r>
      <rPr>
        <sz val="10"/>
        <rFont val="Tahoma"/>
        <family val="0"/>
        <charset val="1"/>
      </rPr>
      <t xml:space="preserve">/ Look-ahead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/days)</t>
    </r>
  </si>
  <si>
    <t xml:space="preserve">ใช้ในรายงานประจำงวด</t>
  </si>
  <si>
    <r>
      <rPr>
        <sz val="10"/>
        <rFont val="FreeSans"/>
        <family val="2"/>
      </rPr>
      <t xml:space="preserve">รายงานงวดที่ </t>
    </r>
    <r>
      <rPr>
        <sz val="10"/>
        <rFont val="Tahoma"/>
        <family val="0"/>
        <charset val="1"/>
      </rPr>
      <t xml:space="preserve">/ Report No.</t>
    </r>
  </si>
  <si>
    <r>
      <rPr>
        <sz val="10"/>
        <rFont val="FreeSans"/>
        <family val="2"/>
      </rPr>
      <t xml:space="preserve">ผู้จัดทำรายงาน </t>
    </r>
    <r>
      <rPr>
        <sz val="10"/>
        <rFont val="Tahoma"/>
        <family val="0"/>
        <charset val="1"/>
      </rPr>
      <t xml:space="preserve">/ Prepared by</t>
    </r>
  </si>
  <si>
    <r>
      <rPr>
        <b val="true"/>
        <sz val="9"/>
        <color rgb="FFFFFFFF"/>
        <rFont val="FreeSans"/>
        <family val="2"/>
      </rPr>
      <t xml:space="preserve">งานส่วน </t>
    </r>
    <r>
      <rPr>
        <b val="true"/>
        <sz val="9"/>
        <color rgb="FFFFFFFF"/>
        <rFont val="Tahoma"/>
        <family val="0"/>
        <charset val="1"/>
      </rPr>
      <t xml:space="preserve">(WBS </t>
    </r>
    <r>
      <rPr>
        <b val="true"/>
        <sz val="9"/>
        <color rgb="FFFFFFFF"/>
        <rFont val="FreeSans"/>
        <family val="2"/>
      </rPr>
      <t xml:space="preserve">ระดับ </t>
    </r>
    <r>
      <rPr>
        <b val="true"/>
        <sz val="9"/>
        <color rgb="FFFFFFFF"/>
        <rFont val="Tahoma"/>
        <family val="0"/>
        <charset val="1"/>
      </rPr>
      <t xml:space="preserve">1) / Work Packages</t>
    </r>
  </si>
  <si>
    <r>
      <rPr>
        <b val="true"/>
        <sz val="9"/>
        <color rgb="FFFFFFFF"/>
        <rFont val="FreeSans"/>
        <family val="2"/>
      </rPr>
      <t xml:space="preserve">ชื่อ </t>
    </r>
    <r>
      <rPr>
        <b val="true"/>
        <sz val="9"/>
        <color rgb="FFFFFFFF"/>
        <rFont val="Tahoma"/>
        <family val="0"/>
        <charset val="1"/>
      </rPr>
      <t xml:space="preserve">/ Name</t>
    </r>
  </si>
  <si>
    <t xml:space="preserve">หมายเหตุ</t>
  </si>
  <si>
    <r>
      <rPr>
        <i val="true"/>
        <sz val="9"/>
        <color rgb="FF595959"/>
        <rFont val="FreeSans"/>
        <family val="2"/>
      </rPr>
      <t xml:space="preserve">เลขลำดับ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หลักแรกของรหัส </t>
    </r>
    <r>
      <rPr>
        <i val="true"/>
        <sz val="9"/>
        <color rgb="FF595959"/>
        <rFont val="Tahoma"/>
        <family val="0"/>
        <charset val="1"/>
      </rPr>
      <t xml:space="preserve">WBS • </t>
    </r>
    <r>
      <rPr>
        <i val="true"/>
        <sz val="9"/>
        <color rgb="FF595959"/>
        <rFont val="FreeSans"/>
        <family val="2"/>
      </rPr>
      <t xml:space="preserve">ใช้แบ่งตามสิ่งก่อสร้าง เช่น อาคาร รั้ว ถนน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</si>
  <si>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1</t>
    </r>
  </si>
  <si>
    <r>
      <rPr>
        <sz val="10"/>
        <color rgb="FF0000FF"/>
        <rFont val="FreeSans"/>
        <family val="2"/>
      </rPr>
      <t xml:space="preserve">งานถมดินและปรับพื้นที่ </t>
    </r>
    <r>
      <rPr>
        <sz val="10"/>
        <color rgb="FF0000FF"/>
        <rFont val="Tahoma"/>
        <family val="0"/>
        <charset val="1"/>
      </rPr>
      <t xml:space="preserve">/ Earth Filling &amp; Site Prep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</si>
  <si>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2</t>
    </r>
  </si>
  <si>
    <r>
      <rPr>
        <sz val="10"/>
        <color rgb="FF0000FF"/>
        <rFont val="FreeSans"/>
        <family val="2"/>
      </rPr>
      <t xml:space="preserve">งานก่อสร้างอาคาร </t>
    </r>
    <r>
      <rPr>
        <sz val="10"/>
        <color rgb="FF0000FF"/>
        <rFont val="Tahoma"/>
        <family val="0"/>
        <charset val="1"/>
      </rPr>
      <t xml:space="preserve">/ Building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</si>
  <si>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3</t>
    </r>
  </si>
  <si>
    <r>
      <rPr>
        <sz val="10"/>
        <color rgb="FF0000FF"/>
        <rFont val="FreeSans"/>
        <family val="2"/>
      </rPr>
      <t xml:space="preserve">งานรางระบายน้ำ </t>
    </r>
    <r>
      <rPr>
        <sz val="10"/>
        <color rgb="FF0000FF"/>
        <rFont val="Tahoma"/>
        <family val="0"/>
        <charset val="1"/>
      </rPr>
      <t xml:space="preserve">/ Drainage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</si>
  <si>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4</t>
    </r>
  </si>
  <si>
    <r>
      <rPr>
        <sz val="10"/>
        <color rgb="FF0000FF"/>
        <rFont val="FreeSans"/>
        <family val="2"/>
      </rPr>
      <t xml:space="preserve">งานถนนและลาน </t>
    </r>
    <r>
      <rPr>
        <sz val="10"/>
        <color rgb="FF0000FF"/>
        <rFont val="Tahoma"/>
        <family val="0"/>
        <charset val="1"/>
      </rPr>
      <t xml:space="preserve">/ Roads &amp; Hardscape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</si>
  <si>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5</t>
    </r>
  </si>
  <si>
    <r>
      <rPr>
        <sz val="10"/>
        <color rgb="FF0000FF"/>
        <rFont val="FreeSans"/>
        <family val="2"/>
      </rPr>
      <t xml:space="preserve">งานรั้ว </t>
    </r>
    <r>
      <rPr>
        <sz val="10"/>
        <color rgb="FF0000FF"/>
        <rFont val="Tahoma"/>
        <family val="0"/>
        <charset val="1"/>
      </rPr>
      <t xml:space="preserve">/ Fence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</si>
  <si>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6</t>
    </r>
  </si>
  <si>
    <r>
      <rPr>
        <sz val="10"/>
        <color rgb="FF0000FF"/>
        <rFont val="FreeSans"/>
        <family val="2"/>
      </rPr>
      <t xml:space="preserve">งานโรงจอดรถ </t>
    </r>
    <r>
      <rPr>
        <sz val="10"/>
        <color rgb="FF0000FF"/>
        <rFont val="Tahoma"/>
        <family val="0"/>
        <charset val="1"/>
      </rPr>
      <t xml:space="preserve">/ Carport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</si>
  <si>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7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</si>
  <si>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8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</si>
  <si>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9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</si>
  <si>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10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</si>
  <si>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11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</si>
  <si>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12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</si>
  <si>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13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</si>
  <si>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14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</si>
  <si>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15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</si>
  <si>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16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</si>
  <si>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17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</si>
  <si>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18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</si>
  <si>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19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</si>
  <si>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20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</si>
  <si>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21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</si>
  <si>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22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</si>
  <si>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23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</si>
  <si>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24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</si>
  <si>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25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</si>
  <si>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26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</si>
  <si>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27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</si>
  <si>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28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</si>
  <si>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29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</si>
  <si>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30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</si>
  <si>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31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</si>
  <si>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32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</si>
  <si>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33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</si>
  <si>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34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</si>
  <si>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35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</si>
  <si>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36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</si>
  <si>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37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</si>
  <si>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38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</si>
  <si>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39</t>
    </r>
  </si>
  <si>
    <r>
      <rPr>
        <sz val="10"/>
        <rFont val="FreeSans"/>
        <family val="2"/>
      </rPr>
      <t xml:space="preserve">งานส่วนที่ </t>
    </r>
    <r>
      <rPr>
        <sz val="10"/>
        <rFont val="Tahoma"/>
        <family val="0"/>
        <charset val="1"/>
      </rPr>
      <t xml:space="preserve">40</t>
    </r>
  </si>
  <si>
    <r>
      <rPr>
        <b val="true"/>
        <sz val="9"/>
        <color rgb="FFFFFFFF"/>
        <rFont val="FreeSans"/>
        <family val="2"/>
      </rPr>
      <t xml:space="preserve">หมวดงาน </t>
    </r>
    <r>
      <rPr>
        <b val="true"/>
        <sz val="9"/>
        <color rgb="FFFFFFFF"/>
        <rFont val="Tahoma"/>
        <family val="0"/>
        <charset val="1"/>
      </rPr>
      <t xml:space="preserve">(WBS </t>
    </r>
    <r>
      <rPr>
        <b val="true"/>
        <sz val="9"/>
        <color rgb="FFFFFFFF"/>
        <rFont val="FreeSans"/>
        <family val="2"/>
      </rPr>
      <t xml:space="preserve">ระดับ </t>
    </r>
    <r>
      <rPr>
        <b val="true"/>
        <sz val="9"/>
        <color rgb="FFFFFFFF"/>
        <rFont val="Tahoma"/>
        <family val="0"/>
        <charset val="1"/>
      </rPr>
      <t xml:space="preserve">2) / Disciplines</t>
    </r>
  </si>
  <si>
    <r>
      <rPr>
        <i val="true"/>
        <sz val="9"/>
        <color rgb="FF595959"/>
        <rFont val="FreeSans"/>
        <family val="2"/>
      </rPr>
      <t xml:space="preserve">เลขลำดับ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หลักที่สองของรหัส </t>
    </r>
    <r>
      <rPr>
        <i val="true"/>
        <sz val="9"/>
        <color rgb="FF595959"/>
        <rFont val="Tahoma"/>
        <family val="0"/>
        <charset val="1"/>
      </rPr>
      <t xml:space="preserve">WBS • </t>
    </r>
    <r>
      <rPr>
        <i val="true"/>
        <sz val="9"/>
        <color rgb="FF595959"/>
        <rFont val="FreeSans"/>
        <family val="2"/>
      </rPr>
      <t xml:space="preserve">ใช้แบ่งตามประเภทงาน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</si>
  <si>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</t>
    </r>
  </si>
  <si>
    <r>
      <rPr>
        <sz val="10"/>
        <color rgb="FF0000FF"/>
        <rFont val="FreeSans"/>
        <family val="2"/>
      </rPr>
      <t xml:space="preserve">งานเตรียมการ </t>
    </r>
    <r>
      <rPr>
        <sz val="10"/>
        <color rgb="FF0000FF"/>
        <rFont val="Tahoma"/>
        <family val="0"/>
        <charset val="1"/>
      </rPr>
      <t xml:space="preserve">/ Preliminaries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</si>
  <si>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</t>
    </r>
  </si>
  <si>
    <r>
      <rPr>
        <sz val="10"/>
        <color rgb="FF0000FF"/>
        <rFont val="FreeSans"/>
        <family val="2"/>
      </rPr>
      <t xml:space="preserve">งานดิน </t>
    </r>
    <r>
      <rPr>
        <sz val="10"/>
        <color rgb="FF0000FF"/>
        <rFont val="Tahoma"/>
        <family val="0"/>
        <charset val="1"/>
      </rPr>
      <t xml:space="preserve">/ Earthworks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</si>
  <si>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</t>
    </r>
  </si>
  <si>
    <r>
      <rPr>
        <sz val="10"/>
        <color rgb="FF0000FF"/>
        <rFont val="FreeSans"/>
        <family val="2"/>
      </rPr>
      <t xml:space="preserve">งานโครงสร้าง </t>
    </r>
    <r>
      <rPr>
        <sz val="10"/>
        <color rgb="FF0000FF"/>
        <rFont val="Tahoma"/>
        <family val="0"/>
        <charset val="1"/>
      </rPr>
      <t xml:space="preserve">/ Structural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</si>
  <si>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4</t>
    </r>
  </si>
  <si>
    <r>
      <rPr>
        <sz val="10"/>
        <color rgb="FF0000FF"/>
        <rFont val="FreeSans"/>
        <family val="2"/>
      </rPr>
      <t xml:space="preserve">งานสถาปัตยกรรม </t>
    </r>
    <r>
      <rPr>
        <sz val="10"/>
        <color rgb="FF0000FF"/>
        <rFont val="Tahoma"/>
        <family val="0"/>
        <charset val="1"/>
      </rPr>
      <t xml:space="preserve">/ Architectural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</si>
  <si>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5</t>
    </r>
  </si>
  <si>
    <r>
      <rPr>
        <sz val="10"/>
        <color rgb="FF0000FF"/>
        <rFont val="FreeSans"/>
        <family val="2"/>
      </rPr>
      <t xml:space="preserve">งานระบบ </t>
    </r>
    <r>
      <rPr>
        <sz val="10"/>
        <color rgb="FF0000FF"/>
        <rFont val="Tahoma"/>
        <family val="0"/>
        <charset val="1"/>
      </rPr>
      <t xml:space="preserve">/ MEP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</si>
  <si>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6</t>
    </r>
  </si>
  <si>
    <r>
      <rPr>
        <sz val="10"/>
        <color rgb="FF0000FF"/>
        <rFont val="FreeSans"/>
        <family val="2"/>
      </rPr>
      <t xml:space="preserve">งานภายนอกและภูมิทัศน์ </t>
    </r>
    <r>
      <rPr>
        <sz val="10"/>
        <color rgb="FF0000FF"/>
        <rFont val="Tahoma"/>
        <family val="0"/>
        <charset val="1"/>
      </rPr>
      <t xml:space="preserve">/ External Works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</si>
  <si>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7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</si>
  <si>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8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</si>
  <si>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9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</si>
  <si>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10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</si>
  <si>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11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</si>
  <si>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12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</si>
  <si>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13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</si>
  <si>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14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</si>
  <si>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15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</si>
  <si>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16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</si>
  <si>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17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</si>
  <si>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18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</si>
  <si>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19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</si>
  <si>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20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</si>
  <si>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21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</si>
  <si>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22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</si>
  <si>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23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</si>
  <si>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24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</si>
  <si>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25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</si>
  <si>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26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</si>
  <si>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27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</si>
  <si>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28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</si>
  <si>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29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</si>
  <si>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30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</si>
  <si>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31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</si>
  <si>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32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</si>
  <si>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33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</si>
  <si>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34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</si>
  <si>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35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</si>
  <si>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36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</si>
  <si>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37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</si>
  <si>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38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</si>
  <si>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39</t>
    </r>
  </si>
  <si>
    <r>
      <rPr>
        <sz val="10"/>
        <rFont val="FreeSans"/>
        <family val="2"/>
      </rPr>
      <t xml:space="preserve">หมวดที่ </t>
    </r>
    <r>
      <rPr>
        <sz val="10"/>
        <rFont val="Tahoma"/>
        <family val="0"/>
        <charset val="1"/>
      </rPr>
      <t xml:space="preserve">40</t>
    </r>
  </si>
  <si>
    <r>
      <rPr>
        <b val="true"/>
        <sz val="9"/>
        <color rgb="FF808080"/>
        <rFont val="FreeSans"/>
        <family val="2"/>
      </rPr>
      <t xml:space="preserve">ตัวช่วยคำนวณแกนเวลา </t>
    </r>
    <r>
      <rPr>
        <b val="true"/>
        <sz val="9"/>
        <color rgb="FF808080"/>
        <rFont val="Tahoma"/>
        <family val="0"/>
        <charset val="1"/>
      </rPr>
      <t xml:space="preserve">(</t>
    </r>
    <r>
      <rPr>
        <b val="true"/>
        <sz val="9"/>
        <color rgb="FF808080"/>
        <rFont val="FreeSans"/>
        <family val="2"/>
      </rPr>
      <t xml:space="preserve">อัตโนมัติ</t>
    </r>
    <r>
      <rPr>
        <b val="true"/>
        <sz val="9"/>
        <color rgb="FF808080"/>
        <rFont val="Tahoma"/>
        <family val="0"/>
        <charset val="1"/>
      </rPr>
      <t xml:space="preserve">)</t>
    </r>
  </si>
  <si>
    <t xml:space="preserve">วันเริ่มแกนเวลา</t>
  </si>
  <si>
    <t xml:space="preserve">วันสิ้นสุดแกนเวลา</t>
  </si>
  <si>
    <r>
      <rPr>
        <b val="true"/>
        <sz val="16"/>
        <color rgb="FF1F3864"/>
        <rFont val="FreeSans"/>
        <family val="2"/>
      </rPr>
      <t xml:space="preserve">แดชบอร์ดควบคุมโครงการ </t>
    </r>
    <r>
      <rPr>
        <b val="true"/>
        <sz val="16"/>
        <color rgb="FF1F3864"/>
        <rFont val="Tahoma"/>
        <family val="0"/>
        <charset val="1"/>
      </rPr>
      <t xml:space="preserve">/ Project Control Dashboard</t>
    </r>
  </si>
  <si>
    <r>
      <rPr>
        <i val="true"/>
        <sz val="9"/>
        <color rgb="FF595959"/>
        <rFont val="FreeSans"/>
        <family val="2"/>
      </rPr>
      <t xml:space="preserve">คำนวณอัตโนมัติทั้งหมด • </t>
    </r>
    <r>
      <rPr>
        <i val="true"/>
        <sz val="9"/>
        <color rgb="FF595959"/>
        <rFont val="Tahoma"/>
        <family val="0"/>
        <charset val="1"/>
      </rPr>
      <t xml:space="preserve">All values are calculated</t>
    </r>
  </si>
  <si>
    <r>
      <rPr>
        <b val="true"/>
        <sz val="9"/>
        <color rgb="FFFFFFFF"/>
        <rFont val="FreeSans"/>
        <family val="2"/>
      </rPr>
      <t xml:space="preserve">ข้อมูลอ้างอิง </t>
    </r>
    <r>
      <rPr>
        <b val="true"/>
        <sz val="9"/>
        <color rgb="FFFFFFFF"/>
        <rFont val="Tahoma"/>
        <family val="0"/>
        <charset val="1"/>
      </rPr>
      <t xml:space="preserve">/ Reference</t>
    </r>
  </si>
  <si>
    <r>
      <rPr>
        <b val="true"/>
        <sz val="9"/>
        <color rgb="FFFFFFFF"/>
        <rFont val="FreeSans"/>
        <family val="2"/>
      </rPr>
      <t xml:space="preserve">ความหมาย </t>
    </r>
    <r>
      <rPr>
        <b val="true"/>
        <sz val="9"/>
        <color rgb="FFFFFFFF"/>
        <rFont val="Tahoma"/>
        <family val="0"/>
        <charset val="1"/>
      </rPr>
      <t xml:space="preserve">/ Meaning</t>
    </r>
  </si>
  <si>
    <r>
      <rPr>
        <sz val="10"/>
        <rFont val="FreeSans"/>
        <family val="2"/>
      </rPr>
      <t xml:space="preserve">โครงการ </t>
    </r>
    <r>
      <rPr>
        <sz val="10"/>
        <rFont val="Tahoma"/>
        <family val="0"/>
        <charset val="1"/>
      </rPr>
      <t xml:space="preserve">/ Project</t>
    </r>
  </si>
  <si>
    <r>
      <rPr>
        <sz val="10"/>
        <rFont val="FreeSans"/>
        <family val="2"/>
      </rPr>
      <t xml:space="preserve">วันที่ตรวจวัด </t>
    </r>
    <r>
      <rPr>
        <sz val="10"/>
        <rFont val="Tahoma"/>
        <family val="0"/>
        <charset val="1"/>
      </rPr>
      <t xml:space="preserve">/ Status Date</t>
    </r>
  </si>
  <si>
    <r>
      <rPr>
        <sz val="10"/>
        <rFont val="FreeSans"/>
        <family val="2"/>
      </rPr>
      <t xml:space="preserve">แหล่งข้อมูลผลงานจริง </t>
    </r>
    <r>
      <rPr>
        <sz val="10"/>
        <rFont val="Tahoma"/>
        <family val="0"/>
        <charset val="1"/>
      </rPr>
      <t xml:space="preserve">/ Actual Data Source</t>
    </r>
  </si>
  <si>
    <r>
      <rPr>
        <i val="true"/>
        <sz val="9"/>
        <color rgb="FF595959"/>
        <rFont val="FreeSans"/>
        <family val="2"/>
      </rPr>
      <t xml:space="preserve">ถ้ากรอก </t>
    </r>
    <r>
      <rPr>
        <i val="true"/>
        <sz val="9"/>
        <color rgb="FF595959"/>
        <rFont val="Tahoma"/>
        <family val="0"/>
        <charset val="1"/>
      </rPr>
      <t xml:space="preserve">% </t>
    </r>
    <r>
      <rPr>
        <i val="true"/>
        <sz val="9"/>
        <color rgb="FF595959"/>
        <rFont val="FreeSans"/>
        <family val="2"/>
      </rPr>
      <t xml:space="preserve">จริงรายรายการ จะใช้ข้อมูลรายรายการก่อน</t>
    </r>
  </si>
  <si>
    <r>
      <rPr>
        <sz val="10"/>
        <rFont val="FreeSans"/>
        <family val="2"/>
      </rPr>
      <t xml:space="preserve">ข้อมูลจริง ณ วันที่ </t>
    </r>
    <r>
      <rPr>
        <sz val="10"/>
        <rFont val="Tahoma"/>
        <family val="0"/>
        <charset val="1"/>
      </rPr>
      <t xml:space="preserve">/ Data Date</t>
    </r>
  </si>
  <si>
    <r>
      <rPr>
        <i val="true"/>
        <sz val="9"/>
        <color rgb="FF595959"/>
        <rFont val="FreeSans"/>
        <family val="2"/>
      </rPr>
      <t xml:space="preserve">ถ้าไม่ตรงวันที่ตรวจวัด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สีแดง</t>
    </r>
    <r>
      <rPr>
        <i val="true"/>
        <sz val="9"/>
        <color rgb="FF595959"/>
        <rFont val="Tahoma"/>
        <family val="0"/>
        <charset val="1"/>
      </rPr>
      <t xml:space="preserve">) = </t>
    </r>
    <r>
      <rPr>
        <i val="true"/>
        <sz val="9"/>
        <color rgb="FF595959"/>
        <rFont val="FreeSans"/>
        <family val="2"/>
      </rPr>
      <t xml:space="preserve">ยังไม่อัปเดตผลงานจริงล่าสุด</t>
    </r>
  </si>
  <si>
    <r>
      <rPr>
        <b val="true"/>
        <sz val="9"/>
        <color rgb="FFFFFFFF"/>
        <rFont val="FreeSans"/>
        <family val="2"/>
      </rPr>
      <t xml:space="preserve">ด้านเวลา </t>
    </r>
    <r>
      <rPr>
        <b val="true"/>
        <sz val="9"/>
        <color rgb="FFFFFFFF"/>
        <rFont val="Tahoma"/>
        <family val="0"/>
        <charset val="1"/>
      </rPr>
      <t xml:space="preserve">/ SCHEDULE PERFORMANCE</t>
    </r>
  </si>
  <si>
    <r>
      <rPr>
        <sz val="10"/>
        <rFont val="FreeSans"/>
        <family val="2"/>
      </rPr>
      <t xml:space="preserve">วันเริ่มสัญญา </t>
    </r>
    <r>
      <rPr>
        <sz val="10"/>
        <rFont val="Tahoma"/>
        <family val="0"/>
        <charset val="1"/>
      </rPr>
      <t xml:space="preserve">/ Commencement</t>
    </r>
  </si>
  <si>
    <r>
      <rPr>
        <sz val="10"/>
        <rFont val="FreeSans"/>
        <family val="2"/>
      </rPr>
      <t xml:space="preserve">วันสิ้นสุดสัญญาเดิม </t>
    </r>
    <r>
      <rPr>
        <sz val="10"/>
        <rFont val="Tahoma"/>
        <family val="0"/>
        <charset val="1"/>
      </rPr>
      <t xml:space="preserve">/ Original Completion</t>
    </r>
  </si>
  <si>
    <r>
      <rPr>
        <sz val="10"/>
        <rFont val="FreeSans"/>
        <family val="2"/>
      </rPr>
      <t xml:space="preserve">ขยายเวลาที่อนุมัติ </t>
    </r>
    <r>
      <rPr>
        <sz val="10"/>
        <rFont val="Tahoma"/>
        <family val="0"/>
        <charset val="1"/>
      </rPr>
      <t xml:space="preserve">/ Approved EOT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</si>
  <si>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t xml:space="preserve">จากทะเบียนขยายเวลา</t>
  </si>
  <si>
    <r>
      <rPr>
        <sz val="10"/>
        <rFont val="FreeSans"/>
        <family val="2"/>
      </rPr>
      <t xml:space="preserve">วันที่ดำเนินการแล้ว </t>
    </r>
    <r>
      <rPr>
        <sz val="10"/>
        <rFont val="Tahoma"/>
        <family val="0"/>
        <charset val="1"/>
      </rPr>
      <t xml:space="preserve">/ Days Elapsed</t>
    </r>
  </si>
  <si>
    <r>
      <rPr>
        <i val="true"/>
        <sz val="9"/>
        <color rgb="FF595959"/>
        <rFont val="FreeSans"/>
        <family val="2"/>
      </rPr>
      <t xml:space="preserve">ณ วันที่ตรวจวัด นับวันเริ่มเป็นวันที่ </t>
    </r>
    <r>
      <rPr>
        <i val="true"/>
        <sz val="9"/>
        <color rgb="FF595959"/>
        <rFont val="Tahoma"/>
        <family val="0"/>
        <charset val="1"/>
      </rPr>
      <t xml:space="preserve">1</t>
    </r>
  </si>
  <si>
    <r>
      <rPr>
        <sz val="10"/>
        <rFont val="Tahoma"/>
        <family val="0"/>
        <charset val="1"/>
      </rPr>
      <t xml:space="preserve">% </t>
    </r>
    <r>
      <rPr>
        <sz val="10"/>
        <rFont val="FreeSans"/>
        <family val="2"/>
      </rPr>
      <t xml:space="preserve">เวลาที่ใช้ไป </t>
    </r>
    <r>
      <rPr>
        <sz val="10"/>
        <rFont val="Tahoma"/>
        <family val="0"/>
        <charset val="1"/>
      </rPr>
      <t xml:space="preserve">/ Time Elapsed</t>
    </r>
  </si>
  <si>
    <t xml:space="preserve">เทียบกับระยะเวลารวมหลังขยายเวลา</t>
  </si>
  <si>
    <r>
      <rPr>
        <sz val="10"/>
        <rFont val="FreeSans"/>
        <family val="2"/>
      </rPr>
      <t xml:space="preserve">วันคงเหลือ </t>
    </r>
    <r>
      <rPr>
        <sz val="10"/>
        <rFont val="Tahoma"/>
        <family val="0"/>
        <charset val="1"/>
      </rPr>
      <t xml:space="preserve">/ Days Remaining</t>
    </r>
  </si>
  <si>
    <r>
      <rPr>
        <i val="true"/>
        <sz val="9"/>
        <color rgb="FF595959"/>
        <rFont val="FreeSans"/>
        <family val="2"/>
      </rPr>
      <t xml:space="preserve">ติดลบ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เลยกำหนดสัญญาแล้ว</t>
    </r>
  </si>
  <si>
    <r>
      <rPr>
        <sz val="10"/>
        <rFont val="Tahoma"/>
        <family val="0"/>
        <charset val="1"/>
      </rPr>
      <t xml:space="preserve">% </t>
    </r>
    <r>
      <rPr>
        <sz val="10"/>
        <rFont val="FreeSans"/>
        <family val="2"/>
      </rPr>
      <t xml:space="preserve">แผนเดิม </t>
    </r>
    <r>
      <rPr>
        <sz val="10"/>
        <rFont val="Tahoma"/>
        <family val="0"/>
        <charset val="1"/>
      </rPr>
      <t xml:space="preserve">/ Baseline Planned %</t>
    </r>
  </si>
  <si>
    <r>
      <rPr>
        <i val="true"/>
        <sz val="9"/>
        <color rgb="FF595959"/>
        <rFont val="FreeSans"/>
        <family val="2"/>
      </rPr>
      <t xml:space="preserve">ผลงานที่ควรทำได้ตามแผนสัญญา ณ </t>
    </r>
    <r>
      <rPr>
        <i val="true"/>
        <sz val="9"/>
        <color rgb="FF595959"/>
        <rFont val="Tahoma"/>
        <family val="0"/>
        <charset val="1"/>
      </rPr>
      <t xml:space="preserve">Data Date</t>
    </r>
  </si>
  <si>
    <r>
      <rPr>
        <sz val="10"/>
        <rFont val="Tahoma"/>
        <family val="0"/>
        <charset val="1"/>
      </rPr>
      <t xml:space="preserve">% </t>
    </r>
    <r>
      <rPr>
        <sz val="10"/>
        <rFont val="FreeSans"/>
        <family val="2"/>
      </rPr>
      <t xml:space="preserve">แผนเร่งรัด </t>
    </r>
    <r>
      <rPr>
        <sz val="10"/>
        <rFont val="Tahoma"/>
        <family val="0"/>
        <charset val="1"/>
      </rPr>
      <t xml:space="preserve">/ Revised Planned %</t>
    </r>
  </si>
  <si>
    <t xml:space="preserve">ถ้ายังไม่มีแผนเร่งรัด จะเท่ากับแผนเดิม</t>
  </si>
  <si>
    <r>
      <rPr>
        <sz val="10"/>
        <rFont val="FreeSans"/>
        <family val="2"/>
      </rPr>
      <t xml:space="preserve">ผลต่างเทียบแผนเร่งรัด </t>
    </r>
    <r>
      <rPr>
        <sz val="10"/>
        <rFont val="Tahoma"/>
        <family val="0"/>
        <charset val="1"/>
      </rPr>
      <t xml:space="preserve">/ Variance vs Revised</t>
    </r>
  </si>
  <si>
    <t xml:space="preserve">ใช้ติดตามว่าเดินตามแผนเร่งรัดได้หรือไม่</t>
  </si>
  <si>
    <r>
      <rPr>
        <sz val="10"/>
        <rFont val="Tahoma"/>
        <family val="0"/>
        <charset val="1"/>
      </rPr>
      <t xml:space="preserve">% </t>
    </r>
    <r>
      <rPr>
        <sz val="10"/>
        <rFont val="FreeSans"/>
        <family val="2"/>
      </rPr>
      <t xml:space="preserve">ผลงานจริง </t>
    </r>
    <r>
      <rPr>
        <sz val="10"/>
        <rFont val="Tahoma"/>
        <family val="0"/>
        <charset val="1"/>
      </rPr>
      <t xml:space="preserve">/ Actual %</t>
    </r>
  </si>
  <si>
    <r>
      <rPr>
        <sz val="10"/>
        <rFont val="FreeSans"/>
        <family val="2"/>
      </rPr>
      <t xml:space="preserve">ผลต่าง </t>
    </r>
    <r>
      <rPr>
        <sz val="10"/>
        <rFont val="Tahoma"/>
        <family val="0"/>
        <charset val="1"/>
      </rPr>
      <t xml:space="preserve">/ Variance (Actual − Baseline)</t>
    </r>
  </si>
  <si>
    <r>
      <rPr>
        <i val="true"/>
        <sz val="9"/>
        <color rgb="FF595959"/>
        <rFont val="FreeSans"/>
        <family val="2"/>
      </rPr>
      <t xml:space="preserve">ติดลบ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ช้ากว่าแผน</t>
    </r>
  </si>
  <si>
    <r>
      <rPr>
        <sz val="10"/>
        <rFont val="FreeSans"/>
        <family val="2"/>
      </rPr>
      <t xml:space="preserve">ผลต่างคิดเป็นวัน </t>
    </r>
    <r>
      <rPr>
        <sz val="10"/>
        <rFont val="Tahoma"/>
        <family val="0"/>
        <charset val="1"/>
      </rPr>
      <t xml:space="preserve">/ Variance in Days</t>
    </r>
  </si>
  <si>
    <r>
      <rPr>
        <i val="true"/>
        <sz val="9"/>
        <color rgb="FF595959"/>
        <rFont val="FreeSans"/>
        <family val="2"/>
      </rPr>
      <t xml:space="preserve">ผลต่าง </t>
    </r>
    <r>
      <rPr>
        <i val="true"/>
        <sz val="9"/>
        <color rgb="FF595959"/>
        <rFont val="Tahoma"/>
        <family val="0"/>
        <charset val="1"/>
      </rPr>
      <t xml:space="preserve">% × </t>
    </r>
    <r>
      <rPr>
        <i val="true"/>
        <sz val="9"/>
        <color rgb="FF595959"/>
        <rFont val="FreeSans"/>
        <family val="2"/>
      </rPr>
      <t xml:space="preserve">ระยะเวลาสัญญา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วิธีรายงานแบบไทย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</si>
  <si>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sz val="10"/>
        <rFont val="Tahoma"/>
        <family val="0"/>
        <charset val="1"/>
      </rPr>
      <t xml:space="preserve">SPI (</t>
    </r>
    <r>
      <rPr>
        <sz val="10"/>
        <rFont val="FreeSans"/>
        <family val="2"/>
      </rPr>
      <t xml:space="preserve">ดัชนีเวลา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</si>
  <si>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Tahoma"/>
        <family val="0"/>
        <charset val="1"/>
      </rPr>
      <t xml:space="preserve">EV ÷ PV  • ≥1 </t>
    </r>
    <r>
      <rPr>
        <i val="true"/>
        <sz val="9"/>
        <color rgb="FF595959"/>
        <rFont val="FreeSans"/>
        <family val="2"/>
      </rPr>
      <t xml:space="preserve">ตามแผน </t>
    </r>
    <r>
      <rPr>
        <i val="true"/>
        <sz val="9"/>
        <color rgb="FF595959"/>
        <rFont val="Tahoma"/>
        <family val="0"/>
        <charset val="1"/>
      </rPr>
      <t xml:space="preserve">/ 0.9–1 </t>
    </r>
    <r>
      <rPr>
        <i val="true"/>
        <sz val="9"/>
        <color rgb="FF595959"/>
        <rFont val="FreeSans"/>
        <family val="2"/>
      </rPr>
      <t xml:space="preserve">เฝ้าระวัง </t>
    </r>
    <r>
      <rPr>
        <i val="true"/>
        <sz val="9"/>
        <color rgb="FF595959"/>
        <rFont val="Tahoma"/>
        <family val="0"/>
        <charset val="1"/>
      </rPr>
      <t xml:space="preserve">/ &lt;0.9 </t>
    </r>
    <r>
      <rPr>
        <i val="true"/>
        <sz val="9"/>
        <color rgb="FF595959"/>
        <rFont val="FreeSans"/>
        <family val="2"/>
      </rPr>
      <t xml:space="preserve">ล่าช้ามาก</t>
    </r>
  </si>
  <si>
    <r>
      <rPr>
        <sz val="10"/>
        <rFont val="Tahoma"/>
        <family val="0"/>
        <charset val="1"/>
      </rPr>
      <t xml:space="preserve">Earned Schedule – ES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</si>
  <si>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งานที่ทำได้จริง เท่ากับแผนของวันที่เท่าใด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นับจากวันเริ่ม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</si>
  <si>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sz val="10"/>
        <rFont val="Tahoma"/>
        <family val="0"/>
        <charset val="1"/>
      </rPr>
      <t xml:space="preserve">Actual Time – AT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</si>
  <si>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เวลาที่ใช้จริงถึง </t>
    </r>
    <r>
      <rPr>
        <i val="true"/>
        <sz val="9"/>
        <color rgb="FF595959"/>
        <rFont val="Tahoma"/>
        <family val="0"/>
        <charset val="1"/>
      </rPr>
      <t xml:space="preserve">Data Date</t>
    </r>
  </si>
  <si>
    <r>
      <rPr>
        <sz val="10"/>
        <rFont val="Tahoma"/>
        <family val="0"/>
        <charset val="1"/>
      </rPr>
      <t xml:space="preserve">SV(t) – </t>
    </r>
    <r>
      <rPr>
        <sz val="10"/>
        <rFont val="FreeSans"/>
        <family val="2"/>
      </rPr>
      <t xml:space="preserve">ช้ากว่าแผนจริง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</si>
  <si>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ติดลบ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ช้ากว่าแผนกี่วัน</t>
    </r>
  </si>
  <si>
    <r>
      <rPr>
        <sz val="10"/>
        <rFont val="Tahoma"/>
        <family val="0"/>
        <charset val="1"/>
      </rPr>
      <t xml:space="preserve">SPI(t) (</t>
    </r>
    <r>
      <rPr>
        <sz val="10"/>
        <rFont val="FreeSans"/>
        <family val="2"/>
      </rPr>
      <t xml:space="preserve">ดัชนีเวลาเชิงวัน</t>
    </r>
    <r>
      <rPr>
        <sz val="10"/>
        <rFont val="Tahoma"/>
        <family val="0"/>
        <charset val="1"/>
      </rPr>
      <t xml:space="preserve">)</t>
    </r>
  </si>
  <si>
    <t xml:space="preserve">ES ÷ AT</t>
  </si>
  <si>
    <r>
      <rPr>
        <sz val="10"/>
        <rFont val="FreeSans"/>
        <family val="2"/>
      </rPr>
      <t xml:space="preserve">คาดการณ์วันแล้วเสร็จ </t>
    </r>
    <r>
      <rPr>
        <sz val="10"/>
        <rFont val="Tahoma"/>
        <family val="0"/>
        <charset val="1"/>
      </rPr>
      <t xml:space="preserve">/ Forecast Completion</t>
    </r>
  </si>
  <si>
    <r>
      <rPr>
        <i val="true"/>
        <sz val="9"/>
        <color rgb="FF595959"/>
        <rFont val="FreeSans"/>
        <family val="2"/>
      </rPr>
      <t xml:space="preserve">มี </t>
    </r>
    <r>
      <rPr>
        <i val="true"/>
        <sz val="9"/>
        <color rgb="FF595959"/>
        <rFont val="Tahoma"/>
        <family val="0"/>
        <charset val="1"/>
      </rPr>
      <t xml:space="preserve">% </t>
    </r>
    <r>
      <rPr>
        <i val="true"/>
        <sz val="9"/>
        <color rgb="FF595959"/>
        <rFont val="FreeSans"/>
        <family val="2"/>
      </rPr>
      <t xml:space="preserve">รายรายการ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วันเสร็จคาดการณ์ช้าสุด • ไม่มี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ระยะเวลา </t>
    </r>
    <r>
      <rPr>
        <i val="true"/>
        <sz val="9"/>
        <color rgb="FF595959"/>
        <rFont val="Tahoma"/>
        <family val="0"/>
        <charset val="1"/>
      </rPr>
      <t xml:space="preserve">÷ SPI(t)</t>
    </r>
  </si>
  <si>
    <r>
      <rPr>
        <sz val="10"/>
        <rFont val="FreeSans"/>
        <family val="2"/>
      </rPr>
      <t xml:space="preserve">คาดว่าล่าช้ากว่าสัญญา </t>
    </r>
    <r>
      <rPr>
        <sz val="10"/>
        <rFont val="Tahoma"/>
        <family val="0"/>
        <charset val="1"/>
      </rPr>
      <t xml:space="preserve">/ Forecast Delay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</si>
  <si>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t xml:space="preserve">เทียบกับวันสิ้นสุดหลังขยายเวลา</t>
  </si>
  <si>
    <r>
      <rPr>
        <sz val="10"/>
        <rFont val="FreeSans"/>
        <family val="2"/>
      </rPr>
      <t xml:space="preserve">อัตราผลงานจริงเฉลี่ย </t>
    </r>
    <r>
      <rPr>
        <sz val="10"/>
        <rFont val="Tahoma"/>
        <family val="0"/>
        <charset val="1"/>
      </rPr>
      <t xml:space="preserve">/ Actual Rate (%/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</si>
  <si>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อัตราที่ต้องทำ </t>
    </r>
    <r>
      <rPr>
        <sz val="10"/>
        <rFont val="Tahoma"/>
        <family val="0"/>
        <charset val="1"/>
      </rPr>
      <t xml:space="preserve">/ Required Rate (%/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</si>
  <si>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t xml:space="preserve">เพื่อให้เสร็จทันวันสิ้นสุดหลังขยายเวลา</t>
  </si>
  <si>
    <r>
      <rPr>
        <sz val="10"/>
        <rFont val="FreeSans"/>
        <family val="2"/>
      </rPr>
      <t xml:space="preserve">ต้องเร่งงาน </t>
    </r>
    <r>
      <rPr>
        <sz val="10"/>
        <rFont val="Tahoma"/>
        <family val="0"/>
        <charset val="1"/>
      </rPr>
      <t xml:space="preserve">/ Acceleration Needed (</t>
    </r>
    <r>
      <rPr>
        <sz val="10"/>
        <rFont val="FreeSans"/>
        <family val="2"/>
      </rPr>
      <t xml:space="preserve">เท่า</t>
    </r>
    <r>
      <rPr>
        <sz val="10"/>
        <rFont val="Tahoma"/>
        <family val="0"/>
        <charset val="1"/>
      </rPr>
      <t xml:space="preserve">)</t>
    </r>
  </si>
  <si>
    <t xml:space="preserve">เท่าของอัตราผลงานปัจจุบัน</t>
  </si>
  <si>
    <r>
      <rPr>
        <sz val="10"/>
        <rFont val="FreeSans"/>
        <family val="2"/>
      </rPr>
      <t xml:space="preserve">สถานะโครงการ </t>
    </r>
    <r>
      <rPr>
        <sz val="10"/>
        <rFont val="Tahoma"/>
        <family val="0"/>
        <charset val="1"/>
      </rPr>
      <t xml:space="preserve">/ Overall Status</t>
    </r>
  </si>
  <si>
    <r>
      <rPr>
        <sz val="10"/>
        <rFont val="FreeSans"/>
        <family val="2"/>
      </rPr>
      <t xml:space="preserve">จำนวนรายการที่ล่าช้า </t>
    </r>
    <r>
      <rPr>
        <sz val="10"/>
        <rFont val="Tahoma"/>
        <family val="0"/>
        <charset val="1"/>
      </rPr>
      <t xml:space="preserve">/ Items Behind</t>
    </r>
  </si>
  <si>
    <t xml:space="preserve">ดูรายงานส่วนในชีต สรุปงานส่วน</t>
  </si>
  <si>
    <r>
      <rPr>
        <b val="true"/>
        <sz val="9"/>
        <color rgb="FFFFFFFF"/>
        <rFont val="FreeSans"/>
        <family val="2"/>
      </rPr>
      <t xml:space="preserve">ด้านต้นทุน </t>
    </r>
    <r>
      <rPr>
        <b val="true"/>
        <sz val="9"/>
        <color rgb="FFFFFFFF"/>
        <rFont val="Tahoma"/>
        <family val="0"/>
        <charset val="1"/>
      </rPr>
      <t xml:space="preserve">/ COST PERFORMANCE (EVM)</t>
    </r>
  </si>
  <si>
    <r>
      <rPr>
        <sz val="10"/>
        <rFont val="Tahoma"/>
        <family val="0"/>
        <charset val="1"/>
      </rPr>
      <t xml:space="preserve">BAC – </t>
    </r>
    <r>
      <rPr>
        <sz val="10"/>
        <rFont val="FreeSans"/>
        <family val="2"/>
      </rPr>
      <t xml:space="preserve">งบประมาณรวม </t>
    </r>
    <r>
      <rPr>
        <sz val="10"/>
        <rFont val="Tahoma"/>
        <family val="0"/>
        <charset val="1"/>
      </rPr>
      <t xml:space="preserve">/ Budget at Completion</t>
    </r>
  </si>
  <si>
    <t xml:space="preserve">มูลค่าสัญญา</t>
  </si>
  <si>
    <r>
      <rPr>
        <sz val="10"/>
        <rFont val="Tahoma"/>
        <family val="0"/>
        <charset val="1"/>
      </rPr>
      <t xml:space="preserve">PV – </t>
    </r>
    <r>
      <rPr>
        <sz val="10"/>
        <rFont val="FreeSans"/>
        <family val="2"/>
      </rPr>
      <t xml:space="preserve">มูลค่างานตามแผน </t>
    </r>
    <r>
      <rPr>
        <sz val="10"/>
        <rFont val="Tahoma"/>
        <family val="0"/>
        <charset val="1"/>
      </rPr>
      <t xml:space="preserve">/ Planned Value</t>
    </r>
  </si>
  <si>
    <r>
      <rPr>
        <sz val="10"/>
        <rFont val="Tahoma"/>
        <family val="0"/>
        <charset val="1"/>
      </rPr>
      <t xml:space="preserve">EV – </t>
    </r>
    <r>
      <rPr>
        <sz val="10"/>
        <rFont val="FreeSans"/>
        <family val="2"/>
      </rPr>
      <t xml:space="preserve">มูลค่างานที่ทำได้จริง </t>
    </r>
    <r>
      <rPr>
        <sz val="10"/>
        <rFont val="Tahoma"/>
        <family val="0"/>
        <charset val="1"/>
      </rPr>
      <t xml:space="preserve">/ Earned Value</t>
    </r>
  </si>
  <si>
    <r>
      <rPr>
        <sz val="10"/>
        <rFont val="Tahoma"/>
        <family val="0"/>
        <charset val="1"/>
      </rPr>
      <t xml:space="preserve">AC – </t>
    </r>
    <r>
      <rPr>
        <sz val="10"/>
        <rFont val="FreeSans"/>
        <family val="2"/>
      </rPr>
      <t xml:space="preserve">ต้นทุนจริงสะสม </t>
    </r>
    <r>
      <rPr>
        <sz val="10"/>
        <rFont val="Tahoma"/>
        <family val="0"/>
        <charset val="1"/>
      </rPr>
      <t xml:space="preserve">/ Actual Cost</t>
    </r>
  </si>
  <si>
    <r>
      <rPr>
        <i val="true"/>
        <sz val="9"/>
        <color rgb="FF595959"/>
        <rFont val="FreeSans"/>
        <family val="2"/>
      </rPr>
      <t xml:space="preserve">กรอกในชีต </t>
    </r>
    <r>
      <rPr>
        <i val="true"/>
        <sz val="9"/>
        <color rgb="FF595959"/>
        <rFont val="Tahoma"/>
        <family val="0"/>
        <charset val="1"/>
      </rPr>
      <t xml:space="preserve">S-Curve • </t>
    </r>
    <r>
      <rPr>
        <i val="true"/>
        <sz val="9"/>
        <color rgb="FF595959"/>
        <rFont val="FreeSans"/>
        <family val="2"/>
      </rPr>
      <t xml:space="preserve">ถ้าเป็น </t>
    </r>
    <r>
      <rPr>
        <i val="true"/>
        <sz val="9"/>
        <color rgb="FF595959"/>
        <rFont val="Tahoma"/>
        <family val="0"/>
        <charset val="1"/>
      </rPr>
      <t xml:space="preserve">0 </t>
    </r>
    <r>
      <rPr>
        <i val="true"/>
        <sz val="9"/>
        <color rgb="FF595959"/>
        <rFont val="FreeSans"/>
        <family val="2"/>
      </rPr>
      <t xml:space="preserve">จะไม่คำนวณ </t>
    </r>
    <r>
      <rPr>
        <i val="true"/>
        <sz val="9"/>
        <color rgb="FF595959"/>
        <rFont val="Tahoma"/>
        <family val="0"/>
        <charset val="1"/>
      </rPr>
      <t xml:space="preserve">CPI</t>
    </r>
  </si>
  <si>
    <r>
      <rPr>
        <sz val="10"/>
        <rFont val="Tahoma"/>
        <family val="0"/>
        <charset val="1"/>
      </rPr>
      <t xml:space="preserve">SV – </t>
    </r>
    <r>
      <rPr>
        <sz val="10"/>
        <rFont val="FreeSans"/>
        <family val="2"/>
      </rPr>
      <t xml:space="preserve">ผลต่างด้านเวลา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บาท</t>
    </r>
    <r>
      <rPr>
        <sz val="10"/>
        <rFont val="Tahoma"/>
        <family val="0"/>
        <charset val="1"/>
      </rPr>
      <t xml:space="preserve">)</t>
    </r>
  </si>
  <si>
    <t xml:space="preserve">EV − PV</t>
  </si>
  <si>
    <r>
      <rPr>
        <sz val="10"/>
        <rFont val="Tahoma"/>
        <family val="0"/>
        <charset val="1"/>
      </rPr>
      <t xml:space="preserve">CV – </t>
    </r>
    <r>
      <rPr>
        <sz val="10"/>
        <rFont val="FreeSans"/>
        <family val="2"/>
      </rPr>
      <t xml:space="preserve">ผลต่างด้านต้นทุน</t>
    </r>
  </si>
  <si>
    <r>
      <rPr>
        <i val="true"/>
        <sz val="9"/>
        <color rgb="FF595959"/>
        <rFont val="Tahoma"/>
        <family val="0"/>
        <charset val="1"/>
      </rPr>
      <t xml:space="preserve">EV − AC • </t>
    </r>
    <r>
      <rPr>
        <i val="true"/>
        <sz val="9"/>
        <color rgb="FF595959"/>
        <rFont val="FreeSans"/>
        <family val="2"/>
      </rPr>
      <t xml:space="preserve">ติดลบ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ใช้เงินเกิน</t>
    </r>
  </si>
  <si>
    <r>
      <rPr>
        <sz val="10"/>
        <rFont val="Tahoma"/>
        <family val="0"/>
        <charset val="1"/>
      </rPr>
      <t xml:space="preserve">CPI (</t>
    </r>
    <r>
      <rPr>
        <sz val="10"/>
        <rFont val="FreeSans"/>
        <family val="2"/>
      </rPr>
      <t xml:space="preserve">ดัชนีต้นทุน</t>
    </r>
    <r>
      <rPr>
        <sz val="10"/>
        <rFont val="Tahoma"/>
        <family val="0"/>
        <charset val="1"/>
      </rPr>
      <t xml:space="preserve">)</t>
    </r>
  </si>
  <si>
    <t xml:space="preserve">EV ÷ AC</t>
  </si>
  <si>
    <r>
      <rPr>
        <sz val="10"/>
        <rFont val="Tahoma"/>
        <family val="0"/>
        <charset val="1"/>
      </rPr>
      <t xml:space="preserve">EAC – </t>
    </r>
    <r>
      <rPr>
        <sz val="10"/>
        <rFont val="FreeSans"/>
        <family val="2"/>
      </rPr>
      <t xml:space="preserve">ประมาณการต้นทุนเมื่อแล้วเสร็จ</t>
    </r>
  </si>
  <si>
    <t xml:space="preserve">BAC ÷ CPI</t>
  </si>
  <si>
    <r>
      <rPr>
        <sz val="10"/>
        <rFont val="Tahoma"/>
        <family val="0"/>
        <charset val="1"/>
      </rPr>
      <t xml:space="preserve">ETC – </t>
    </r>
    <r>
      <rPr>
        <sz val="10"/>
        <rFont val="FreeSans"/>
        <family val="2"/>
      </rPr>
      <t xml:space="preserve">ต้นทุนที่ต้องใช้อีก</t>
    </r>
  </si>
  <si>
    <t xml:space="preserve">EAC − AC</t>
  </si>
  <si>
    <r>
      <rPr>
        <sz val="10"/>
        <rFont val="Tahoma"/>
        <family val="0"/>
        <charset val="1"/>
      </rPr>
      <t xml:space="preserve">VAC – </t>
    </r>
    <r>
      <rPr>
        <sz val="10"/>
        <rFont val="FreeSans"/>
        <family val="2"/>
      </rPr>
      <t xml:space="preserve">กำไร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ขาดทุนจากงบ</t>
    </r>
  </si>
  <si>
    <t xml:space="preserve">BAC − EAC</t>
  </si>
  <si>
    <r>
      <rPr>
        <sz val="10"/>
        <rFont val="Tahoma"/>
        <family val="0"/>
        <charset val="1"/>
      </rPr>
      <t xml:space="preserve">TCPI – </t>
    </r>
    <r>
      <rPr>
        <sz val="10"/>
        <rFont val="FreeSans"/>
        <family val="2"/>
      </rPr>
      <t xml:space="preserve">ประสิทธิภาพที่ต้องทำให้ได้</t>
    </r>
  </si>
  <si>
    <t xml:space="preserve">(BAC − EV) ÷ (BAC − AC)</t>
  </si>
  <si>
    <r>
      <rPr>
        <sz val="10"/>
        <rFont val="FreeSans"/>
        <family val="2"/>
      </rPr>
      <t xml:space="preserve">เงินเบิกจ่ายสะสม </t>
    </r>
    <r>
      <rPr>
        <sz val="10"/>
        <rFont val="Tahoma"/>
        <family val="0"/>
        <charset val="1"/>
      </rPr>
      <t xml:space="preserve">/ Certified Payment</t>
    </r>
  </si>
  <si>
    <r>
      <rPr>
        <sz val="10"/>
        <rFont val="Tahoma"/>
        <family val="0"/>
        <charset val="1"/>
      </rPr>
      <t xml:space="preserve">% </t>
    </r>
    <r>
      <rPr>
        <sz val="10"/>
        <rFont val="FreeSans"/>
        <family val="2"/>
      </rPr>
      <t xml:space="preserve">เบิกจ่ายต่อมูลค่าสัญญา</t>
    </r>
  </si>
  <si>
    <r>
      <rPr>
        <b val="true"/>
        <sz val="9"/>
        <color rgb="FFFFFFFF"/>
        <rFont val="FreeSans"/>
        <family val="2"/>
      </rPr>
      <t xml:space="preserve">ขยายเวลาและค่าปรับ </t>
    </r>
    <r>
      <rPr>
        <b val="true"/>
        <sz val="9"/>
        <color rgb="FFFFFFFF"/>
        <rFont val="Tahoma"/>
        <family val="0"/>
        <charset val="1"/>
      </rPr>
      <t xml:space="preserve">/ EOT &amp; LIQUIDATED DAMAGES</t>
    </r>
  </si>
  <si>
    <r>
      <rPr>
        <sz val="10"/>
        <rFont val="FreeSans"/>
        <family val="2"/>
      </rPr>
      <t xml:space="preserve">ขอขยายเวลารวม </t>
    </r>
    <r>
      <rPr>
        <sz val="10"/>
        <rFont val="Tahoma"/>
        <family val="0"/>
        <charset val="1"/>
      </rPr>
      <t xml:space="preserve">/ EOT Claimed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</si>
  <si>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อนุมัติแล้ว </t>
    </r>
    <r>
      <rPr>
        <sz val="10"/>
        <rFont val="Tahoma"/>
        <family val="0"/>
        <charset val="1"/>
      </rPr>
      <t xml:space="preserve">/ EOT Approved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</si>
  <si>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รอพิจารณา </t>
    </r>
    <r>
      <rPr>
        <sz val="10"/>
        <rFont val="Tahoma"/>
        <family val="0"/>
        <charset val="1"/>
      </rPr>
      <t xml:space="preserve">/ EOT Pending (</t>
    </r>
    <r>
      <rPr>
        <sz val="10"/>
        <rFont val="FreeSans"/>
        <family val="2"/>
      </rPr>
      <t xml:space="preserve">วัน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</si>
  <si>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ค่าปรับต่อวัน </t>
    </r>
    <r>
      <rPr>
        <sz val="10"/>
        <rFont val="Tahoma"/>
        <family val="0"/>
        <charset val="1"/>
      </rPr>
      <t xml:space="preserve">/ LD per Day (</t>
    </r>
    <r>
      <rPr>
        <sz val="10"/>
        <rFont val="FreeSans"/>
        <family val="2"/>
      </rPr>
      <t xml:space="preserve">บาท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</si>
  <si>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Tahoma"/>
        <family val="0"/>
        <charset val="1"/>
      </rPr>
      <t xml:space="preserve">MAX(</t>
    </r>
    <r>
      <rPr>
        <i val="true"/>
        <sz val="9"/>
        <color rgb="FF595959"/>
        <rFont val="FreeSans"/>
        <family val="2"/>
      </rPr>
      <t xml:space="preserve">ขั้นต่ำ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อัตรา </t>
    </r>
    <r>
      <rPr>
        <i val="true"/>
        <sz val="9"/>
        <color rgb="FF595959"/>
        <rFont val="Tahoma"/>
        <family val="0"/>
        <charset val="1"/>
      </rPr>
      <t xml:space="preserve">× </t>
    </r>
    <r>
      <rPr>
        <i val="true"/>
        <sz val="9"/>
        <color rgb="FF595959"/>
        <rFont val="FreeSans"/>
        <family val="2"/>
      </rPr>
      <t xml:space="preserve">มูลค่าสัญญา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</si>
  <si>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วันที่ถูกปรับแล้ว </t>
    </r>
    <r>
      <rPr>
        <sz val="10"/>
        <rFont val="Tahoma"/>
        <family val="0"/>
        <charset val="1"/>
      </rPr>
      <t xml:space="preserve">/ LD Days to Date</t>
    </r>
  </si>
  <si>
    <r>
      <rPr>
        <sz val="10"/>
        <rFont val="FreeSans"/>
        <family val="2"/>
      </rPr>
      <t xml:space="preserve">ค่าปรับเกิดขึ้นแล้ว </t>
    </r>
    <r>
      <rPr>
        <sz val="10"/>
        <rFont val="Tahoma"/>
        <family val="0"/>
        <charset val="1"/>
      </rPr>
      <t xml:space="preserve">/ LD Incurred (</t>
    </r>
    <r>
      <rPr>
        <sz val="10"/>
        <rFont val="FreeSans"/>
        <family val="2"/>
      </rPr>
      <t xml:space="preserve">บาท</t>
    </r>
    <r>
      <rPr>
        <sz val="10"/>
        <rFont val="Tahoma"/>
        <family val="0"/>
        <charset val="1"/>
      </rPr>
      <t xml:space="preserve">)</t>
    </r>
  </si>
  <si>
    <r>
      <rPr>
        <sz val="10"/>
        <rFont val="FreeSans"/>
        <family val="2"/>
      </rPr>
      <t xml:space="preserve">ค่าปรับคาดการณ์ </t>
    </r>
    <r>
      <rPr>
        <sz val="10"/>
        <rFont val="Tahoma"/>
        <family val="0"/>
        <charset val="1"/>
      </rPr>
      <t xml:space="preserve">/ Forecast LD (</t>
    </r>
    <r>
      <rPr>
        <sz val="10"/>
        <rFont val="FreeSans"/>
        <family val="2"/>
      </rPr>
      <t xml:space="preserve">บาท</t>
    </r>
    <r>
      <rPr>
        <sz val="10"/>
        <rFont val="Tahoma"/>
        <family val="0"/>
        <charset val="1"/>
      </rPr>
      <t xml:space="preserve">)</t>
    </r>
  </si>
  <si>
    <t xml:space="preserve">ถ้าเสร็จตามวันคาดการณ์</t>
  </si>
  <si>
    <r>
      <rPr>
        <sz val="10"/>
        <rFont val="FreeSans"/>
        <family val="2"/>
      </rPr>
      <t xml:space="preserve">ค่าปรับคาดการณ์ </t>
    </r>
    <r>
      <rPr>
        <sz val="10"/>
        <rFont val="Tahoma"/>
        <family val="0"/>
        <charset val="1"/>
      </rPr>
      <t xml:space="preserve">% </t>
    </r>
    <r>
      <rPr>
        <sz val="10"/>
        <rFont val="FreeSans"/>
        <family val="2"/>
      </rPr>
      <t xml:space="preserve">ของสัญญา</t>
    </r>
  </si>
  <si>
    <r>
      <rPr>
        <sz val="10"/>
        <rFont val="FreeSans"/>
        <family val="2"/>
      </rPr>
      <t xml:space="preserve">สัญญาณเตือนค่าปรับ </t>
    </r>
    <r>
      <rPr>
        <sz val="10"/>
        <rFont val="Tahoma"/>
        <family val="0"/>
        <charset val="1"/>
      </rPr>
      <t xml:space="preserve">/ LD Alert</t>
    </r>
  </si>
  <si>
    <r>
      <rPr>
        <sz val="10"/>
        <rFont val="FreeSans"/>
        <family val="2"/>
      </rPr>
      <t xml:space="preserve">ตรวจสอบน้ำหนักงานรวม </t>
    </r>
    <r>
      <rPr>
        <sz val="10"/>
        <rFont val="Tahoma"/>
        <family val="0"/>
        <charset val="1"/>
      </rPr>
      <t xml:space="preserve">/ Weight Check</t>
    </r>
  </si>
  <si>
    <r>
      <rPr>
        <i val="true"/>
        <sz val="9"/>
        <color rgb="FF595959"/>
        <rFont val="FreeSans"/>
        <family val="2"/>
      </rPr>
      <t xml:space="preserve">ต้องเท่ากับ </t>
    </r>
    <r>
      <rPr>
        <i val="true"/>
        <sz val="9"/>
        <color rgb="FF595959"/>
        <rFont val="Tahoma"/>
        <family val="0"/>
        <charset val="1"/>
      </rPr>
      <t xml:space="preserve">100%</t>
    </r>
  </si>
  <si>
    <r>
      <rPr>
        <b val="true"/>
        <sz val="9"/>
        <color rgb="FF808080"/>
        <rFont val="FreeSans"/>
        <family val="2"/>
      </rPr>
      <t xml:space="preserve">ตัวช่วยคำนวณ </t>
    </r>
    <r>
      <rPr>
        <b val="true"/>
        <sz val="9"/>
        <color rgb="FF808080"/>
        <rFont val="Tahoma"/>
        <family val="0"/>
        <charset val="1"/>
      </rPr>
      <t xml:space="preserve">(</t>
    </r>
    <r>
      <rPr>
        <b val="true"/>
        <sz val="9"/>
        <color rgb="FF808080"/>
        <rFont val="FreeSans"/>
        <family val="2"/>
      </rPr>
      <t xml:space="preserve">อัตโนมัติ</t>
    </r>
    <r>
      <rPr>
        <b val="true"/>
        <sz val="9"/>
        <color rgb="FF808080"/>
        <rFont val="Tahoma"/>
        <family val="0"/>
        <charset val="1"/>
      </rPr>
      <t xml:space="preserve">)</t>
    </r>
  </si>
  <si>
    <r>
      <rPr>
        <sz val="9"/>
        <color rgb="FF808080"/>
        <rFont val="Tahoma"/>
        <family val="0"/>
        <charset val="1"/>
      </rPr>
      <t xml:space="preserve">N = </t>
    </r>
    <r>
      <rPr>
        <sz val="9"/>
        <color rgb="FF808080"/>
        <rFont val="FreeSans"/>
        <family val="2"/>
      </rPr>
      <t xml:space="preserve">จำนวนงวดที่ </t>
    </r>
    <r>
      <rPr>
        <sz val="9"/>
        <color rgb="FF808080"/>
        <rFont val="Tahoma"/>
        <family val="0"/>
        <charset val="1"/>
      </rPr>
      <t xml:space="preserve">Baseline ≤ Actual</t>
    </r>
  </si>
  <si>
    <t xml:space="preserve">มีแผนเร่งรัดหรือไม่</t>
  </si>
  <si>
    <t xml:space="preserve">จำนวนงวดทั้งหมด</t>
  </si>
  <si>
    <r>
      <rPr>
        <sz val="9"/>
        <color rgb="FF808080"/>
        <rFont val="FreeSans"/>
        <family val="2"/>
      </rPr>
      <t xml:space="preserve">วันที่ </t>
    </r>
    <r>
      <rPr>
        <sz val="9"/>
        <color rgb="FF808080"/>
        <rFont val="Tahoma"/>
        <family val="0"/>
        <charset val="1"/>
      </rPr>
      <t xml:space="preserve">ES</t>
    </r>
  </si>
  <si>
    <r>
      <rPr>
        <sz val="9"/>
        <color rgb="FF808080"/>
        <rFont val="Tahoma"/>
        <family val="0"/>
        <charset val="1"/>
      </rPr>
      <t xml:space="preserve">ES (</t>
    </r>
    <r>
      <rPr>
        <sz val="9"/>
        <color rgb="FF808080"/>
        <rFont val="FreeSans"/>
        <family val="2"/>
      </rPr>
      <t xml:space="preserve">วัน</t>
    </r>
    <r>
      <rPr>
        <sz val="9"/>
        <color rgb="FF808080"/>
        <rFont val="Tahoma"/>
        <family val="0"/>
        <charset val="1"/>
      </rPr>
      <t xml:space="preserve">)</t>
    </r>
  </si>
  <si>
    <r>
      <rPr>
        <sz val="9"/>
        <color rgb="FF808080"/>
        <rFont val="FreeSans"/>
        <family val="2"/>
      </rPr>
      <t xml:space="preserve">ระยะเวลาสัญญาเดิม </t>
    </r>
    <r>
      <rPr>
        <sz val="9"/>
        <color rgb="FF808080"/>
        <rFont val="Tahoma"/>
        <family val="0"/>
        <charset val="1"/>
      </rPr>
      <t xml:space="preserve">(</t>
    </r>
    <r>
      <rPr>
        <sz val="9"/>
        <color rgb="FF808080"/>
        <rFont val="FreeSans"/>
        <family val="2"/>
      </rPr>
      <t xml:space="preserve">วัน</t>
    </r>
    <r>
      <rPr>
        <sz val="9"/>
        <color rgb="FF808080"/>
        <rFont val="Tahoma"/>
        <family val="0"/>
        <charset val="1"/>
      </rPr>
      <t xml:space="preserve">)</t>
    </r>
  </si>
  <si>
    <r>
      <rPr>
        <b val="true"/>
        <sz val="16"/>
        <color rgb="FF1F3864"/>
        <rFont val="FreeSans"/>
        <family val="2"/>
      </rPr>
      <t xml:space="preserve">สรุปผลรายงานส่วนและหมวดงาน </t>
    </r>
    <r>
      <rPr>
        <b val="true"/>
        <sz val="16"/>
        <color rgb="FF1F3864"/>
        <rFont val="Tahoma"/>
        <family val="0"/>
        <charset val="1"/>
      </rPr>
      <t xml:space="preserve">/ Summary by Work Package &amp; Discipline</t>
    </r>
  </si>
  <si>
    <r>
      <rPr>
        <i val="true"/>
        <sz val="9"/>
        <color rgb="FF595959"/>
        <rFont val="FreeSans"/>
        <family val="2"/>
      </rPr>
      <t xml:space="preserve">แสดงความคืบหน้าของแต่ละงานส่วนที่ดำเนินการขนานกัน • </t>
    </r>
    <r>
      <rPr>
        <i val="true"/>
        <sz val="9"/>
        <color rgb="FF595959"/>
        <rFont val="Tahoma"/>
        <family val="0"/>
        <charset val="1"/>
      </rPr>
      <t xml:space="preserve">Gantt </t>
    </r>
    <r>
      <rPr>
        <i val="true"/>
        <sz val="9"/>
        <color rgb="FF595959"/>
        <rFont val="FreeSans"/>
        <family val="2"/>
      </rPr>
      <t xml:space="preserve">ด้านขวา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</rPr>
      <t xml:space="preserve">ฟ้า</t>
    </r>
    <r>
      <rPr>
        <i val="true"/>
        <sz val="9"/>
        <color rgb="FF595959"/>
        <rFont val="Tahoma"/>
        <family val="0"/>
        <charset val="1"/>
      </rPr>
      <t xml:space="preserve">=</t>
    </r>
    <r>
      <rPr>
        <i val="true"/>
        <sz val="9"/>
        <color rgb="FF595959"/>
        <rFont val="FreeSans"/>
        <family val="2"/>
      </rPr>
      <t xml:space="preserve">ช่วงแผน  ส้ม</t>
    </r>
    <r>
      <rPr>
        <i val="true"/>
        <sz val="9"/>
        <color rgb="FF595959"/>
        <rFont val="Tahoma"/>
        <family val="0"/>
        <charset val="1"/>
      </rPr>
      <t xml:space="preserve">=</t>
    </r>
    <r>
      <rPr>
        <i val="true"/>
        <sz val="9"/>
        <color rgb="FF595959"/>
        <rFont val="FreeSans"/>
        <family val="2"/>
      </rPr>
      <t xml:space="preserve">ช่วงทำงานจริง  เขียว</t>
    </r>
    <r>
      <rPr>
        <i val="true"/>
        <sz val="9"/>
        <color rgb="FF595959"/>
        <rFont val="Tahoma"/>
        <family val="0"/>
        <charset val="1"/>
      </rPr>
      <t xml:space="preserve">=</t>
    </r>
    <r>
      <rPr>
        <i val="true"/>
        <sz val="9"/>
        <color rgb="FF595959"/>
        <rFont val="FreeSans"/>
        <family val="2"/>
      </rPr>
      <t xml:space="preserve">จริงตรงกับแผน</t>
    </r>
  </si>
  <si>
    <r>
      <rPr>
        <b val="true"/>
        <sz val="10"/>
        <rFont val="FreeSans"/>
        <family val="2"/>
      </rPr>
      <t xml:space="preserve">ข้อมูลจริง ณ วันที่ </t>
    </r>
    <r>
      <rPr>
        <b val="true"/>
        <sz val="10"/>
        <rFont val="Tahoma"/>
        <family val="0"/>
        <charset val="1"/>
      </rPr>
      <t xml:space="preserve">/ Data Date:</t>
    </r>
  </si>
  <si>
    <r>
      <rPr>
        <b val="true"/>
        <sz val="9"/>
        <color rgb="FFFFFFFF"/>
        <rFont val="FreeSans"/>
        <family val="2"/>
      </rPr>
      <t xml:space="preserve">ความก้าวหน้ารายงานส่วน </t>
    </r>
    <r>
      <rPr>
        <b val="true"/>
        <sz val="9"/>
        <color rgb="FFFFFFFF"/>
        <rFont val="Tahoma"/>
        <family val="0"/>
        <charset val="1"/>
      </rPr>
      <t xml:space="preserve">/ PROGRESS BY WORK PACKAGE (WBS </t>
    </r>
    <r>
      <rPr>
        <b val="true"/>
        <sz val="9"/>
        <color rgb="FFFFFFFF"/>
        <rFont val="FreeSans"/>
        <family val="2"/>
      </rPr>
      <t xml:space="preserve">ระดับ </t>
    </r>
    <r>
      <rPr>
        <b val="true"/>
        <sz val="9"/>
        <color rgb="FFFFFFFF"/>
        <rFont val="Tahoma"/>
        <family val="0"/>
        <charset val="1"/>
      </rPr>
      <t xml:space="preserve">1)</t>
    </r>
  </si>
  <si>
    <t xml:space="preserve">No.</t>
  </si>
  <si>
    <r>
      <rPr>
        <b val="true"/>
        <sz val="9"/>
        <color rgb="FFFFFFFF"/>
        <rFont val="FreeSans"/>
        <family val="2"/>
      </rPr>
      <t xml:space="preserve">งานส่วน </t>
    </r>
    <r>
      <rPr>
        <b val="true"/>
        <sz val="9"/>
        <color rgb="FFFFFFFF"/>
        <rFont val="Tahoma"/>
        <family val="0"/>
        <charset val="1"/>
      </rPr>
      <t xml:space="preserve">/ Work Package</t>
    </r>
  </si>
  <si>
    <t xml:space="preserve">จำนวน
รายการ</t>
  </si>
  <si>
    <r>
      <rPr>
        <b val="true"/>
        <sz val="9"/>
        <color rgb="FFFFFFFF"/>
        <rFont val="FreeSans"/>
        <family val="2"/>
      </rPr>
      <t xml:space="preserve">มูลค่า
</t>
    </r>
    <r>
      <rPr>
        <b val="true"/>
        <sz val="9"/>
        <color rgb="FFFFFFFF"/>
        <rFont val="Tahoma"/>
        <family val="0"/>
        <charset val="1"/>
      </rPr>
      <t xml:space="preserve">Budget (</t>
    </r>
    <r>
      <rPr>
        <b val="true"/>
        <sz val="9"/>
        <color rgb="FFFFFFFF"/>
        <rFont val="FreeSans"/>
        <family val="2"/>
      </rPr>
      <t xml:space="preserve">฿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</si>
  <si>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น้ำหนัก
</t>
    </r>
    <r>
      <rPr>
        <b val="true"/>
        <sz val="9"/>
        <color rgb="FFFFFFFF"/>
        <rFont val="Tahoma"/>
        <family val="0"/>
        <charset val="1"/>
      </rPr>
      <t xml:space="preserve">Weight</t>
    </r>
  </si>
  <si>
    <r>
      <rPr>
        <b val="true"/>
        <sz val="9"/>
        <color rgb="FFFFFFFF"/>
        <rFont val="FreeSans"/>
        <family val="2"/>
      </rPr>
      <t xml:space="preserve">เริ่มแผน
</t>
    </r>
    <r>
      <rPr>
        <b val="true"/>
        <sz val="9"/>
        <color rgb="FFFFFFFF"/>
        <rFont val="Tahoma"/>
        <family val="0"/>
        <charset val="1"/>
      </rPr>
      <t xml:space="preserve">BL Start</t>
    </r>
  </si>
  <si>
    <r>
      <rPr>
        <b val="true"/>
        <sz val="9"/>
        <color rgb="FFFFFFFF"/>
        <rFont val="FreeSans"/>
        <family val="2"/>
      </rPr>
      <t xml:space="preserve">เสร็จแผน
</t>
    </r>
    <r>
      <rPr>
        <b val="true"/>
        <sz val="9"/>
        <color rgb="FFFFFFFF"/>
        <rFont val="Tahoma"/>
        <family val="0"/>
        <charset val="1"/>
      </rPr>
      <t xml:space="preserve">BL Finish</t>
    </r>
  </si>
  <si>
    <r>
      <rPr>
        <b val="true"/>
        <sz val="9"/>
        <color rgb="FFFFFFFF"/>
        <rFont val="FreeSans"/>
        <family val="2"/>
      </rPr>
      <t xml:space="preserve">เริ่มจริง
</t>
    </r>
    <r>
      <rPr>
        <b val="true"/>
        <sz val="9"/>
        <color rgb="FFFFFFFF"/>
        <rFont val="Tahoma"/>
        <family val="0"/>
        <charset val="1"/>
      </rPr>
      <t xml:space="preserve">Actual Start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</si>
  <si>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แผน
</t>
    </r>
    <r>
      <rPr>
        <b val="true"/>
        <sz val="9"/>
        <color rgb="FFFFFFFF"/>
        <rFont val="Tahoma"/>
        <family val="0"/>
        <charset val="1"/>
      </rPr>
      <t xml:space="preserve">Planned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</si>
  <si>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จริง
</t>
    </r>
    <r>
      <rPr>
        <b val="true"/>
        <sz val="9"/>
        <color rgb="FFFFFFFF"/>
        <rFont val="Tahoma"/>
        <family val="0"/>
        <charset val="1"/>
      </rPr>
      <t xml:space="preserve">Actual</t>
    </r>
  </si>
  <si>
    <r>
      <rPr>
        <b val="true"/>
        <sz val="9"/>
        <color rgb="FFFFFFFF"/>
        <rFont val="FreeSans"/>
        <family val="2"/>
      </rPr>
      <t xml:space="preserve">ผลต่าง
</t>
    </r>
    <r>
      <rPr>
        <b val="true"/>
        <sz val="9"/>
        <color rgb="FFFFFFFF"/>
        <rFont val="Tahoma"/>
        <family val="0"/>
        <charset val="1"/>
      </rPr>
      <t xml:space="preserve">Variance</t>
    </r>
  </si>
  <si>
    <r>
      <rPr>
        <b val="true"/>
        <sz val="9"/>
        <color rgb="FFFFFFFF"/>
        <rFont val="FreeSans"/>
        <family val="2"/>
      </rPr>
      <t xml:space="preserve">คาดว่าเสร็จ
</t>
    </r>
    <r>
      <rPr>
        <b val="true"/>
        <sz val="9"/>
        <color rgb="FFFFFFFF"/>
        <rFont val="Tahoma"/>
        <family val="0"/>
        <charset val="1"/>
      </rPr>
      <t xml:space="preserve">Forecast</t>
    </r>
  </si>
  <si>
    <r>
      <rPr>
        <b val="true"/>
        <sz val="9"/>
        <color rgb="FFFFFFFF"/>
        <rFont val="FreeSans"/>
        <family val="2"/>
      </rPr>
      <t xml:space="preserve">ล่าช้า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
Delay</t>
    </r>
  </si>
  <si>
    <t xml:space="preserve">รายการ
ล่าช้า</t>
  </si>
  <si>
    <r>
      <rPr>
        <b val="true"/>
        <sz val="9"/>
        <color rgb="FFFFFFFF"/>
        <rFont val="FreeSans"/>
        <family val="2"/>
      </rPr>
      <t xml:space="preserve">สถานะ
</t>
    </r>
    <r>
      <rPr>
        <b val="true"/>
        <sz val="9"/>
        <color rgb="FFFFFFFF"/>
        <rFont val="Tahoma"/>
        <family val="0"/>
        <charset val="1"/>
      </rPr>
      <t xml:space="preserve">Status</t>
    </r>
  </si>
  <si>
    <r>
      <rPr>
        <b val="true"/>
        <sz val="9"/>
        <color rgb="FFFFFFFF"/>
        <rFont val="FreeSans"/>
        <family val="2"/>
      </rPr>
      <t xml:space="preserve">ผลงานแผน
</t>
    </r>
    <r>
      <rPr>
        <b val="true"/>
        <sz val="9"/>
        <color rgb="FFFFFFFF"/>
        <rFont val="Tahoma"/>
        <family val="0"/>
        <charset val="1"/>
      </rPr>
      <t xml:space="preserve">(% </t>
    </r>
    <r>
      <rPr>
        <b val="true"/>
        <sz val="9"/>
        <color rgb="FFFFFFFF"/>
        <rFont val="FreeSans"/>
        <family val="2"/>
      </rPr>
      <t xml:space="preserve">โครงการ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</si>
  <si>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ผลงานจริง
</t>
    </r>
    <r>
      <rPr>
        <b val="true"/>
        <sz val="9"/>
        <color rgb="FFFFFFFF"/>
        <rFont val="Tahoma"/>
        <family val="0"/>
        <charset val="1"/>
      </rPr>
      <t xml:space="preserve">(% </t>
    </r>
    <r>
      <rPr>
        <b val="true"/>
        <sz val="9"/>
        <color rgb="FFFFFFFF"/>
        <rFont val="FreeSans"/>
        <family val="2"/>
      </rPr>
      <t xml:space="preserve">โครงการ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</si>
  <si>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aEnd</t>
  </si>
  <si>
    <r>
      <rPr>
        <b val="true"/>
        <sz val="9"/>
        <rFont val="FreeSans"/>
        <family val="2"/>
      </rPr>
      <t xml:space="preserve">รวมทั้งโครงการ </t>
    </r>
    <r>
      <rPr>
        <b val="true"/>
        <sz val="9"/>
        <rFont val="Tahoma"/>
        <family val="0"/>
        <charset val="1"/>
      </rPr>
      <t xml:space="preserve">/ PROJECT TOTAL</t>
    </r>
  </si>
  <si>
    <r>
      <rPr>
        <i val="true"/>
        <sz val="8"/>
        <color rgb="FF808080"/>
        <rFont val="FreeSans"/>
        <family val="2"/>
      </rPr>
      <t xml:space="preserve">หมายเหตุ</t>
    </r>
    <r>
      <rPr>
        <i val="true"/>
        <sz val="8"/>
        <color rgb="FF808080"/>
        <rFont val="Tahoma"/>
        <family val="0"/>
        <charset val="1"/>
      </rPr>
      <t xml:space="preserve">: % </t>
    </r>
    <r>
      <rPr>
        <i val="true"/>
        <sz val="8"/>
        <color rgb="FF808080"/>
        <rFont val="FreeSans"/>
        <family val="2"/>
      </rPr>
      <t xml:space="preserve">จริงรายงานส่วนคำนวณจาก </t>
    </r>
    <r>
      <rPr>
        <i val="true"/>
        <sz val="8"/>
        <color rgb="FF808080"/>
        <rFont val="Tahoma"/>
        <family val="0"/>
        <charset val="1"/>
      </rPr>
      <t xml:space="preserve">% </t>
    </r>
    <r>
      <rPr>
        <i val="true"/>
        <sz val="8"/>
        <color rgb="FF808080"/>
        <rFont val="FreeSans"/>
        <family val="2"/>
      </rPr>
      <t xml:space="preserve">รายรายการในชีตแผนงาน • แถวรวมใช้ค่าเดียวกับ </t>
    </r>
    <r>
      <rPr>
        <i val="true"/>
        <sz val="8"/>
        <color rgb="FF808080"/>
        <rFont val="Tahoma"/>
        <family val="0"/>
        <charset val="1"/>
      </rPr>
      <t xml:space="preserve">Dashboard</t>
    </r>
  </si>
  <si>
    <r>
      <rPr>
        <b val="true"/>
        <sz val="9"/>
        <color rgb="FFFFFFFF"/>
        <rFont val="FreeSans"/>
        <family val="2"/>
      </rPr>
      <t xml:space="preserve">ความก้าวหน้ารายหมวดงาน </t>
    </r>
    <r>
      <rPr>
        <b val="true"/>
        <sz val="9"/>
        <color rgb="FFFFFFFF"/>
        <rFont val="Tahoma"/>
        <family val="0"/>
        <charset val="1"/>
      </rPr>
      <t xml:space="preserve">/ PROGRESS BY DISCIPLINE (WBS </t>
    </r>
    <r>
      <rPr>
        <b val="true"/>
        <sz val="9"/>
        <color rgb="FFFFFFFF"/>
        <rFont val="FreeSans"/>
        <family val="2"/>
      </rPr>
      <t xml:space="preserve">ระดับ </t>
    </r>
    <r>
      <rPr>
        <b val="true"/>
        <sz val="9"/>
        <color rgb="FFFFFFFF"/>
        <rFont val="Tahoma"/>
        <family val="0"/>
        <charset val="1"/>
      </rPr>
      <t xml:space="preserve">2)</t>
    </r>
  </si>
  <si>
    <r>
      <rPr>
        <b val="true"/>
        <sz val="9"/>
        <color rgb="FFFFFFFF"/>
        <rFont val="FreeSans"/>
        <family val="2"/>
      </rPr>
      <t xml:space="preserve">หมวดงาน </t>
    </r>
    <r>
      <rPr>
        <b val="true"/>
        <sz val="9"/>
        <color rgb="FFFFFFFF"/>
        <rFont val="Tahoma"/>
        <family val="0"/>
        <charset val="1"/>
      </rPr>
      <t xml:space="preserve">/ Discipline</t>
    </r>
  </si>
  <si>
    <r>
      <rPr>
        <b val="true"/>
        <sz val="9"/>
        <rFont val="FreeSans"/>
        <family val="2"/>
      </rPr>
      <t xml:space="preserve">รวม </t>
    </r>
    <r>
      <rPr>
        <b val="true"/>
        <sz val="9"/>
        <rFont val="Tahoma"/>
        <family val="0"/>
        <charset val="1"/>
      </rPr>
      <t xml:space="preserve">/ TOTAL</t>
    </r>
  </si>
  <si>
    <r>
      <rPr>
        <b val="true"/>
        <sz val="16"/>
        <color rgb="FFFFFFFF"/>
        <rFont val="FreeSans"/>
        <family val="2"/>
      </rPr>
      <t xml:space="preserve">รายงานความก้าวหน้าโครงการ </t>
    </r>
    <r>
      <rPr>
        <b val="true"/>
        <sz val="16"/>
        <color rgb="FFFFFFFF"/>
        <rFont val="Tahoma"/>
        <family val="0"/>
        <charset val="1"/>
      </rPr>
      <t xml:space="preserve">/ PROJECT PROGRESS REPORT</t>
    </r>
  </si>
  <si>
    <r>
      <rPr>
        <b val="true"/>
        <sz val="9"/>
        <rFont val="FreeSans"/>
        <family val="2"/>
      </rPr>
      <t xml:space="preserve">โครงการ </t>
    </r>
    <r>
      <rPr>
        <b val="true"/>
        <sz val="9"/>
        <rFont val="Tahoma"/>
        <family val="0"/>
        <charset val="1"/>
      </rPr>
      <t xml:space="preserve">/ Project:</t>
    </r>
  </si>
  <si>
    <r>
      <rPr>
        <b val="true"/>
        <sz val="9"/>
        <rFont val="FreeSans"/>
        <family val="2"/>
      </rPr>
      <t xml:space="preserve">รายงานงวดที่ </t>
    </r>
    <r>
      <rPr>
        <b val="true"/>
        <sz val="9"/>
        <rFont val="Tahoma"/>
        <family val="0"/>
        <charset val="1"/>
      </rPr>
      <t xml:space="preserve">/ Report No.:</t>
    </r>
  </si>
  <si>
    <r>
      <rPr>
        <b val="true"/>
        <sz val="9"/>
        <rFont val="FreeSans"/>
        <family val="2"/>
      </rPr>
      <t xml:space="preserve">ผู้ว่าจ้าง </t>
    </r>
    <r>
      <rPr>
        <b val="true"/>
        <sz val="9"/>
        <rFont val="Tahoma"/>
        <family val="0"/>
        <charset val="1"/>
      </rPr>
      <t xml:space="preserve">/ Employer:</t>
    </r>
  </si>
  <si>
    <r>
      <rPr>
        <b val="true"/>
        <sz val="9"/>
        <rFont val="FreeSans"/>
        <family val="2"/>
      </rPr>
      <t xml:space="preserve">วันที่ตรวจวัด </t>
    </r>
    <r>
      <rPr>
        <b val="true"/>
        <sz val="9"/>
        <rFont val="Tahoma"/>
        <family val="0"/>
        <charset val="1"/>
      </rPr>
      <t xml:space="preserve">/ Status Date:</t>
    </r>
  </si>
  <si>
    <r>
      <rPr>
        <b val="true"/>
        <sz val="9"/>
        <rFont val="FreeSans"/>
        <family val="2"/>
      </rPr>
      <t xml:space="preserve">ผู้รับจ้าง </t>
    </r>
    <r>
      <rPr>
        <b val="true"/>
        <sz val="9"/>
        <rFont val="Tahoma"/>
        <family val="0"/>
        <charset val="1"/>
      </rPr>
      <t xml:space="preserve">/ Contractor:</t>
    </r>
  </si>
  <si>
    <r>
      <rPr>
        <b val="true"/>
        <sz val="9"/>
        <rFont val="FreeSans"/>
        <family val="2"/>
      </rPr>
      <t xml:space="preserve">เลขที่สัญญา </t>
    </r>
    <r>
      <rPr>
        <b val="true"/>
        <sz val="9"/>
        <rFont val="Tahoma"/>
        <family val="0"/>
        <charset val="1"/>
      </rPr>
      <t xml:space="preserve">/ Contract No.:</t>
    </r>
  </si>
  <si>
    <r>
      <rPr>
        <b val="true"/>
        <sz val="10"/>
        <color rgb="FFFFFFFF"/>
        <rFont val="Tahoma"/>
        <family val="0"/>
        <charset val="1"/>
      </rPr>
      <t xml:space="preserve">1. </t>
    </r>
    <r>
      <rPr>
        <b val="true"/>
        <sz val="10"/>
        <color rgb="FFFFFFFF"/>
        <rFont val="FreeSans"/>
        <family val="2"/>
      </rPr>
      <t xml:space="preserve">สรุปผลการดำเนินงาน </t>
    </r>
    <r>
      <rPr>
        <b val="true"/>
        <sz val="10"/>
        <color rgb="FFFFFFFF"/>
        <rFont val="Tahoma"/>
        <family val="0"/>
        <charset val="1"/>
      </rPr>
      <t xml:space="preserve">/ Executive Summary</t>
    </r>
  </si>
  <si>
    <r>
      <rPr>
        <sz val="9"/>
        <rFont val="FreeSans"/>
        <family val="2"/>
      </rPr>
      <t xml:space="preserve">ระยะเวลาที่ใช้ไป </t>
    </r>
    <r>
      <rPr>
        <sz val="9"/>
        <rFont val="Tahoma"/>
        <family val="0"/>
        <charset val="1"/>
      </rPr>
      <t xml:space="preserve">/ Time Elapsed</t>
    </r>
  </si>
  <si>
    <r>
      <rPr>
        <sz val="9"/>
        <rFont val="FreeSans"/>
        <family val="2"/>
      </rPr>
      <t xml:space="preserve">แผนเดิม </t>
    </r>
    <r>
      <rPr>
        <sz val="9"/>
        <rFont val="Tahoma"/>
        <family val="0"/>
        <charset val="1"/>
      </rPr>
      <t xml:space="preserve">/ Baseline Planned</t>
    </r>
  </si>
  <si>
    <r>
      <rPr>
        <sz val="9"/>
        <rFont val="FreeSans"/>
        <family val="2"/>
      </rPr>
      <t xml:space="preserve">แผนเร่งรัด </t>
    </r>
    <r>
      <rPr>
        <sz val="9"/>
        <rFont val="Tahoma"/>
        <family val="0"/>
        <charset val="1"/>
      </rPr>
      <t xml:space="preserve">/ Revised Planned</t>
    </r>
  </si>
  <si>
    <r>
      <rPr>
        <sz val="9"/>
        <rFont val="FreeSans"/>
        <family val="2"/>
      </rPr>
      <t xml:space="preserve">ผลงานจริง </t>
    </r>
    <r>
      <rPr>
        <sz val="9"/>
        <rFont val="Tahoma"/>
        <family val="0"/>
        <charset val="1"/>
      </rPr>
      <t xml:space="preserve">/ Actual Progress</t>
    </r>
  </si>
  <si>
    <r>
      <rPr>
        <sz val="9"/>
        <rFont val="FreeSans"/>
        <family val="2"/>
      </rPr>
      <t xml:space="preserve">ผลต่าง </t>
    </r>
    <r>
      <rPr>
        <sz val="9"/>
        <rFont val="Tahoma"/>
        <family val="0"/>
        <charset val="1"/>
      </rPr>
      <t xml:space="preserve">/ Variance</t>
    </r>
  </si>
  <si>
    <t xml:space="preserve">SPI  |  SPI(t)</t>
  </si>
  <si>
    <r>
      <rPr>
        <sz val="9"/>
        <rFont val="FreeSans"/>
        <family val="2"/>
      </rPr>
      <t xml:space="preserve">ช้ากว่าแผน </t>
    </r>
    <r>
      <rPr>
        <sz val="9"/>
        <rFont val="Tahoma"/>
        <family val="0"/>
        <charset val="1"/>
      </rPr>
      <t xml:space="preserve">/ SV(t) (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</si>
  <si>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คาดว่าแล้วเสร็จ </t>
    </r>
    <r>
      <rPr>
        <sz val="9"/>
        <rFont val="Tahoma"/>
        <family val="0"/>
        <charset val="1"/>
      </rPr>
      <t xml:space="preserve">/ Forecast Completion</t>
    </r>
  </si>
  <si>
    <r>
      <rPr>
        <sz val="9"/>
        <rFont val="FreeSans"/>
        <family val="2"/>
      </rPr>
      <t xml:space="preserve">คาดว่าล่าช้า </t>
    </r>
    <r>
      <rPr>
        <sz val="9"/>
        <rFont val="Tahoma"/>
        <family val="0"/>
        <charset val="1"/>
      </rPr>
      <t xml:space="preserve">/ Forecast Delay (</t>
    </r>
    <r>
      <rPr>
        <sz val="9"/>
        <rFont val="FreeSans"/>
        <family val="2"/>
      </rPr>
      <t xml:space="preserve">วัน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</si>
  <si>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ค่าปรับคาดการณ์ </t>
    </r>
    <r>
      <rPr>
        <sz val="9"/>
        <rFont val="Tahoma"/>
        <family val="0"/>
        <charset val="1"/>
      </rPr>
      <t xml:space="preserve">/ Forecast LD (</t>
    </r>
    <r>
      <rPr>
        <sz val="9"/>
        <rFont val="FreeSans"/>
        <family val="2"/>
      </rPr>
      <t xml:space="preserve">฿</t>
    </r>
    <r>
      <rPr>
        <sz val="9"/>
        <rFont val="Tahoma"/>
        <family val="0"/>
        <charset val="1"/>
      </rPr>
      <t xml:space="preserve">)</t>
    </r>
  </si>
  <si>
    <r>
      <rPr>
        <sz val="9"/>
        <rFont val="Tahoma"/>
        <family val="0"/>
        <charset val="1"/>
      </rPr>
      <t xml:space="preserve">CPI (</t>
    </r>
    <r>
      <rPr>
        <sz val="9"/>
        <rFont val="FreeSans"/>
        <family val="2"/>
      </rPr>
      <t xml:space="preserve">ดัชนีต้นทุน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</si>
  <si>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สถานะ </t>
    </r>
    <r>
      <rPr>
        <sz val="9"/>
        <rFont val="Tahoma"/>
        <family val="0"/>
        <charset val="1"/>
      </rPr>
      <t xml:space="preserve">/ Status</t>
    </r>
  </si>
  <si>
    <r>
      <rPr>
        <sz val="9"/>
        <rFont val="FreeSans"/>
        <family val="2"/>
      </rPr>
      <t xml:space="preserve">ข้อมูลจริง ณ </t>
    </r>
    <r>
      <rPr>
        <sz val="9"/>
        <rFont val="Tahoma"/>
        <family val="0"/>
        <charset val="1"/>
      </rPr>
      <t xml:space="preserve">/ Data Date</t>
    </r>
  </si>
  <si>
    <r>
      <rPr>
        <b val="true"/>
        <sz val="10"/>
        <color rgb="FFFFFFFF"/>
        <rFont val="Tahoma"/>
        <family val="0"/>
        <charset val="1"/>
      </rPr>
      <t xml:space="preserve">2. </t>
    </r>
    <r>
      <rPr>
        <b val="true"/>
        <sz val="10"/>
        <color rgb="FFFFFFFF"/>
        <rFont val="FreeSans"/>
        <family val="2"/>
      </rPr>
      <t xml:space="preserve">ความก้าวหน้ารายงานส่วน </t>
    </r>
    <r>
      <rPr>
        <b val="true"/>
        <sz val="10"/>
        <color rgb="FFFFFFFF"/>
        <rFont val="Tahoma"/>
        <family val="0"/>
        <charset val="1"/>
      </rPr>
      <t xml:space="preserve">/ Progress by Work Package</t>
    </r>
  </si>
  <si>
    <r>
      <rPr>
        <b val="true"/>
        <sz val="9"/>
        <color rgb="FFFFFFFF"/>
        <rFont val="FreeSans"/>
        <family val="2"/>
      </rPr>
      <t xml:space="preserve">สถานะ </t>
    </r>
    <r>
      <rPr>
        <b val="true"/>
        <sz val="9"/>
        <color rgb="FFFFFFFF"/>
        <rFont val="Tahoma"/>
        <family val="0"/>
        <charset val="1"/>
      </rPr>
      <t xml:space="preserve">/ Status</t>
    </r>
  </si>
  <si>
    <r>
      <rPr>
        <i val="true"/>
        <sz val="8"/>
        <color rgb="FF808080"/>
        <rFont val="FreeSans"/>
        <family val="2"/>
      </rPr>
      <t xml:space="preserve">รายละเอียดรายหมวดงานและ </t>
    </r>
    <r>
      <rPr>
        <i val="true"/>
        <sz val="8"/>
        <color rgb="FF808080"/>
        <rFont val="Tahoma"/>
        <family val="0"/>
        <charset val="1"/>
      </rPr>
      <t xml:space="preserve">Gantt </t>
    </r>
    <r>
      <rPr>
        <i val="true"/>
        <sz val="8"/>
        <color rgb="FF808080"/>
        <rFont val="FreeSans"/>
        <family val="2"/>
      </rPr>
      <t xml:space="preserve">รายงานส่วน ดูในชีต สรุปงานส่วน </t>
    </r>
    <r>
      <rPr>
        <i val="true"/>
        <sz val="8"/>
        <color rgb="FF808080"/>
        <rFont val="Tahoma"/>
        <family val="0"/>
        <charset val="1"/>
      </rPr>
      <t xml:space="preserve">Summary</t>
    </r>
  </si>
  <si>
    <r>
      <rPr>
        <b val="true"/>
        <sz val="10"/>
        <color rgb="FFFFFFFF"/>
        <rFont val="Tahoma"/>
        <family val="0"/>
        <charset val="1"/>
      </rPr>
      <t xml:space="preserve">3. </t>
    </r>
    <r>
      <rPr>
        <b val="true"/>
        <sz val="10"/>
        <color rgb="FFFFFFFF"/>
        <rFont val="FreeSans"/>
        <family val="2"/>
      </rPr>
      <t xml:space="preserve">รายการที่ล่าช้ามากที่สุด </t>
    </r>
    <r>
      <rPr>
        <b val="true"/>
        <sz val="10"/>
        <color rgb="FFFFFFFF"/>
        <rFont val="Tahoma"/>
        <family val="0"/>
        <charset val="1"/>
      </rPr>
      <t xml:space="preserve">/ Top 5 Delayed Items</t>
    </r>
  </si>
  <si>
    <t xml:space="preserve">อันดับ</t>
  </si>
  <si>
    <r>
      <rPr>
        <b val="true"/>
        <sz val="9"/>
        <color rgb="FFFFFFFF"/>
        <rFont val="Tahoma"/>
        <family val="0"/>
        <charset val="1"/>
      </rPr>
      <t xml:space="preserve">WBS / </t>
    </r>
    <r>
      <rPr>
        <b val="true"/>
        <sz val="9"/>
        <color rgb="FFFFFFFF"/>
        <rFont val="FreeSans"/>
        <family val="2"/>
      </rPr>
      <t xml:space="preserve">รายการงาน</t>
    </r>
  </si>
  <si>
    <r>
      <rPr>
        <b val="true"/>
        <sz val="9"/>
        <color rgb="FFFFFFFF"/>
        <rFont val="FreeSans"/>
        <family val="2"/>
      </rPr>
      <t xml:space="preserve">เสร็จตามแผน
</t>
    </r>
    <r>
      <rPr>
        <b val="true"/>
        <sz val="9"/>
        <color rgb="FFFFFFFF"/>
        <rFont val="Tahoma"/>
        <family val="0"/>
        <charset val="1"/>
      </rPr>
      <t xml:space="preserve">BL Finish</t>
    </r>
  </si>
  <si>
    <r>
      <rPr>
        <b val="true"/>
        <sz val="9"/>
        <color rgb="FFFFFFFF"/>
        <rFont val="FreeSans"/>
        <family val="2"/>
      </rPr>
      <t xml:space="preserve">หมายเหตุ </t>
    </r>
    <r>
      <rPr>
        <b val="true"/>
        <sz val="9"/>
        <color rgb="FFFFFFFF"/>
        <rFont val="Tahoma"/>
        <family val="0"/>
        <charset val="1"/>
      </rPr>
      <t xml:space="preserve">/ Remarks</t>
    </r>
  </si>
  <si>
    <t xml:space="preserve">ลำดับ</t>
  </si>
  <si>
    <r>
      <rPr>
        <b val="true"/>
        <sz val="9"/>
        <color rgb="FFFFFFFF"/>
        <rFont val="FreeSans"/>
        <family val="2"/>
      </rPr>
      <t xml:space="preserve">เริ่ม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แผนใช้งาน</t>
    </r>
    <r>
      <rPr>
        <b val="true"/>
        <sz val="9"/>
        <color rgb="FFFFFFFF"/>
        <rFont val="Tahoma"/>
        <family val="0"/>
        <charset val="1"/>
      </rPr>
      <t xml:space="preserve">)
Start</t>
    </r>
  </si>
  <si>
    <r>
      <rPr>
        <b val="true"/>
        <sz val="9"/>
        <color rgb="FFFFFFFF"/>
        <rFont val="FreeSans"/>
        <family val="2"/>
      </rPr>
      <t xml:space="preserve">เสร็จ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แผนใช้งาน</t>
    </r>
    <r>
      <rPr>
        <b val="true"/>
        <sz val="9"/>
        <color rgb="FFFFFFFF"/>
        <rFont val="Tahoma"/>
        <family val="0"/>
        <charset val="1"/>
      </rPr>
      <t xml:space="preserve">)
Finish</t>
    </r>
  </si>
  <si>
    <r>
      <rPr>
        <b val="true"/>
        <sz val="10"/>
        <color rgb="FFFFFFFF"/>
        <rFont val="Tahoma"/>
        <family val="0"/>
        <charset val="1"/>
      </rPr>
      <t xml:space="preserve">5. </t>
    </r>
    <r>
      <rPr>
        <b val="true"/>
        <sz val="10"/>
        <color rgb="FFFFFFFF"/>
        <rFont val="FreeSans"/>
        <family val="2"/>
      </rPr>
      <t xml:space="preserve">การขยายเวลาและค่าปรับ </t>
    </r>
    <r>
      <rPr>
        <b val="true"/>
        <sz val="10"/>
        <color rgb="FFFFFFFF"/>
        <rFont val="Tahoma"/>
        <family val="0"/>
        <charset val="1"/>
      </rPr>
      <t xml:space="preserve">/ Extension of Time &amp; Liquidated Damages</t>
    </r>
  </si>
  <si>
    <r>
      <rPr>
        <sz val="9"/>
        <rFont val="FreeSans"/>
        <family val="2"/>
      </rPr>
      <t xml:space="preserve">ขอขยายเวลารวม </t>
    </r>
    <r>
      <rPr>
        <sz val="9"/>
        <rFont val="Tahoma"/>
        <family val="0"/>
        <charset val="1"/>
      </rPr>
      <t xml:space="preserve">/ Claimed</t>
    </r>
  </si>
  <si>
    <r>
      <rPr>
        <sz val="9"/>
        <rFont val="FreeSans"/>
        <family val="2"/>
      </rPr>
      <t xml:space="preserve">อนุมัติแล้ว </t>
    </r>
    <r>
      <rPr>
        <sz val="9"/>
        <rFont val="Tahoma"/>
        <family val="0"/>
        <charset val="1"/>
      </rPr>
      <t xml:space="preserve">/ Approved</t>
    </r>
  </si>
  <si>
    <r>
      <rPr>
        <sz val="9"/>
        <rFont val="FreeSans"/>
        <family val="2"/>
      </rPr>
      <t xml:space="preserve">รอพิจารณา </t>
    </r>
    <r>
      <rPr>
        <sz val="9"/>
        <rFont val="Tahoma"/>
        <family val="0"/>
        <charset val="1"/>
      </rPr>
      <t xml:space="preserve">/ Pending</t>
    </r>
  </si>
  <si>
    <r>
      <rPr>
        <sz val="9"/>
        <rFont val="FreeSans"/>
        <family val="2"/>
      </rPr>
      <t xml:space="preserve">วันสิ้นสุดหลังขยายเวลา </t>
    </r>
    <r>
      <rPr>
        <sz val="9"/>
        <rFont val="Tahoma"/>
        <family val="0"/>
        <charset val="1"/>
      </rPr>
      <t xml:space="preserve">/ Revised Completion</t>
    </r>
  </si>
  <si>
    <r>
      <rPr>
        <sz val="9"/>
        <rFont val="FreeSans"/>
        <family val="2"/>
      </rPr>
      <t xml:space="preserve">ค่าปรับต่อวัน </t>
    </r>
    <r>
      <rPr>
        <sz val="9"/>
        <rFont val="Tahoma"/>
        <family val="0"/>
        <charset val="1"/>
      </rPr>
      <t xml:space="preserve">/ LD per Day (</t>
    </r>
    <r>
      <rPr>
        <sz val="9"/>
        <rFont val="FreeSans"/>
        <family val="2"/>
      </rPr>
      <t xml:space="preserve">฿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</si>
  <si>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ค่าปรับเกิดขึ้นแล้ว </t>
    </r>
    <r>
      <rPr>
        <sz val="9"/>
        <rFont val="Tahoma"/>
        <family val="0"/>
        <charset val="1"/>
      </rPr>
      <t xml:space="preserve">/ LD Incurred (</t>
    </r>
    <r>
      <rPr>
        <sz val="9"/>
        <rFont val="FreeSans"/>
        <family val="2"/>
      </rPr>
      <t xml:space="preserve">฿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</si>
  <si>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สัญญาณเตือน </t>
    </r>
    <r>
      <rPr>
        <sz val="9"/>
        <rFont val="Tahoma"/>
        <family val="0"/>
        <charset val="1"/>
      </rPr>
      <t xml:space="preserve">/ Alert</t>
    </r>
  </si>
  <si>
    <r>
      <rPr>
        <b val="true"/>
        <sz val="10"/>
        <color rgb="FFFFFFFF"/>
        <rFont val="Tahoma"/>
        <family val="0"/>
        <charset val="1"/>
      </rPr>
      <t xml:space="preserve">6. </t>
    </r>
    <r>
      <rPr>
        <b val="true"/>
        <sz val="10"/>
        <color rgb="FFFFFFFF"/>
        <rFont val="FreeSans"/>
        <family val="2"/>
      </rPr>
      <t xml:space="preserve">ปัญหา อุปสรรค และแนวทางแก้ไข </t>
    </r>
    <r>
      <rPr>
        <b val="true"/>
        <sz val="10"/>
        <color rgb="FFFFFFFF"/>
        <rFont val="Tahoma"/>
        <family val="0"/>
        <charset val="1"/>
      </rPr>
      <t xml:space="preserve">/ Issues, Risks &amp; Corrective Actions</t>
    </r>
  </si>
  <si>
    <r>
      <rPr>
        <b val="true"/>
        <sz val="9"/>
        <color rgb="FFFFFFFF"/>
        <rFont val="FreeSans"/>
        <family val="2"/>
      </rPr>
      <t xml:space="preserve">ปัญหา </t>
    </r>
    <r>
      <rPr>
        <b val="true"/>
        <sz val="9"/>
        <color rgb="FFFFFFFF"/>
        <rFont val="Tahoma"/>
        <family val="0"/>
        <charset val="1"/>
      </rPr>
      <t xml:space="preserve">/ Issue</t>
    </r>
  </si>
  <si>
    <r>
      <rPr>
        <b val="true"/>
        <sz val="9"/>
        <color rgb="FFFFFFFF"/>
        <rFont val="FreeSans"/>
        <family val="2"/>
      </rPr>
      <t xml:space="preserve">แนวทางแก้ไข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ผู้รับผิดชอบ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กำหนดเสร็จ</t>
    </r>
  </si>
  <si>
    <r>
      <rPr>
        <sz val="9"/>
        <rFont val="FreeSans"/>
        <family val="2"/>
      </rPr>
      <t xml:space="preserve">ลงชื่อ </t>
    </r>
    <r>
      <rPr>
        <sz val="9"/>
        <rFont val="Tahoma"/>
        <family val="0"/>
        <charset val="1"/>
      </rPr>
      <t xml:space="preserve">....................................</t>
    </r>
  </si>
  <si>
    <t xml:space="preserve">(....................................)</t>
  </si>
  <si>
    <r>
      <rPr>
        <b val="true"/>
        <sz val="9"/>
        <rFont val="FreeSans"/>
        <family val="2"/>
      </rPr>
      <t xml:space="preserve">ผู้จัดทำ </t>
    </r>
    <r>
      <rPr>
        <b val="true"/>
        <sz val="9"/>
        <rFont val="Tahoma"/>
        <family val="0"/>
        <charset val="1"/>
      </rPr>
      <t xml:space="preserve">/ Prepared by</t>
    </r>
  </si>
  <si>
    <r>
      <rPr>
        <b val="true"/>
        <sz val="9"/>
        <rFont val="FreeSans"/>
        <family val="2"/>
      </rPr>
      <t xml:space="preserve">ผู้ตรวจสอบ </t>
    </r>
    <r>
      <rPr>
        <b val="true"/>
        <sz val="9"/>
        <rFont val="Tahoma"/>
        <family val="0"/>
        <charset val="1"/>
      </rPr>
      <t xml:space="preserve">/ Checked by</t>
    </r>
  </si>
  <si>
    <r>
      <rPr>
        <b val="true"/>
        <sz val="9"/>
        <rFont val="FreeSans"/>
        <family val="2"/>
      </rPr>
      <t xml:space="preserve">ผู้อนุมัติ </t>
    </r>
    <r>
      <rPr>
        <b val="true"/>
        <sz val="9"/>
        <rFont val="Tahoma"/>
        <family val="0"/>
        <charset val="1"/>
      </rPr>
      <t xml:space="preserve">/ Approved by</t>
    </r>
  </si>
  <si>
    <r>
      <rPr>
        <sz val="9"/>
        <rFont val="FreeSans"/>
        <family val="2"/>
      </rPr>
      <t xml:space="preserve">วันที่ </t>
    </r>
    <r>
      <rPr>
        <sz val="9"/>
        <rFont val="Tahoma"/>
        <family val="0"/>
        <charset val="1"/>
      </rPr>
      <t xml:space="preserve">........../........../..........</t>
    </r>
  </si>
  <si>
    <r>
      <rPr>
        <b val="true"/>
        <sz val="16"/>
        <color rgb="FF1F3864"/>
        <rFont val="FreeSans"/>
        <family val="2"/>
      </rPr>
      <t xml:space="preserve">งวดงานตามสัญญา </t>
    </r>
    <r>
      <rPr>
        <b val="true"/>
        <sz val="16"/>
        <color rgb="FF1F3864"/>
        <rFont val="Tahoma"/>
        <family val="0"/>
        <charset val="1"/>
      </rPr>
      <t xml:space="preserve">/ Contract Payment Installments</t>
    </r>
  </si>
  <si>
    <r>
      <rPr>
        <i val="true"/>
        <sz val="9"/>
        <color rgb="FF595959"/>
        <rFont val="FreeSans"/>
        <family val="2"/>
      </rPr>
      <t xml:space="preserve">กรอกตามงวดงานที่ระบุในสัญญา</t>
    </r>
    <r>
      <rPr>
        <i val="true"/>
        <sz val="9"/>
        <color rgb="FF595959"/>
        <rFont val="Tahoma"/>
        <family val="0"/>
        <charset val="1"/>
      </rPr>
      <t xml:space="preserve">/TOR • </t>
    </r>
    <r>
      <rPr>
        <i val="true"/>
        <sz val="9"/>
        <color rgb="FF595959"/>
        <rFont val="FreeSans"/>
        <family val="2"/>
      </rPr>
      <t xml:space="preserve">ระบบแสดงสถานะ ความล่าช้า และเช็คว่าผลงานถึงเกณฑ์ของงวดแล้วหรือยัง</t>
    </r>
  </si>
  <si>
    <t xml:space="preserve">ข้อมูลในตารางเป็นตัวอย่าง – แทนที่ด้วยงวดงานตามสัญญาจริง</t>
  </si>
  <si>
    <r>
      <rPr>
        <b val="true"/>
        <sz val="9"/>
        <color rgb="FFFFFFFF"/>
        <rFont val="FreeSans"/>
        <family val="2"/>
      </rPr>
      <t xml:space="preserve">งวดที่
</t>
    </r>
    <r>
      <rPr>
        <b val="true"/>
        <sz val="9"/>
        <color rgb="FFFFFFFF"/>
        <rFont val="Tahoma"/>
        <family val="0"/>
        <charset val="1"/>
      </rPr>
      <t xml:space="preserve">No.</t>
    </r>
  </si>
  <si>
    <r>
      <rPr>
        <b val="true"/>
        <sz val="9"/>
        <color rgb="FFFFFFFF"/>
        <rFont val="FreeSans"/>
        <family val="2"/>
      </rPr>
      <t xml:space="preserve">เนื้องานที่ต้องแล้วเสร็จในงวด
</t>
    </r>
    <r>
      <rPr>
        <b val="true"/>
        <sz val="9"/>
        <color rgb="FFFFFFFF"/>
        <rFont val="Tahoma"/>
        <family val="0"/>
        <charset val="1"/>
      </rPr>
      <t xml:space="preserve">Scope of Installment</t>
    </r>
  </si>
  <si>
    <r>
      <rPr>
        <b val="true"/>
        <sz val="9"/>
        <color rgb="FFFFFFFF"/>
        <rFont val="FreeSans"/>
        <family val="2"/>
      </rPr>
      <t xml:space="preserve">ผลงานสะสม
ที่กำหนด </t>
    </r>
    <r>
      <rPr>
        <b val="true"/>
        <sz val="9"/>
        <color rgb="FFFFFFFF"/>
        <rFont val="Tahoma"/>
        <family val="0"/>
        <charset val="1"/>
      </rPr>
      <t xml:space="preserve">(%)</t>
    </r>
  </si>
  <si>
    <r>
      <rPr>
        <b val="true"/>
        <sz val="9"/>
        <color rgb="FFFFFFFF"/>
        <rFont val="FreeSans"/>
        <family val="2"/>
      </rPr>
      <t xml:space="preserve">กำหนดแล้วเสร็จ
</t>
    </r>
    <r>
      <rPr>
        <b val="true"/>
        <sz val="9"/>
        <color rgb="FFFFFFFF"/>
        <rFont val="Tahoma"/>
        <family val="0"/>
        <charset val="1"/>
      </rPr>
      <t xml:space="preserve">Due Date</t>
    </r>
  </si>
  <si>
    <r>
      <rPr>
        <b val="true"/>
        <sz val="9"/>
        <color rgb="FFFFFFFF"/>
        <rFont val="FreeSans"/>
        <family val="2"/>
      </rPr>
      <t xml:space="preserve">จำนวนเงิน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บาท</t>
    </r>
    <r>
      <rPr>
        <b val="true"/>
        <sz val="9"/>
        <color rgb="FFFFFFFF"/>
        <rFont val="Tahoma"/>
        <family val="0"/>
        <charset val="1"/>
      </rPr>
      <t xml:space="preserve">)
Amount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</si>
  <si>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ของ
ค่าจ้าง</t>
    </r>
  </si>
  <si>
    <r>
      <rPr>
        <b val="true"/>
        <sz val="9"/>
        <color rgb="FFFFFFFF"/>
        <rFont val="FreeSans"/>
        <family val="2"/>
      </rPr>
      <t xml:space="preserve">วันที่ส่งมอบงาน
</t>
    </r>
    <r>
      <rPr>
        <b val="true"/>
        <sz val="9"/>
        <color rgb="FFFFFFFF"/>
        <rFont val="Tahoma"/>
        <family val="0"/>
        <charset val="1"/>
      </rPr>
      <t xml:space="preserve">Submitted</t>
    </r>
  </si>
  <si>
    <r>
      <rPr>
        <b val="true"/>
        <sz val="9"/>
        <color rgb="FFFFFFFF"/>
        <rFont val="FreeSans"/>
        <family val="2"/>
      </rPr>
      <t xml:space="preserve">วันที่ตรวจรับ
</t>
    </r>
    <r>
      <rPr>
        <b val="true"/>
        <sz val="9"/>
        <color rgb="FFFFFFFF"/>
        <rFont val="Tahoma"/>
        <family val="0"/>
        <charset val="1"/>
      </rPr>
      <t xml:space="preserve">Accepted</t>
    </r>
  </si>
  <si>
    <r>
      <rPr>
        <b val="true"/>
        <sz val="9"/>
        <color rgb="FFFFFFFF"/>
        <rFont val="FreeSans"/>
        <family val="2"/>
      </rPr>
      <t xml:space="preserve">เบิกจ่ายแล้ว
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บาท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</si>
  <si>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ผลงานปัจจุบัน
เทียบเกณฑ์</t>
  </si>
  <si>
    <r>
      <rPr>
        <b val="true"/>
        <sz val="9"/>
        <color rgb="FFFFFFFF"/>
        <rFont val="FreeSans"/>
        <family val="2"/>
      </rPr>
      <t xml:space="preserve">ล่าช้า
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</si>
  <si>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หมายเหตุ
</t>
    </r>
    <r>
      <rPr>
        <b val="true"/>
        <sz val="9"/>
        <color rgb="FFFFFFFF"/>
        <rFont val="Tahoma"/>
        <family val="0"/>
        <charset val="1"/>
      </rPr>
      <t xml:space="preserve">Remarks</t>
    </r>
  </si>
  <si>
    <t xml:space="preserve">งานถมดินและปรับพื้นที่แล้วเสร็จทั้งหมด</t>
  </si>
  <si>
    <t xml:space="preserve">งานรางระบายน้ำ งานเสาเข็มอาคาร และฐานรากรั้วแล้วเสร็จ</t>
  </si>
  <si>
    <r>
      <rPr>
        <sz val="10"/>
        <color rgb="FF0000FF"/>
        <rFont val="FreeSans"/>
        <family val="2"/>
      </rPr>
      <t xml:space="preserve">งานโครงสร้างอาคาร งานถนน</t>
    </r>
    <r>
      <rPr>
        <sz val="10"/>
        <color rgb="FF0000FF"/>
        <rFont val="Tahoma"/>
        <family val="0"/>
        <charset val="1"/>
      </rPr>
      <t xml:space="preserve">-</t>
    </r>
    <r>
      <rPr>
        <sz val="10"/>
        <color rgb="FF0000FF"/>
        <rFont val="FreeSans"/>
        <family val="2"/>
      </rPr>
      <t xml:space="preserve">ลาน และงานรั้วแล้วเสร็จ</t>
    </r>
  </si>
  <si>
    <t xml:space="preserve">งานสถาปัตยกรรมอาคารและงานโรงจอดรถแล้วเสร็จ</t>
  </si>
  <si>
    <t xml:space="preserve">งานทั้งหมดแล้วเสร็จ ทดสอบระบบ และส่งมอบงาน</t>
  </si>
  <si>
    <r>
      <rPr>
        <b val="true"/>
        <sz val="10"/>
        <rFont val="FreeSans"/>
        <family val="2"/>
      </rPr>
      <t xml:space="preserve">รวม </t>
    </r>
    <r>
      <rPr>
        <b val="true"/>
        <sz val="10"/>
        <rFont val="Tahoma"/>
        <family val="0"/>
        <charset val="1"/>
      </rPr>
      <t xml:space="preserve">/ TOTAL</t>
    </r>
  </si>
  <si>
    <r>
      <rPr>
        <b val="true"/>
        <sz val="16"/>
        <color rgb="FF1F3864"/>
        <rFont val="FreeSans"/>
        <family val="2"/>
      </rPr>
      <t xml:space="preserve">บันทึกผลการปฏิบัติงานประจำสัปดาห์ </t>
    </r>
    <r>
      <rPr>
        <b val="true"/>
        <sz val="16"/>
        <color rgb="FF1F3864"/>
        <rFont val="Tahoma"/>
        <family val="0"/>
        <charset val="1"/>
      </rPr>
      <t xml:space="preserve">/ Weekly Site Log</t>
    </r>
  </si>
  <si>
    <r>
      <rPr>
        <i val="true"/>
        <sz val="9"/>
        <color rgb="FF595959"/>
        <rFont val="FreeSans"/>
        <family val="2"/>
      </rPr>
      <t xml:space="preserve">กรอกทุกสัปดาห์ </t>
    </r>
    <r>
      <rPr>
        <i val="true"/>
        <sz val="9"/>
        <color rgb="FF595959"/>
        <rFont val="Tahoma"/>
        <family val="0"/>
        <charset val="1"/>
      </rPr>
      <t xml:space="preserve">1 </t>
    </r>
    <r>
      <rPr>
        <i val="true"/>
        <sz val="9"/>
        <color rgb="FF595959"/>
        <rFont val="FreeSans"/>
        <family val="2"/>
      </rPr>
      <t xml:space="preserve">แถว • ข้อมูลในแถวของสัปดาห์ที่เลือกจะไปแสดงในชีต รายงานกรรมการ </t>
    </r>
    <r>
      <rPr>
        <i val="true"/>
        <sz val="9"/>
        <color rgb="FF595959"/>
        <rFont val="Tahoma"/>
        <family val="0"/>
        <charset val="1"/>
      </rPr>
      <t xml:space="preserve">Weekly </t>
    </r>
    <r>
      <rPr>
        <i val="true"/>
        <sz val="9"/>
        <color rgb="FF595959"/>
        <rFont val="FreeSans"/>
        <family val="2"/>
      </rPr>
      <t xml:space="preserve">อัตโนมัติ</t>
    </r>
  </si>
  <si>
    <r>
      <rPr>
        <b val="true"/>
        <sz val="9"/>
        <color rgb="FFFFFFFF"/>
        <rFont val="FreeSans"/>
        <family val="2"/>
      </rPr>
      <t xml:space="preserve">ข้อมูลสำหรับหนังสือรายงาน </t>
    </r>
    <r>
      <rPr>
        <b val="true"/>
        <sz val="9"/>
        <color rgb="FFFFFFFF"/>
        <rFont val="Tahoma"/>
        <family val="0"/>
        <charset val="1"/>
      </rPr>
      <t xml:space="preserve">/ Memo Details</t>
    </r>
  </si>
  <si>
    <r>
      <rPr>
        <sz val="10"/>
        <rFont val="FreeSans"/>
        <family val="2"/>
      </rPr>
      <t xml:space="preserve">ส่วนราชการ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</rPr>
      <t xml:space="preserve">หน่วยงาน</t>
    </r>
  </si>
  <si>
    <r>
      <rPr>
        <sz val="10"/>
        <color rgb="FF0000FF"/>
        <rFont val="Tahoma"/>
        <family val="0"/>
        <charset val="1"/>
      </rPr>
      <t xml:space="preserve">(</t>
    </r>
    <r>
      <rPr>
        <sz val="10"/>
        <color rgb="FF0000FF"/>
        <rFont val="FreeSans"/>
        <family val="2"/>
      </rPr>
      <t xml:space="preserve">ตัวอย่าง</t>
    </r>
    <r>
      <rPr>
        <sz val="10"/>
        <color rgb="FF0000FF"/>
        <rFont val="Tahoma"/>
        <family val="0"/>
        <charset val="1"/>
      </rPr>
      <t xml:space="preserve">) </t>
    </r>
    <r>
      <rPr>
        <sz val="10"/>
        <color rgb="FF0000FF"/>
        <rFont val="FreeSans"/>
        <family val="2"/>
      </rPr>
      <t xml:space="preserve">กองช่าง องค์การบริหารส่วนตำบลตัวอย่าง</t>
    </r>
  </si>
  <si>
    <r>
      <rPr>
        <sz val="10"/>
        <rFont val="FreeSans"/>
        <family val="2"/>
      </rPr>
      <t xml:space="preserve">เลขที่หนังสือ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ที่</t>
    </r>
    <r>
      <rPr>
        <sz val="10"/>
        <rFont val="Tahoma"/>
        <family val="0"/>
        <charset val="1"/>
      </rPr>
      <t xml:space="preserve">)</t>
    </r>
  </si>
  <si>
    <r>
      <rPr>
        <sz val="10"/>
        <color rgb="FF0000FF"/>
        <rFont val="Tahoma"/>
        <family val="0"/>
        <charset val="1"/>
      </rPr>
      <t xml:space="preserve">(</t>
    </r>
    <r>
      <rPr>
        <sz val="10"/>
        <color rgb="FF0000FF"/>
        <rFont val="FreeSans"/>
        <family val="2"/>
      </rPr>
      <t xml:space="preserve">ตัวอย่าง</t>
    </r>
    <r>
      <rPr>
        <sz val="10"/>
        <color rgb="FF0000FF"/>
        <rFont val="Tahoma"/>
        <family val="0"/>
        <charset val="1"/>
      </rPr>
      <t xml:space="preserve">) </t>
    </r>
    <r>
      <rPr>
        <sz val="10"/>
        <color rgb="FF0000FF"/>
        <rFont val="FreeSans"/>
        <family val="2"/>
      </rPr>
      <t xml:space="preserve">ตย </t>
    </r>
    <r>
      <rPr>
        <sz val="10"/>
        <color rgb="FF0000FF"/>
        <rFont val="Tahoma"/>
        <family val="0"/>
        <charset val="1"/>
      </rPr>
      <t xml:space="preserve">0001/2569</t>
    </r>
  </si>
  <si>
    <r>
      <rPr>
        <i val="true"/>
        <sz val="9"/>
        <color rgb="FF595959"/>
        <rFont val="FreeSans"/>
        <family val="2"/>
      </rPr>
      <t xml:space="preserve">เช่น กท </t>
    </r>
    <r>
      <rPr>
        <i val="true"/>
        <sz val="9"/>
        <color rgb="FF595959"/>
        <rFont val="Tahoma"/>
        <family val="0"/>
        <charset val="1"/>
      </rPr>
      <t xml:space="preserve">1234/2569</t>
    </r>
  </si>
  <si>
    <t xml:space="preserve">วันที่ลงนามสัญญา</t>
  </si>
  <si>
    <t xml:space="preserve">ใช้ในย่อหน้าอ้างถึงสัญญา</t>
  </si>
  <si>
    <t xml:space="preserve">ชื่อผู้ควบคุมงาน</t>
  </si>
  <si>
    <r>
      <rPr>
        <sz val="10"/>
        <color rgb="FF0000FF"/>
        <rFont val="Tahoma"/>
        <family val="0"/>
        <charset val="1"/>
      </rPr>
      <t xml:space="preserve">(</t>
    </r>
    <r>
      <rPr>
        <sz val="10"/>
        <color rgb="FF0000FF"/>
        <rFont val="FreeSans"/>
        <family val="2"/>
      </rPr>
      <t xml:space="preserve">ตัวอย่าง</t>
    </r>
    <r>
      <rPr>
        <sz val="10"/>
        <color rgb="FF0000FF"/>
        <rFont val="Tahoma"/>
        <family val="0"/>
        <charset val="1"/>
      </rPr>
      <t xml:space="preserve">) </t>
    </r>
    <r>
      <rPr>
        <sz val="10"/>
        <color rgb="FF0000FF"/>
        <rFont val="FreeSans"/>
        <family val="2"/>
      </rPr>
      <t xml:space="preserve">นายช่างโยธา ผู้ควบคุมงาน</t>
    </r>
  </si>
  <si>
    <t xml:space="preserve">ผู้ลงนามในรายงาน</t>
  </si>
  <si>
    <t xml:space="preserve">ตำแหน่งผู้ควบคุมงาน</t>
  </si>
  <si>
    <t xml:space="preserve">นายช่างโยธาชำนาญงาน</t>
  </si>
  <si>
    <t xml:space="preserve">ประธานกรรมการตรวจรับพัสดุ</t>
  </si>
  <si>
    <r>
      <rPr>
        <sz val="10"/>
        <color rgb="FF0000FF"/>
        <rFont val="Tahoma"/>
        <family val="0"/>
        <charset val="1"/>
      </rPr>
      <t xml:space="preserve">(</t>
    </r>
    <r>
      <rPr>
        <sz val="10"/>
        <color rgb="FF0000FF"/>
        <rFont val="FreeSans"/>
        <family val="2"/>
      </rPr>
      <t xml:space="preserve">ตัวอย่าง</t>
    </r>
    <r>
      <rPr>
        <sz val="10"/>
        <color rgb="FF0000FF"/>
        <rFont val="Tahoma"/>
        <family val="0"/>
        <charset val="1"/>
      </rPr>
      <t xml:space="preserve">) </t>
    </r>
    <r>
      <rPr>
        <sz val="10"/>
        <color rgb="FF0000FF"/>
        <rFont val="FreeSans"/>
        <family val="2"/>
      </rPr>
      <t xml:space="preserve">ประธานกรรมการ</t>
    </r>
  </si>
  <si>
    <r>
      <rPr>
        <sz val="10"/>
        <rFont val="FreeSans"/>
        <family val="2"/>
      </rPr>
      <t xml:space="preserve">กรรมการตรวจรับพัสดุ คนที่ </t>
    </r>
    <r>
      <rPr>
        <sz val="10"/>
        <rFont val="Tahoma"/>
        <family val="0"/>
        <charset val="1"/>
      </rPr>
      <t xml:space="preserve">1</t>
    </r>
  </si>
  <si>
    <r>
      <rPr>
        <sz val="10"/>
        <color rgb="FF0000FF"/>
        <rFont val="Tahoma"/>
        <family val="0"/>
        <charset val="1"/>
      </rPr>
      <t xml:space="preserve">(</t>
    </r>
    <r>
      <rPr>
        <sz val="10"/>
        <color rgb="FF0000FF"/>
        <rFont val="FreeSans"/>
        <family val="2"/>
      </rPr>
      <t xml:space="preserve">ตัวอย่าง</t>
    </r>
    <r>
      <rPr>
        <sz val="10"/>
        <color rgb="FF0000FF"/>
        <rFont val="Tahoma"/>
        <family val="0"/>
        <charset val="1"/>
      </rPr>
      <t xml:space="preserve">) </t>
    </r>
    <r>
      <rPr>
        <sz val="10"/>
        <color rgb="FF0000FF"/>
        <rFont val="FreeSans"/>
        <family val="2"/>
      </rPr>
      <t xml:space="preserve">กรรมการ </t>
    </r>
    <r>
      <rPr>
        <sz val="10"/>
        <color rgb="FF0000FF"/>
        <rFont val="Tahoma"/>
        <family val="0"/>
        <charset val="1"/>
      </rPr>
      <t xml:space="preserve">1</t>
    </r>
  </si>
  <si>
    <r>
      <rPr>
        <sz val="10"/>
        <rFont val="FreeSans"/>
        <family val="2"/>
      </rPr>
      <t xml:space="preserve">กรรมการตรวจรับพัสดุ คนที่ </t>
    </r>
    <r>
      <rPr>
        <sz val="10"/>
        <rFont val="Tahoma"/>
        <family val="0"/>
        <charset val="1"/>
      </rPr>
      <t xml:space="preserve">2</t>
    </r>
  </si>
  <si>
    <r>
      <rPr>
        <sz val="10"/>
        <color rgb="FF0000FF"/>
        <rFont val="Tahoma"/>
        <family val="0"/>
        <charset val="1"/>
      </rPr>
      <t xml:space="preserve">(</t>
    </r>
    <r>
      <rPr>
        <sz val="10"/>
        <color rgb="FF0000FF"/>
        <rFont val="FreeSans"/>
        <family val="2"/>
      </rPr>
      <t xml:space="preserve">ตัวอย่าง</t>
    </r>
    <r>
      <rPr>
        <sz val="10"/>
        <color rgb="FF0000FF"/>
        <rFont val="Tahoma"/>
        <family val="0"/>
        <charset val="1"/>
      </rPr>
      <t xml:space="preserve">) </t>
    </r>
    <r>
      <rPr>
        <sz val="10"/>
        <color rgb="FF0000FF"/>
        <rFont val="FreeSans"/>
        <family val="2"/>
      </rPr>
      <t xml:space="preserve">กรรมการ </t>
    </r>
    <r>
      <rPr>
        <sz val="10"/>
        <color rgb="FF0000FF"/>
        <rFont val="Tahoma"/>
        <family val="0"/>
        <charset val="1"/>
      </rPr>
      <t xml:space="preserve">2</t>
    </r>
  </si>
  <si>
    <r>
      <rPr>
        <sz val="10"/>
        <rFont val="FreeSans"/>
        <family val="2"/>
      </rPr>
      <t xml:space="preserve">รายงานสัปดาห์ที่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เลือก</t>
    </r>
    <r>
      <rPr>
        <sz val="10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</si>
  <si>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ค่าเริ่มต้น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สัปดาห์ล่าสุดที่ครบ </t>
    </r>
    <r>
      <rPr>
        <i val="true"/>
        <sz val="9"/>
        <color rgb="FF595959"/>
        <rFont val="Tahoma"/>
        <family val="0"/>
        <charset val="1"/>
      </rPr>
      <t xml:space="preserve">7 </t>
    </r>
    <r>
      <rPr>
        <i val="true"/>
        <sz val="9"/>
        <color rgb="FF595959"/>
        <rFont val="FreeSans"/>
        <family val="2"/>
      </rPr>
      <t xml:space="preserve">วันแล้ว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พิมพ์ทับได้</t>
    </r>
    <r>
      <rPr>
        <i val="true"/>
        <sz val="9"/>
        <color rgb="FF595959"/>
        <rFont val="Tahoma"/>
        <family val="0"/>
        <charset val="1"/>
      </rPr>
      <t xml:space="preserve">)</t>
    </r>
  </si>
  <si>
    <t xml:space="preserve">วันที่ออกรายงาน</t>
  </si>
  <si>
    <r>
      <rPr>
        <i val="true"/>
        <sz val="9"/>
        <color rgb="FF595959"/>
        <rFont val="FreeSans"/>
        <family val="2"/>
      </rPr>
      <t xml:space="preserve">ค่าเริ่มต้น </t>
    </r>
    <r>
      <rPr>
        <i val="true"/>
        <sz val="9"/>
        <color rgb="FF595959"/>
        <rFont val="Tahoma"/>
        <family val="0"/>
        <charset val="1"/>
      </rPr>
      <t xml:space="preserve">= Status Date (</t>
    </r>
    <r>
      <rPr>
        <i val="true"/>
        <sz val="9"/>
        <color rgb="FF595959"/>
        <rFont val="FreeSans"/>
        <family val="2"/>
      </rPr>
      <t xml:space="preserve">พิมพ์ทับได้</t>
    </r>
    <r>
      <rPr>
        <i val="true"/>
        <sz val="9"/>
        <color rgb="FF595959"/>
        <rFont val="Tahoma"/>
        <family val="0"/>
        <charset val="1"/>
      </rPr>
      <t xml:space="preserve">)</t>
    </r>
  </si>
  <si>
    <r>
      <rPr>
        <b val="true"/>
        <sz val="9"/>
        <color rgb="FF1F3864"/>
        <rFont val="FreeSans"/>
        <family val="2"/>
      </rPr>
      <t xml:space="preserve">ตารางบันทึกรายสัปดาห์ </t>
    </r>
    <r>
      <rPr>
        <b val="true"/>
        <sz val="9"/>
        <color rgb="FF1F3864"/>
        <rFont val="Tahoma"/>
        <family val="0"/>
        <charset val="1"/>
      </rPr>
      <t xml:space="preserve">(</t>
    </r>
    <r>
      <rPr>
        <b val="true"/>
        <sz val="9"/>
        <color rgb="FF1F3864"/>
        <rFont val="FreeSans"/>
        <family val="2"/>
      </rPr>
      <t xml:space="preserve">แถวสีส้ม </t>
    </r>
    <r>
      <rPr>
        <b val="true"/>
        <sz val="9"/>
        <color rgb="FF1F3864"/>
        <rFont val="Tahoma"/>
        <family val="0"/>
        <charset val="1"/>
      </rPr>
      <t xml:space="preserve">= </t>
    </r>
    <r>
      <rPr>
        <b val="true"/>
        <sz val="9"/>
        <color rgb="FF1F3864"/>
        <rFont val="FreeSans"/>
        <family val="2"/>
      </rPr>
      <t xml:space="preserve">สัปดาห์ที่เลือกรายงาน</t>
    </r>
    <r>
      <rPr>
        <b val="true"/>
        <sz val="9"/>
        <color rgb="FF1F3864"/>
        <rFont val="Tahoma"/>
        <family val="0"/>
        <charset val="1"/>
      </rPr>
      <t xml:space="preserve">) • </t>
    </r>
    <r>
      <rPr>
        <b val="true"/>
        <sz val="9"/>
        <color rgb="FF1F3864"/>
        <rFont val="FreeSans"/>
        <family val="2"/>
      </rPr>
      <t xml:space="preserve">ช่วงวันที่คำนวณจากวันเริ่มสัญญา ทุก </t>
    </r>
    <r>
      <rPr>
        <b val="true"/>
        <sz val="9"/>
        <color rgb="FF1F3864"/>
        <rFont val="Tahoma"/>
        <family val="0"/>
        <charset val="1"/>
      </rPr>
      <t xml:space="preserve">7 </t>
    </r>
    <r>
      <rPr>
        <b val="true"/>
        <sz val="9"/>
        <color rgb="FF1F3864"/>
        <rFont val="FreeSans"/>
        <family val="2"/>
      </rPr>
      <t xml:space="preserve">วัน</t>
    </r>
  </si>
  <si>
    <t xml:space="preserve">สัปดาห์
ที่</t>
  </si>
  <si>
    <r>
      <rPr>
        <b val="true"/>
        <sz val="9"/>
        <color rgb="FFFFFFFF"/>
        <rFont val="FreeSans"/>
        <family val="2"/>
      </rPr>
      <t xml:space="preserve">จาก
</t>
    </r>
    <r>
      <rPr>
        <b val="true"/>
        <sz val="9"/>
        <color rgb="FFFFFFFF"/>
        <rFont val="Tahoma"/>
        <family val="0"/>
        <charset val="1"/>
      </rPr>
      <t xml:space="preserve">From</t>
    </r>
  </si>
  <si>
    <r>
      <rPr>
        <b val="true"/>
        <sz val="9"/>
        <color rgb="FFFFFFFF"/>
        <rFont val="FreeSans"/>
        <family val="2"/>
      </rPr>
      <t xml:space="preserve">ถึง
</t>
    </r>
    <r>
      <rPr>
        <b val="true"/>
        <sz val="9"/>
        <color rgb="FFFFFFFF"/>
        <rFont val="Tahoma"/>
        <family val="0"/>
        <charset val="1"/>
      </rPr>
      <t xml:space="preserve">To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</si>
  <si>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แผน
สะสม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</si>
  <si>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จริง
สะสม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กรอก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</si>
  <si>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ผลงาน
สัปดาห์นี้</t>
  </si>
  <si>
    <r>
      <rPr>
        <b val="true"/>
        <sz val="9"/>
        <color rgb="FFFFFFFF"/>
        <rFont val="FreeSans"/>
        <family val="2"/>
      </rPr>
      <t xml:space="preserve">ผลต่าง
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จริง−แผน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</si>
  <si>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คนงานเฉลี่ย
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คน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</si>
  <si>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เครื่องจักรหลัก
</t>
    </r>
    <r>
      <rPr>
        <b val="true"/>
        <sz val="9"/>
        <color rgb="FFFFFFFF"/>
        <rFont val="Tahoma"/>
        <family val="0"/>
        <charset val="1"/>
      </rPr>
      <t xml:space="preserve">Machinery</t>
    </r>
  </si>
  <si>
    <r>
      <rPr>
        <b val="true"/>
        <sz val="9"/>
        <color rgb="FFFFFFFF"/>
        <rFont val="FreeSans"/>
        <family val="2"/>
      </rPr>
      <t xml:space="preserve">วันทำงาน </t>
    </r>
    <r>
      <rPr>
        <b val="true"/>
        <sz val="9"/>
        <color rgb="FFFFFFFF"/>
        <rFont val="Tahoma"/>
        <family val="0"/>
        <charset val="1"/>
      </rPr>
      <t xml:space="preserve">/
</t>
    </r>
    <r>
      <rPr>
        <b val="true"/>
        <sz val="9"/>
        <color rgb="FFFFFFFF"/>
        <rFont val="FreeSans"/>
        <family val="2"/>
      </rPr>
      <t xml:space="preserve">หยุด</t>
    </r>
    <r>
      <rPr>
        <b val="true"/>
        <sz val="9"/>
        <color rgb="FFFFFFFF"/>
        <rFont val="Tahoma"/>
        <family val="0"/>
        <charset val="1"/>
      </rPr>
      <t xml:space="preserve">-</t>
    </r>
    <r>
      <rPr>
        <b val="true"/>
        <sz val="9"/>
        <color rgb="FFFFFFFF"/>
        <rFont val="FreeSans"/>
        <family val="2"/>
      </rPr>
      <t xml:space="preserve">ฝนตก</t>
    </r>
  </si>
  <si>
    <r>
      <rPr>
        <b val="true"/>
        <sz val="9"/>
        <color rgb="FFFFFFFF"/>
        <rFont val="FreeSans"/>
        <family val="2"/>
      </rPr>
      <t xml:space="preserve">งานที่ดำเนินการในสัปดาห์นี้
</t>
    </r>
    <r>
      <rPr>
        <b val="true"/>
        <sz val="9"/>
        <color rgb="FFFFFFFF"/>
        <rFont val="Tahoma"/>
        <family val="0"/>
        <charset val="1"/>
      </rPr>
      <t xml:space="preserve">Work Done This Week</t>
    </r>
  </si>
  <si>
    <r>
      <rPr>
        <b val="true"/>
        <sz val="9"/>
        <color rgb="FFFFFFFF"/>
        <rFont val="FreeSans"/>
        <family val="2"/>
      </rPr>
      <t xml:space="preserve">แผนงานสัปดาห์หน้า
</t>
    </r>
    <r>
      <rPr>
        <b val="true"/>
        <sz val="9"/>
        <color rgb="FFFFFFFF"/>
        <rFont val="Tahoma"/>
        <family val="0"/>
        <charset val="1"/>
      </rPr>
      <t xml:space="preserve">Plan Next Week</t>
    </r>
  </si>
  <si>
    <r>
      <rPr>
        <b val="true"/>
        <sz val="9"/>
        <color rgb="FFFFFFFF"/>
        <rFont val="FreeSans"/>
        <family val="2"/>
      </rPr>
      <t xml:space="preserve">วัสดุเข้าหน่วยงาน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การทดสอบ
</t>
    </r>
    <r>
      <rPr>
        <b val="true"/>
        <sz val="9"/>
        <color rgb="FFFFFFFF"/>
        <rFont val="Tahoma"/>
        <family val="0"/>
        <charset val="1"/>
      </rPr>
      <t xml:space="preserve">Materials &amp; Tests</t>
    </r>
  </si>
  <si>
    <r>
      <rPr>
        <b val="true"/>
        <sz val="9"/>
        <color rgb="FFFFFFFF"/>
        <rFont val="FreeSans"/>
        <family val="2"/>
      </rPr>
      <t xml:space="preserve">ปัญหา อุปสรรค
</t>
    </r>
    <r>
      <rPr>
        <b val="true"/>
        <sz val="9"/>
        <color rgb="FFFFFFFF"/>
        <rFont val="Tahoma"/>
        <family val="0"/>
        <charset val="1"/>
      </rPr>
      <t xml:space="preserve">Issues</t>
    </r>
  </si>
  <si>
    <r>
      <rPr>
        <b val="true"/>
        <sz val="9"/>
        <color rgb="FFFFFFFF"/>
        <rFont val="FreeSans"/>
        <family val="2"/>
      </rPr>
      <t xml:space="preserve">ความเห็นผู้ควบคุมงาน
</t>
    </r>
    <r>
      <rPr>
        <b val="true"/>
        <sz val="9"/>
        <color rgb="FFFFFFFF"/>
        <rFont val="Tahoma"/>
        <family val="0"/>
        <charset val="1"/>
      </rPr>
      <t xml:space="preserve">Supervisor's Opinion</t>
    </r>
  </si>
  <si>
    <r>
      <rPr>
        <sz val="10"/>
        <color rgb="FF0000FF"/>
        <rFont val="FreeSans"/>
        <family val="2"/>
      </rPr>
      <t xml:space="preserve">รถแบ็คโฮ </t>
    </r>
    <r>
      <rPr>
        <sz val="10"/>
        <color rgb="FF0000FF"/>
        <rFont val="Tahoma"/>
        <family val="0"/>
        <charset val="1"/>
      </rPr>
      <t xml:space="preserve">1 </t>
    </r>
    <r>
      <rPr>
        <sz val="10"/>
        <color rgb="FF0000FF"/>
        <rFont val="FreeSans"/>
        <family val="2"/>
      </rPr>
      <t xml:space="preserve">คัน</t>
    </r>
    <r>
      <rPr>
        <sz val="10"/>
        <color rgb="FF0000FF"/>
        <rFont val="Tahoma"/>
        <family val="0"/>
        <charset val="1"/>
      </rPr>
      <t xml:space="preserve">, </t>
    </r>
    <r>
      <rPr>
        <sz val="10"/>
        <color rgb="FF0000FF"/>
        <rFont val="FreeSans"/>
        <family val="2"/>
      </rPr>
      <t xml:space="preserve">รถบดสั่นสะเทือน </t>
    </r>
    <r>
      <rPr>
        <sz val="10"/>
        <color rgb="FF0000FF"/>
        <rFont val="Tahoma"/>
        <family val="0"/>
        <charset val="1"/>
      </rPr>
      <t xml:space="preserve">1 </t>
    </r>
    <r>
      <rPr>
        <sz val="10"/>
        <color rgb="FF0000FF"/>
        <rFont val="FreeSans"/>
        <family val="2"/>
      </rPr>
      <t xml:space="preserve">คัน</t>
    </r>
  </si>
  <si>
    <t xml:space="preserve">7 / 0</t>
  </si>
  <si>
    <r>
      <rPr>
        <sz val="10"/>
        <color rgb="FF0000FF"/>
        <rFont val="Tahoma"/>
        <family val="0"/>
        <charset val="1"/>
      </rPr>
      <t xml:space="preserve">5 / 2 (</t>
    </r>
    <r>
      <rPr>
        <sz val="10"/>
        <color rgb="FF0000FF"/>
        <rFont val="FreeSans"/>
        <family val="2"/>
      </rPr>
      <t xml:space="preserve">ฝนตก</t>
    </r>
    <r>
      <rPr>
        <sz val="10"/>
        <color rgb="FF0000FF"/>
        <rFont val="Tahoma"/>
        <family val="0"/>
        <charset val="1"/>
      </rPr>
      <t xml:space="preserve">)</t>
    </r>
  </si>
  <si>
    <r>
      <rPr>
        <sz val="10"/>
        <color rgb="FF0000FF"/>
        <rFont val="FreeSans"/>
        <family val="2"/>
      </rPr>
      <t xml:space="preserve">ปั้นจั่นตอกเข็ม </t>
    </r>
    <r>
      <rPr>
        <sz val="10"/>
        <color rgb="FF0000FF"/>
        <rFont val="Tahoma"/>
        <family val="0"/>
        <charset val="1"/>
      </rPr>
      <t xml:space="preserve">1 </t>
    </r>
    <r>
      <rPr>
        <sz val="10"/>
        <color rgb="FF0000FF"/>
        <rFont val="FreeSans"/>
        <family val="2"/>
      </rPr>
      <t xml:space="preserve">ชุด</t>
    </r>
    <r>
      <rPr>
        <sz val="10"/>
        <color rgb="FF0000FF"/>
        <rFont val="Tahoma"/>
        <family val="0"/>
        <charset val="1"/>
      </rPr>
      <t xml:space="preserve">, </t>
    </r>
    <r>
      <rPr>
        <sz val="10"/>
        <color rgb="FF0000FF"/>
        <rFont val="FreeSans"/>
        <family val="2"/>
      </rPr>
      <t xml:space="preserve">รถแบ็คโฮ </t>
    </r>
    <r>
      <rPr>
        <sz val="10"/>
        <color rgb="FF0000FF"/>
        <rFont val="Tahoma"/>
        <family val="0"/>
        <charset val="1"/>
      </rPr>
      <t xml:space="preserve">1 </t>
    </r>
    <r>
      <rPr>
        <sz val="10"/>
        <color rgb="FF0000FF"/>
        <rFont val="FreeSans"/>
        <family val="2"/>
      </rPr>
      <t xml:space="preserve">คัน</t>
    </r>
  </si>
  <si>
    <r>
      <rPr>
        <sz val="10"/>
        <color rgb="FF0000FF"/>
        <rFont val="FreeSans"/>
        <family val="2"/>
      </rPr>
      <t xml:space="preserve">ตอกเสาเข็มอาคาร </t>
    </r>
    <r>
      <rPr>
        <sz val="10"/>
        <color rgb="FF0000FF"/>
        <rFont val="Tahoma"/>
        <family val="0"/>
        <charset val="1"/>
      </rPr>
      <t xml:space="preserve">24 </t>
    </r>
    <r>
      <rPr>
        <sz val="10"/>
        <color rgb="FF0000FF"/>
        <rFont val="FreeSans"/>
        <family val="2"/>
      </rPr>
      <t xml:space="preserve">ต้น • วางรางระบายน้ำ </t>
    </r>
    <r>
      <rPr>
        <sz val="10"/>
        <color rgb="FF0000FF"/>
        <rFont val="Tahoma"/>
        <family val="0"/>
        <charset val="1"/>
      </rPr>
      <t xml:space="preserve">70 </t>
    </r>
    <r>
      <rPr>
        <sz val="10"/>
        <color rgb="FF0000FF"/>
        <rFont val="FreeSans"/>
        <family val="2"/>
      </rPr>
      <t xml:space="preserve">ม</t>
    </r>
    <r>
      <rPr>
        <sz val="10"/>
        <color rgb="FF0000FF"/>
        <rFont val="Tahoma"/>
        <family val="0"/>
        <charset val="1"/>
      </rPr>
      <t xml:space="preserve">.</t>
    </r>
  </si>
  <si>
    <r>
      <rPr>
        <sz val="10"/>
        <color rgb="FF0000FF"/>
        <rFont val="FreeSans"/>
        <family val="2"/>
      </rPr>
      <t xml:space="preserve">ปั้นจั่นตอกเข็ม </t>
    </r>
    <r>
      <rPr>
        <sz val="10"/>
        <color rgb="FF0000FF"/>
        <rFont val="Tahoma"/>
        <family val="0"/>
        <charset val="1"/>
      </rPr>
      <t xml:space="preserve">1 </t>
    </r>
    <r>
      <rPr>
        <sz val="10"/>
        <color rgb="FF0000FF"/>
        <rFont val="FreeSans"/>
        <family val="2"/>
      </rPr>
      <t xml:space="preserve">ชุด</t>
    </r>
    <r>
      <rPr>
        <sz val="10"/>
        <color rgb="FF0000FF"/>
        <rFont val="Tahoma"/>
        <family val="0"/>
        <charset val="1"/>
      </rPr>
      <t xml:space="preserve">, </t>
    </r>
    <r>
      <rPr>
        <sz val="10"/>
        <color rgb="FF0000FF"/>
        <rFont val="FreeSans"/>
        <family val="2"/>
      </rPr>
      <t xml:space="preserve">รถแบ็คโฮ </t>
    </r>
    <r>
      <rPr>
        <sz val="10"/>
        <color rgb="FF0000FF"/>
        <rFont val="Tahoma"/>
        <family val="0"/>
        <charset val="1"/>
      </rPr>
      <t xml:space="preserve">2 </t>
    </r>
    <r>
      <rPr>
        <sz val="10"/>
        <color rgb="FF0000FF"/>
        <rFont val="FreeSans"/>
        <family val="2"/>
      </rPr>
      <t xml:space="preserve">คัน</t>
    </r>
    <r>
      <rPr>
        <sz val="10"/>
        <color rgb="FF0000FF"/>
        <rFont val="Tahoma"/>
        <family val="0"/>
        <charset val="1"/>
      </rPr>
      <t xml:space="preserve">, </t>
    </r>
    <r>
      <rPr>
        <sz val="10"/>
        <color rgb="FF0000FF"/>
        <rFont val="FreeSans"/>
        <family val="2"/>
      </rPr>
      <t xml:space="preserve">รถบด </t>
    </r>
    <r>
      <rPr>
        <sz val="10"/>
        <color rgb="FF0000FF"/>
        <rFont val="Tahoma"/>
        <family val="0"/>
        <charset val="1"/>
      </rPr>
      <t xml:space="preserve">1 </t>
    </r>
    <r>
      <rPr>
        <sz val="10"/>
        <color rgb="FF0000FF"/>
        <rFont val="FreeSans"/>
        <family val="2"/>
      </rPr>
      <t xml:space="preserve">คัน</t>
    </r>
  </si>
  <si>
    <r>
      <rPr>
        <sz val="10"/>
        <color rgb="FF0000FF"/>
        <rFont val="Tahoma"/>
        <family val="0"/>
        <charset val="1"/>
      </rPr>
      <t xml:space="preserve">6 / 1 (</t>
    </r>
    <r>
      <rPr>
        <sz val="10"/>
        <color rgb="FF0000FF"/>
        <rFont val="FreeSans"/>
        <family val="2"/>
      </rPr>
      <t xml:space="preserve">ฝนตก</t>
    </r>
    <r>
      <rPr>
        <sz val="10"/>
        <color rgb="FF0000FF"/>
        <rFont val="Tahoma"/>
        <family val="0"/>
        <charset val="1"/>
      </rPr>
      <t xml:space="preserve">)</t>
    </r>
  </si>
  <si>
    <r>
      <rPr>
        <sz val="10"/>
        <color rgb="FF0000FF"/>
        <rFont val="Tahoma"/>
        <family val="0"/>
        <charset val="1"/>
      </rPr>
      <t xml:space="preserve">1) </t>
    </r>
    <r>
      <rPr>
        <sz val="10"/>
        <color rgb="FF0000FF"/>
        <rFont val="FreeSans"/>
        <family val="2"/>
      </rPr>
      <t xml:space="preserve">ตอกเสาเข็มอาคาร </t>
    </r>
    <r>
      <rPr>
        <sz val="10"/>
        <color rgb="FF0000FF"/>
        <rFont val="Tahoma"/>
        <family val="0"/>
        <charset val="1"/>
      </rPr>
      <t xml:space="preserve">21 </t>
    </r>
    <r>
      <rPr>
        <sz val="10"/>
        <color rgb="FF0000FF"/>
        <rFont val="FreeSans"/>
        <family val="2"/>
      </rPr>
      <t xml:space="preserve">ต้น สะสม </t>
    </r>
    <r>
      <rPr>
        <sz val="10"/>
        <color rgb="FF0000FF"/>
        <rFont val="Tahoma"/>
        <family val="0"/>
        <charset val="1"/>
      </rPr>
      <t xml:space="preserve">45 </t>
    </r>
    <r>
      <rPr>
        <sz val="10"/>
        <color rgb="FF0000FF"/>
        <rFont val="FreeSans"/>
        <family val="2"/>
      </rPr>
      <t xml:space="preserve">จาก </t>
    </r>
    <r>
      <rPr>
        <sz val="10"/>
        <color rgb="FF0000FF"/>
        <rFont val="Tahoma"/>
        <family val="0"/>
        <charset val="1"/>
      </rPr>
      <t xml:space="preserve">128 </t>
    </r>
    <r>
      <rPr>
        <sz val="10"/>
        <color rgb="FF0000FF"/>
        <rFont val="FreeSans"/>
        <family val="2"/>
      </rPr>
      <t xml:space="preserve">ต้น
</t>
    </r>
    <r>
      <rPr>
        <sz val="10"/>
        <color rgb="FF0000FF"/>
        <rFont val="Tahoma"/>
        <family val="0"/>
        <charset val="1"/>
      </rPr>
      <t xml:space="preserve">2) </t>
    </r>
    <r>
      <rPr>
        <sz val="10"/>
        <color rgb="FF0000FF"/>
        <rFont val="FreeSans"/>
        <family val="2"/>
      </rPr>
      <t xml:space="preserve">วางรางระบายน้ำ คสล</t>
    </r>
    <r>
      <rPr>
        <sz val="10"/>
        <color rgb="FF0000FF"/>
        <rFont val="Tahoma"/>
        <family val="0"/>
        <charset val="1"/>
      </rPr>
      <t xml:space="preserve">. 60 </t>
    </r>
    <r>
      <rPr>
        <sz val="10"/>
        <color rgb="FF0000FF"/>
        <rFont val="FreeSans"/>
        <family val="2"/>
      </rPr>
      <t xml:space="preserve">ม</t>
    </r>
    <r>
      <rPr>
        <sz val="10"/>
        <color rgb="FF0000FF"/>
        <rFont val="Tahoma"/>
        <family val="0"/>
        <charset val="1"/>
      </rPr>
      <t xml:space="preserve">. </t>
    </r>
    <r>
      <rPr>
        <sz val="10"/>
        <color rgb="FF0000FF"/>
        <rFont val="FreeSans"/>
        <family val="2"/>
      </rPr>
      <t xml:space="preserve">สะสม </t>
    </r>
    <r>
      <rPr>
        <sz val="10"/>
        <color rgb="FF0000FF"/>
        <rFont val="Tahoma"/>
        <family val="0"/>
        <charset val="1"/>
      </rPr>
      <t xml:space="preserve">330 </t>
    </r>
    <r>
      <rPr>
        <sz val="10"/>
        <color rgb="FF0000FF"/>
        <rFont val="FreeSans"/>
        <family val="2"/>
      </rPr>
      <t xml:space="preserve">จาก </t>
    </r>
    <r>
      <rPr>
        <sz val="10"/>
        <color rgb="FF0000FF"/>
        <rFont val="Tahoma"/>
        <family val="0"/>
        <charset val="1"/>
      </rPr>
      <t xml:space="preserve">600 </t>
    </r>
    <r>
      <rPr>
        <sz val="10"/>
        <color rgb="FF0000FF"/>
        <rFont val="FreeSans"/>
        <family val="2"/>
      </rPr>
      <t xml:space="preserve">ม</t>
    </r>
    <r>
      <rPr>
        <sz val="10"/>
        <color rgb="FF0000FF"/>
        <rFont val="Tahoma"/>
        <family val="0"/>
        <charset val="1"/>
      </rPr>
      <t xml:space="preserve">.
3) </t>
    </r>
    <r>
      <rPr>
        <sz val="10"/>
        <color rgb="FF0000FF"/>
        <rFont val="FreeSans"/>
        <family val="2"/>
      </rPr>
      <t xml:space="preserve">หล่อฐานรากรั้ว </t>
    </r>
    <r>
      <rPr>
        <sz val="10"/>
        <color rgb="FF0000FF"/>
        <rFont val="Tahoma"/>
        <family val="0"/>
        <charset val="1"/>
      </rPr>
      <t xml:space="preserve">14 </t>
    </r>
    <r>
      <rPr>
        <sz val="10"/>
        <color rgb="FF0000FF"/>
        <rFont val="FreeSans"/>
        <family val="2"/>
      </rPr>
      <t xml:space="preserve">ฐาน สะสม </t>
    </r>
    <r>
      <rPr>
        <sz val="10"/>
        <color rgb="FF0000FF"/>
        <rFont val="Tahoma"/>
        <family val="0"/>
        <charset val="1"/>
      </rPr>
      <t xml:space="preserve">24 </t>
    </r>
    <r>
      <rPr>
        <sz val="10"/>
        <color rgb="FF0000FF"/>
        <rFont val="FreeSans"/>
        <family val="2"/>
      </rPr>
      <t xml:space="preserve">จาก </t>
    </r>
    <r>
      <rPr>
        <sz val="10"/>
        <color rgb="FF0000FF"/>
        <rFont val="Tahoma"/>
        <family val="0"/>
        <charset val="1"/>
      </rPr>
      <t xml:space="preserve">80 </t>
    </r>
    <r>
      <rPr>
        <sz val="10"/>
        <color rgb="FF0000FF"/>
        <rFont val="FreeSans"/>
        <family val="2"/>
      </rPr>
      <t xml:space="preserve">ฐาน</t>
    </r>
  </si>
  <si>
    <r>
      <rPr>
        <sz val="10"/>
        <color rgb="FF0000FF"/>
        <rFont val="Tahoma"/>
        <family val="0"/>
        <charset val="1"/>
      </rPr>
      <t xml:space="preserve">1) </t>
    </r>
    <r>
      <rPr>
        <sz val="10"/>
        <color rgb="FF0000FF"/>
        <rFont val="FreeSans"/>
        <family val="2"/>
      </rPr>
      <t xml:space="preserve">ตอกเสาเข็มอาคารต่อ เป้าหมาย </t>
    </r>
    <r>
      <rPr>
        <sz val="10"/>
        <color rgb="FF0000FF"/>
        <rFont val="Tahoma"/>
        <family val="0"/>
        <charset val="1"/>
      </rPr>
      <t xml:space="preserve">30 </t>
    </r>
    <r>
      <rPr>
        <sz val="10"/>
        <color rgb="FF0000FF"/>
        <rFont val="FreeSans"/>
        <family val="2"/>
      </rPr>
      <t xml:space="preserve">ต้น
</t>
    </r>
    <r>
      <rPr>
        <sz val="10"/>
        <color rgb="FF0000FF"/>
        <rFont val="Tahoma"/>
        <family val="0"/>
        <charset val="1"/>
      </rPr>
      <t xml:space="preserve">2) </t>
    </r>
    <r>
      <rPr>
        <sz val="10"/>
        <color rgb="FF0000FF"/>
        <rFont val="FreeSans"/>
        <family val="2"/>
      </rPr>
      <t xml:space="preserve">วางรางระบายน้ำต่อ </t>
    </r>
    <r>
      <rPr>
        <sz val="10"/>
        <color rgb="FF0000FF"/>
        <rFont val="Tahoma"/>
        <family val="0"/>
        <charset val="1"/>
      </rPr>
      <t xml:space="preserve">80 </t>
    </r>
    <r>
      <rPr>
        <sz val="10"/>
        <color rgb="FF0000FF"/>
        <rFont val="FreeSans"/>
        <family val="2"/>
      </rPr>
      <t xml:space="preserve">ม</t>
    </r>
    <r>
      <rPr>
        <sz val="10"/>
        <color rgb="FF0000FF"/>
        <rFont val="Tahoma"/>
        <family val="0"/>
        <charset val="1"/>
      </rPr>
      <t xml:space="preserve">.
3) </t>
    </r>
    <r>
      <rPr>
        <sz val="10"/>
        <color rgb="FF0000FF"/>
        <rFont val="FreeSans"/>
        <family val="2"/>
      </rPr>
      <t xml:space="preserve">เริ่มขุดบ่อพัก </t>
    </r>
    <r>
      <rPr>
        <sz val="10"/>
        <color rgb="FF0000FF"/>
        <rFont val="Tahoma"/>
        <family val="0"/>
        <charset val="1"/>
      </rPr>
      <t xml:space="preserve">(</t>
    </r>
    <r>
      <rPr>
        <sz val="10"/>
        <color rgb="FF0000FF"/>
        <rFont val="FreeSans"/>
        <family val="2"/>
      </rPr>
      <t xml:space="preserve">รอแบบแก้ไข</t>
    </r>
    <r>
      <rPr>
        <sz val="10"/>
        <color rgb="FF0000FF"/>
        <rFont val="Tahoma"/>
        <family val="0"/>
        <charset val="1"/>
      </rPr>
      <t xml:space="preserve">)
4) </t>
    </r>
    <r>
      <rPr>
        <sz val="10"/>
        <color rgb="FF0000FF"/>
        <rFont val="FreeSans"/>
        <family val="2"/>
      </rPr>
      <t xml:space="preserve">ทดสอบความแน่นดิน </t>
    </r>
    <r>
      <rPr>
        <sz val="10"/>
        <color rgb="FF0000FF"/>
        <rFont val="Tahoma"/>
        <family val="0"/>
        <charset val="1"/>
      </rPr>
      <t xml:space="preserve">2 </t>
    </r>
    <r>
      <rPr>
        <sz val="10"/>
        <color rgb="FF0000FF"/>
        <rFont val="FreeSans"/>
        <family val="2"/>
      </rPr>
      <t xml:space="preserve">จุดที่เหลือ</t>
    </r>
  </si>
  <si>
    <r>
      <rPr>
        <sz val="10"/>
        <color rgb="FF0000FF"/>
        <rFont val="FreeSans"/>
        <family val="2"/>
      </rPr>
      <t xml:space="preserve">เหล็กเสริม </t>
    </r>
    <r>
      <rPr>
        <sz val="10"/>
        <color rgb="FF0000FF"/>
        <rFont val="Tahoma"/>
        <family val="0"/>
        <charset val="1"/>
      </rPr>
      <t xml:space="preserve">DB16 </t>
    </r>
    <r>
      <rPr>
        <sz val="10"/>
        <color rgb="FF0000FF"/>
        <rFont val="FreeSans"/>
        <family val="2"/>
      </rPr>
      <t xml:space="preserve">จำนวน </t>
    </r>
    <r>
      <rPr>
        <sz val="10"/>
        <color rgb="FF0000FF"/>
        <rFont val="Tahoma"/>
        <family val="0"/>
        <charset val="1"/>
      </rPr>
      <t xml:space="preserve">12 </t>
    </r>
    <r>
      <rPr>
        <sz val="10"/>
        <color rgb="FF0000FF"/>
        <rFont val="FreeSans"/>
        <family val="2"/>
      </rPr>
      <t xml:space="preserve">ตัน • ทดสอบกำลังอัดคอนกรีตรางระบายน้ำ </t>
    </r>
    <r>
      <rPr>
        <sz val="10"/>
        <color rgb="FF0000FF"/>
        <rFont val="Tahoma"/>
        <family val="0"/>
        <charset val="1"/>
      </rPr>
      <t xml:space="preserve">6 </t>
    </r>
    <r>
      <rPr>
        <sz val="10"/>
        <color rgb="FF0000FF"/>
        <rFont val="FreeSans"/>
        <family val="2"/>
      </rPr>
      <t xml:space="preserve">ก้อน ผ่านเกณฑ์</t>
    </r>
  </si>
  <si>
    <r>
      <rPr>
        <sz val="10"/>
        <color rgb="FF0000FF"/>
        <rFont val="FreeSans"/>
        <family val="2"/>
      </rPr>
      <t xml:space="preserve">ฝนตก </t>
    </r>
    <r>
      <rPr>
        <sz val="10"/>
        <color rgb="FF0000FF"/>
        <rFont val="Tahoma"/>
        <family val="0"/>
        <charset val="1"/>
      </rPr>
      <t xml:space="preserve">1 </t>
    </r>
    <r>
      <rPr>
        <sz val="10"/>
        <color rgb="FF0000FF"/>
        <rFont val="FreeSans"/>
        <family val="2"/>
      </rPr>
      <t xml:space="preserve">วัน • ยังไม่ได้รับแบบแก้ไขบ่อพักและท่อลอดจากผู้ว่าจ้าง ทำให้งานส่วนนี้ยังเริ่มไม่ได้</t>
    </r>
  </si>
  <si>
    <r>
      <rPr>
        <sz val="10"/>
        <color rgb="FF0000FF"/>
        <rFont val="FreeSans"/>
        <family val="2"/>
      </rPr>
      <t xml:space="preserve">งานรางระบายน้ำล่าช้ากว่าแผนมาก ได้แจ้งให้ผู้รับจ้างเพิ่มชุดทำงานอีก </t>
    </r>
    <r>
      <rPr>
        <sz val="10"/>
        <color rgb="FF0000FF"/>
        <rFont val="Tahoma"/>
        <family val="0"/>
        <charset val="1"/>
      </rPr>
      <t xml:space="preserve">1 </t>
    </r>
    <r>
      <rPr>
        <sz val="10"/>
        <color rgb="FF0000FF"/>
        <rFont val="FreeSans"/>
        <family val="2"/>
      </rPr>
      <t xml:space="preserve">ชุด และเสนอให้ผู้ว่าจ้างเร่งส่งแบบแก้ไขบ่อพัก</t>
    </r>
  </si>
  <si>
    <t xml:space="preserve">บันทึกข้อความ</t>
  </si>
  <si>
    <t xml:space="preserve">ส่วนราชการ</t>
  </si>
  <si>
    <t xml:space="preserve">ที่</t>
  </si>
  <si>
    <t xml:space="preserve">วันที่</t>
  </si>
  <si>
    <t xml:space="preserve">เรื่อง</t>
  </si>
  <si>
    <t xml:space="preserve">เรียน</t>
  </si>
  <si>
    <r>
      <rPr>
        <b val="true"/>
        <sz val="10"/>
        <color rgb="FFFFFFFF"/>
        <rFont val="Tahoma"/>
        <family val="0"/>
        <charset val="1"/>
      </rPr>
      <t xml:space="preserve">1. </t>
    </r>
    <r>
      <rPr>
        <b val="true"/>
        <sz val="10"/>
        <color rgb="FFFFFFFF"/>
        <rFont val="FreeSans"/>
        <family val="2"/>
      </rPr>
      <t xml:space="preserve">ความก้าวหน้าของงาน ณ สิ้นสัปดาห์</t>
    </r>
  </si>
  <si>
    <t xml:space="preserve">ผลงานตามแผนสะสม</t>
  </si>
  <si>
    <t xml:space="preserve">ผลงานจริงสะสม</t>
  </si>
  <si>
    <r>
      <rPr>
        <sz val="10"/>
        <rFont val="FreeSans"/>
        <family val="2"/>
      </rPr>
      <t xml:space="preserve">ผลงานเร็ว </t>
    </r>
    <r>
      <rPr>
        <sz val="10"/>
        <rFont val="Tahoma"/>
        <family val="0"/>
        <charset val="1"/>
      </rPr>
      <t xml:space="preserve">(+) / </t>
    </r>
    <r>
      <rPr>
        <sz val="10"/>
        <rFont val="FreeSans"/>
        <family val="2"/>
      </rPr>
      <t xml:space="preserve">ช้า </t>
    </r>
    <r>
      <rPr>
        <sz val="10"/>
        <rFont val="Tahoma"/>
        <family val="0"/>
        <charset val="1"/>
      </rPr>
      <t xml:space="preserve">(−) </t>
    </r>
    <r>
      <rPr>
        <sz val="10"/>
        <rFont val="FreeSans"/>
        <family val="2"/>
      </rPr>
      <t xml:space="preserve">กว่าแผน</t>
    </r>
  </si>
  <si>
    <t xml:space="preserve">คิดเป็นจำนวนวัน</t>
  </si>
  <si>
    <t xml:space="preserve">ผลงานที่ทำได้ในสัปดาห์นี้</t>
  </si>
  <si>
    <t xml:space="preserve">ผลงานสัปดาห์ที่แล้ว</t>
  </si>
  <si>
    <t xml:space="preserve">ระยะเวลาดำเนินการแล้ว</t>
  </si>
  <si>
    <t xml:space="preserve">ระยะเวลาคงเหลือตามสัญญา</t>
  </si>
  <si>
    <t xml:space="preserve">สถานะ</t>
  </si>
  <si>
    <r>
      <rPr>
        <b val="true"/>
        <sz val="10"/>
        <color rgb="FFFFFFFF"/>
        <rFont val="Tahoma"/>
        <family val="0"/>
        <charset val="1"/>
      </rPr>
      <t xml:space="preserve">2. </t>
    </r>
    <r>
      <rPr>
        <b val="true"/>
        <sz val="10"/>
        <color rgb="FFFFFFFF"/>
        <rFont val="FreeSans"/>
        <family val="2"/>
      </rPr>
      <t xml:space="preserve">ความก้าวหน้าตามงวดงานในสัญญา</t>
    </r>
  </si>
  <si>
    <t xml:space="preserve">งวด</t>
  </si>
  <si>
    <t xml:space="preserve">เนื้องาน</t>
  </si>
  <si>
    <t xml:space="preserve">กำหนดเสร็จ</t>
  </si>
  <si>
    <r>
      <rPr>
        <b val="true"/>
        <sz val="9"/>
        <color rgb="FFFFFFFF"/>
        <rFont val="FreeSans"/>
        <family val="2"/>
      </rPr>
      <t xml:space="preserve">จำนวนเงิน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บาท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</si>
  <si>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เกณฑ์ผลงาน</t>
  </si>
  <si>
    <r>
      <rPr>
        <b val="true"/>
        <sz val="9"/>
        <color rgb="FFFFFFFF"/>
        <rFont val="FreeSans"/>
        <family val="2"/>
      </rPr>
      <t xml:space="preserve">ล่าช้า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</si>
  <si>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10"/>
        <color rgb="FFFFFFFF"/>
        <rFont val="Tahoma"/>
        <family val="0"/>
        <charset val="1"/>
      </rPr>
      <t xml:space="preserve">3. </t>
    </r>
    <r>
      <rPr>
        <b val="true"/>
        <sz val="10"/>
        <color rgb="FFFFFFFF"/>
        <rFont val="FreeSans"/>
        <family val="2"/>
      </rPr>
      <t xml:space="preserve">ผลการดำเนินงาน</t>
    </r>
  </si>
  <si>
    <r>
      <rPr>
        <b val="true"/>
        <sz val="10"/>
        <rFont val="Tahoma"/>
        <family val="0"/>
        <charset val="1"/>
      </rPr>
      <t xml:space="preserve">3.1 </t>
    </r>
    <r>
      <rPr>
        <b val="true"/>
        <sz val="10"/>
        <rFont val="FreeSans"/>
        <family val="2"/>
      </rPr>
      <t xml:space="preserve">งานที่ดำเนินการในสัปดาห์นี้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</si>
  <si>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ผลงาน</t>
    </r>
  </si>
  <si>
    <t xml:space="preserve">คาดว่าเสร็จ</t>
  </si>
  <si>
    <r>
      <rPr>
        <b val="true"/>
        <sz val="10"/>
        <rFont val="Tahoma"/>
        <family val="0"/>
        <charset val="1"/>
      </rPr>
      <t xml:space="preserve">3.3 </t>
    </r>
    <r>
      <rPr>
        <b val="true"/>
        <sz val="10"/>
        <rFont val="FreeSans"/>
        <family val="2"/>
      </rPr>
      <t xml:space="preserve">แผนงานสัปดาห์หน้า</t>
    </r>
  </si>
  <si>
    <r>
      <rPr>
        <b val="true"/>
        <sz val="10"/>
        <color rgb="FFFFFFFF"/>
        <rFont val="Tahoma"/>
        <family val="0"/>
        <charset val="1"/>
      </rPr>
      <t xml:space="preserve">4. </t>
    </r>
    <r>
      <rPr>
        <b val="true"/>
        <sz val="10"/>
        <color rgb="FFFFFFFF"/>
        <rFont val="FreeSans"/>
        <family val="2"/>
      </rPr>
      <t xml:space="preserve">ข้อมูลการปฏิบัติงานในหน่วยงาน</t>
    </r>
  </si>
  <si>
    <t xml:space="preserve">จำนวนคนงานเฉลี่ย</t>
  </si>
  <si>
    <r>
      <rPr>
        <sz val="10"/>
        <rFont val="FreeSans"/>
        <family val="2"/>
      </rPr>
      <t xml:space="preserve">เครื่องจักร</t>
    </r>
    <r>
      <rPr>
        <sz val="10"/>
        <rFont val="Tahoma"/>
        <family val="0"/>
        <charset val="1"/>
      </rPr>
      <t xml:space="preserve">/</t>
    </r>
    <r>
      <rPr>
        <sz val="10"/>
        <rFont val="FreeSans"/>
        <family val="2"/>
      </rPr>
      <t xml:space="preserve">เครื่องมือหลัก</t>
    </r>
  </si>
  <si>
    <r>
      <rPr>
        <sz val="10"/>
        <rFont val="FreeSans"/>
        <family val="2"/>
      </rPr>
      <t xml:space="preserve">วันทำงาน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</rPr>
      <t xml:space="preserve">วันหยุด</t>
    </r>
    <r>
      <rPr>
        <sz val="10"/>
        <rFont val="Tahoma"/>
        <family val="0"/>
        <charset val="1"/>
      </rPr>
      <t xml:space="preserve">-</t>
    </r>
    <r>
      <rPr>
        <sz val="10"/>
        <rFont val="FreeSans"/>
        <family val="2"/>
      </rPr>
      <t xml:space="preserve">ฝนตก</t>
    </r>
  </si>
  <si>
    <r>
      <rPr>
        <sz val="10"/>
        <rFont val="FreeSans"/>
        <family val="2"/>
      </rPr>
      <t xml:space="preserve">วัสดุเข้าหน่วยงาน </t>
    </r>
    <r>
      <rPr>
        <sz val="10"/>
        <rFont val="Tahoma"/>
        <family val="0"/>
        <charset val="1"/>
      </rPr>
      <t xml:space="preserve">/ </t>
    </r>
    <r>
      <rPr>
        <sz val="10"/>
        <rFont val="FreeSans"/>
        <family val="2"/>
      </rPr>
      <t xml:space="preserve">การทดสอบ</t>
    </r>
  </si>
  <si>
    <r>
      <rPr>
        <b val="true"/>
        <sz val="10"/>
        <color rgb="FFFFFFFF"/>
        <rFont val="Tahoma"/>
        <family val="0"/>
        <charset val="1"/>
      </rPr>
      <t xml:space="preserve">5. </t>
    </r>
    <r>
      <rPr>
        <b val="true"/>
        <sz val="10"/>
        <color rgb="FFFFFFFF"/>
        <rFont val="FreeSans"/>
        <family val="2"/>
      </rPr>
      <t xml:space="preserve">ปัญหา อุปสรรค และการขยายเวลา</t>
    </r>
  </si>
  <si>
    <r>
      <rPr>
        <b val="true"/>
        <sz val="10"/>
        <color rgb="FFFFFFFF"/>
        <rFont val="Tahoma"/>
        <family val="0"/>
        <charset val="1"/>
      </rPr>
      <t xml:space="preserve">6. </t>
    </r>
    <r>
      <rPr>
        <b val="true"/>
        <sz val="10"/>
        <color rgb="FFFFFFFF"/>
        <rFont val="FreeSans"/>
        <family val="2"/>
      </rPr>
      <t xml:space="preserve">ความเห็นของผู้ควบคุมงาน</t>
    </r>
  </si>
  <si>
    <t xml:space="preserve">          จึงเรียนมาเพื่อโปรดทราบ</t>
  </si>
  <si>
    <r>
      <rPr>
        <sz val="10"/>
        <rFont val="FreeSans"/>
        <family val="2"/>
      </rPr>
      <t xml:space="preserve">ลงชื่อ </t>
    </r>
    <r>
      <rPr>
        <sz val="10"/>
        <rFont val="Tahoma"/>
        <family val="0"/>
        <charset val="1"/>
      </rPr>
      <t xml:space="preserve">..........................................</t>
    </r>
  </si>
  <si>
    <t xml:space="preserve">ผู้ควบคุมงาน</t>
  </si>
  <si>
    <r>
      <rPr>
        <b val="true"/>
        <sz val="10"/>
        <color rgb="FFFFFFFF"/>
        <rFont val="Tahoma"/>
        <family val="0"/>
        <charset val="1"/>
      </rPr>
      <t xml:space="preserve">7. </t>
    </r>
    <r>
      <rPr>
        <b val="true"/>
        <sz val="10"/>
        <color rgb="FFFFFFFF"/>
        <rFont val="FreeSans"/>
        <family val="2"/>
      </rPr>
      <t xml:space="preserve">ความเห็นของคณะกรรมการตรวจรับพัสดุ</t>
    </r>
  </si>
  <si>
    <r>
      <rPr>
        <sz val="10"/>
        <rFont val="FreeSans"/>
        <family val="2"/>
      </rPr>
      <t xml:space="preserve">☐ รับทราบ   ☐ ให้ผู้รับจ้างเร่งรัดงาน   ☐ อื่นๆ </t>
    </r>
    <r>
      <rPr>
        <sz val="10"/>
        <rFont val="Tahoma"/>
        <family val="0"/>
        <charset val="1"/>
      </rPr>
      <t xml:space="preserve">......................................................................................</t>
    </r>
  </si>
  <si>
    <r>
      <rPr>
        <sz val="9"/>
        <rFont val="FreeSans"/>
        <family val="2"/>
      </rPr>
      <t xml:space="preserve">ลงชื่อ </t>
    </r>
    <r>
      <rPr>
        <sz val="9"/>
        <rFont val="Tahoma"/>
        <family val="0"/>
        <charset val="1"/>
      </rPr>
      <t xml:space="preserve">.............................</t>
    </r>
  </si>
  <si>
    <t xml:space="preserve">ประธานกรรมการ</t>
  </si>
  <si>
    <t xml:space="preserve">กรรมการ</t>
  </si>
  <si>
    <r>
      <rPr>
        <sz val="9"/>
        <rFont val="FreeSans"/>
        <family val="2"/>
      </rPr>
      <t xml:space="preserve">วันที่ </t>
    </r>
    <r>
      <rPr>
        <sz val="9"/>
        <rFont val="Tahoma"/>
        <family val="0"/>
        <charset val="1"/>
      </rPr>
      <t xml:space="preserve">......./......./.......</t>
    </r>
  </si>
  <si>
    <r>
      <rPr>
        <i val="true"/>
        <sz val="8"/>
        <color rgb="FF808080"/>
        <rFont val="FreeSans"/>
        <family val="2"/>
      </rPr>
      <t xml:space="preserve">วิธีใส่รูป</t>
    </r>
    <r>
      <rPr>
        <i val="true"/>
        <sz val="8"/>
        <color rgb="FF808080"/>
        <rFont val="Tahoma"/>
        <family val="0"/>
        <charset val="1"/>
      </rPr>
      <t xml:space="preserve">: </t>
    </r>
    <r>
      <rPr>
        <i val="true"/>
        <sz val="8"/>
        <color rgb="FF808080"/>
        <rFont val="FreeSans"/>
        <family val="2"/>
      </rPr>
      <t xml:space="preserve">คลิกที่กรอบ → แทรก </t>
    </r>
    <r>
      <rPr>
        <i val="true"/>
        <sz val="8"/>
        <color rgb="FF808080"/>
        <rFont val="Tahoma"/>
        <family val="0"/>
        <charset val="1"/>
      </rPr>
      <t xml:space="preserve">(Insert) → </t>
    </r>
    <r>
      <rPr>
        <i val="true"/>
        <sz val="8"/>
        <color rgb="FF808080"/>
        <rFont val="FreeSans"/>
        <family val="2"/>
      </rPr>
      <t xml:space="preserve">รูปภาพ → ย่อขนาดให้พอดีกรอบ • พิมพ์คำอธิบายใต้รูปในช่องสีเหลือง</t>
    </r>
  </si>
  <si>
    <r>
      <rPr>
        <sz val="12"/>
        <color rgb="FFBFBFBF"/>
        <rFont val="FreeSans"/>
        <family val="2"/>
      </rPr>
      <t xml:space="preserve">รูปที่ </t>
    </r>
    <r>
      <rPr>
        <sz val="12"/>
        <color rgb="FFBFBFBF"/>
        <rFont val="Tahoma"/>
        <family val="0"/>
        <charset val="1"/>
      </rPr>
      <t xml:space="preserve">1</t>
    </r>
  </si>
  <si>
    <r>
      <rPr>
        <sz val="12"/>
        <color rgb="FFBFBFBF"/>
        <rFont val="FreeSans"/>
        <family val="2"/>
      </rPr>
      <t xml:space="preserve">รูปที่ </t>
    </r>
    <r>
      <rPr>
        <sz val="12"/>
        <color rgb="FFBFBFBF"/>
        <rFont val="Tahoma"/>
        <family val="0"/>
        <charset val="1"/>
      </rPr>
      <t xml:space="preserve">2</t>
    </r>
  </si>
  <si>
    <r>
      <rPr>
        <sz val="12"/>
        <color rgb="FFBFBFBF"/>
        <rFont val="FreeSans"/>
        <family val="2"/>
      </rPr>
      <t xml:space="preserve">รูปที่ </t>
    </r>
    <r>
      <rPr>
        <sz val="12"/>
        <color rgb="FFBFBFBF"/>
        <rFont val="Tahoma"/>
        <family val="0"/>
        <charset val="1"/>
      </rPr>
      <t xml:space="preserve">3</t>
    </r>
  </si>
  <si>
    <r>
      <rPr>
        <sz val="12"/>
        <color rgb="FFBFBFBF"/>
        <rFont val="FreeSans"/>
        <family val="2"/>
      </rPr>
      <t xml:space="preserve">รูปที่ </t>
    </r>
    <r>
      <rPr>
        <sz val="12"/>
        <color rgb="FFBFBFBF"/>
        <rFont val="Tahoma"/>
        <family val="0"/>
        <charset val="1"/>
      </rPr>
      <t xml:space="preserve">4</t>
    </r>
  </si>
  <si>
    <r>
      <rPr>
        <sz val="12"/>
        <color rgb="FFBFBFBF"/>
        <rFont val="FreeSans"/>
        <family val="2"/>
      </rPr>
      <t xml:space="preserve">รูปที่ </t>
    </r>
    <r>
      <rPr>
        <sz val="12"/>
        <color rgb="FFBFBFBF"/>
        <rFont val="Tahoma"/>
        <family val="0"/>
        <charset val="1"/>
      </rPr>
      <t xml:space="preserve">5</t>
    </r>
  </si>
  <si>
    <r>
      <rPr>
        <sz val="12"/>
        <color rgb="FFBFBFBF"/>
        <rFont val="FreeSans"/>
        <family val="2"/>
      </rPr>
      <t xml:space="preserve">รูปที่ </t>
    </r>
    <r>
      <rPr>
        <sz val="12"/>
        <color rgb="FFBFBFBF"/>
        <rFont val="Tahoma"/>
        <family val="0"/>
        <charset val="1"/>
      </rPr>
      <t xml:space="preserve">6</t>
    </r>
  </si>
  <si>
    <r>
      <rPr>
        <b val="true"/>
        <sz val="16"/>
        <color rgb="FF1F3864"/>
        <rFont val="FreeSans"/>
        <family val="2"/>
      </rPr>
      <t xml:space="preserve">ทะเบียนงานเพิ่ม</t>
    </r>
    <r>
      <rPr>
        <b val="true"/>
        <sz val="16"/>
        <color rgb="FF1F3864"/>
        <rFont val="Tahoma"/>
        <family val="0"/>
        <charset val="1"/>
      </rPr>
      <t xml:space="preserve">-</t>
    </r>
    <r>
      <rPr>
        <b val="true"/>
        <sz val="16"/>
        <color rgb="FF1F3864"/>
        <rFont val="FreeSans"/>
        <family val="2"/>
      </rPr>
      <t xml:space="preserve">ลด </t>
    </r>
    <r>
      <rPr>
        <b val="true"/>
        <sz val="16"/>
        <color rgb="FF1F3864"/>
        <rFont val="Tahoma"/>
        <family val="0"/>
        <charset val="1"/>
      </rPr>
      <t xml:space="preserve">/ Variation Order (VO) Register</t>
    </r>
  </si>
  <si>
    <r>
      <rPr>
        <i val="true"/>
        <sz val="9"/>
        <color rgb="FF595959"/>
        <rFont val="FreeSans"/>
        <family val="2"/>
      </rPr>
      <t xml:space="preserve">บันทึกการแก้ไขเปลี่ยนแปลงสัญญา • เฉพาะรายการ </t>
    </r>
    <r>
      <rPr>
        <i val="true"/>
        <sz val="9"/>
        <color rgb="FF595959"/>
        <rFont val="Tahoma"/>
        <family val="0"/>
        <charset val="1"/>
      </rPr>
      <t xml:space="preserve">'</t>
    </r>
    <r>
      <rPr>
        <i val="true"/>
        <sz val="9"/>
        <color rgb="FF595959"/>
        <rFont val="FreeSans"/>
        <family val="2"/>
      </rPr>
      <t xml:space="preserve">อนุมัติ</t>
    </r>
    <r>
      <rPr>
        <i val="true"/>
        <sz val="9"/>
        <color rgb="FF595959"/>
        <rFont val="Tahoma"/>
        <family val="0"/>
        <charset val="1"/>
      </rPr>
      <t xml:space="preserve">' </t>
    </r>
    <r>
      <rPr>
        <i val="true"/>
        <sz val="9"/>
        <color rgb="FF595959"/>
        <rFont val="FreeSans"/>
        <family val="2"/>
      </rPr>
      <t xml:space="preserve">จึงนำไปปรับมูลค่าสัญญา • มูลค่าสัญญาเดิม </t>
    </r>
    <r>
      <rPr>
        <i val="true"/>
        <sz val="9"/>
        <color rgb="FF595959"/>
        <rFont val="Tahoma"/>
        <family val="0"/>
        <charset val="1"/>
      </rPr>
      <t xml:space="preserve">(Baseline) </t>
    </r>
    <r>
      <rPr>
        <i val="true"/>
        <sz val="9"/>
        <color rgb="FF595959"/>
        <rFont val="FreeSans"/>
        <family val="2"/>
      </rPr>
      <t xml:space="preserve">ในชีตตั้งค่ายังคงไว้เพื่อวัดผล</t>
    </r>
  </si>
  <si>
    <r>
      <rPr>
        <b val="true"/>
        <sz val="9"/>
        <rFont val="FreeSans"/>
        <family val="2"/>
      </rPr>
      <t xml:space="preserve">มูลค่าสัญญาเดิม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บาท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</si>
  <si>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</rPr>
      <t xml:space="preserve">รอพิจารณา</t>
    </r>
    <r>
      <rPr>
        <b val="true"/>
        <sz val="9"/>
        <rFont val="Tahoma"/>
        <family val="0"/>
        <charset val="1"/>
      </rPr>
      <t xml:space="preserve">:</t>
    </r>
  </si>
  <si>
    <r>
      <rPr>
        <b val="true"/>
        <sz val="9"/>
        <rFont val="FreeSans"/>
        <family val="2"/>
      </rPr>
      <t xml:space="preserve">งานเพิ่มที่อนุมัติ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บาท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</si>
  <si>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FreeSans"/>
        <family val="2"/>
      </rPr>
      <t xml:space="preserve">ข้อควรทราบ</t>
    </r>
    <r>
      <rPr>
        <b val="true"/>
        <sz val="9"/>
        <rFont val="Tahoma"/>
        <family val="0"/>
        <charset val="1"/>
      </rPr>
      <t xml:space="preserve">:</t>
    </r>
  </si>
  <si>
    <r>
      <rPr>
        <i val="true"/>
        <sz val="8"/>
        <color rgb="FF595959"/>
        <rFont val="FreeSans"/>
        <family val="2"/>
      </rPr>
      <t xml:space="preserve">งานเพิ่มที่อนุมัติ ควรเพิ่มเป็นรายการใหม่ในชีตแผนงาน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พร้อมมูลค่า </t>
    </r>
    <r>
      <rPr>
        <i val="true"/>
        <sz val="8"/>
        <color rgb="FF595959"/>
        <rFont val="Tahoma"/>
        <family val="0"/>
        <charset val="1"/>
      </rPr>
      <t xml:space="preserve">BOQ </t>
    </r>
    <r>
      <rPr>
        <i val="true"/>
        <sz val="8"/>
        <color rgb="FF595959"/>
        <rFont val="FreeSans"/>
        <family val="2"/>
      </rPr>
      <t xml:space="preserve">และวันแผน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เพื่อให้ </t>
    </r>
    <r>
      <rPr>
        <i val="true"/>
        <sz val="8"/>
        <color rgb="FF595959"/>
        <rFont val="Tahoma"/>
        <family val="0"/>
        <charset val="1"/>
      </rPr>
      <t xml:space="preserve">S-Curve </t>
    </r>
    <r>
      <rPr>
        <i val="true"/>
        <sz val="8"/>
        <color rgb="FF595959"/>
        <rFont val="FreeSans"/>
        <family val="2"/>
      </rPr>
      <t xml:space="preserve">และผลงานรวมงานเพิ่มด้วย</t>
    </r>
  </si>
  <si>
    <r>
      <rPr>
        <b val="true"/>
        <sz val="9"/>
        <rFont val="FreeSans"/>
        <family val="2"/>
      </rPr>
      <t xml:space="preserve">งานลดที่อนุมัติ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บาท</t>
    </r>
    <r>
      <rPr>
        <b val="true"/>
        <sz val="9"/>
        <rFont val="Tahoma"/>
        <family val="0"/>
        <charset val="1"/>
      </rPr>
      <t xml:space="preserve">)</t>
    </r>
  </si>
  <si>
    <r>
      <rPr>
        <i val="true"/>
        <sz val="8"/>
        <color rgb="FF595959"/>
        <rFont val="FreeSans"/>
        <family val="2"/>
      </rPr>
      <t xml:space="preserve">ผลกระทบต่อระยะเวลา </t>
    </r>
    <r>
      <rPr>
        <i val="true"/>
        <sz val="8"/>
        <color rgb="FF595959"/>
        <rFont val="Tahoma"/>
        <family val="0"/>
        <charset val="1"/>
      </rPr>
      <t xml:space="preserve">(</t>
    </r>
    <r>
      <rPr>
        <i val="true"/>
        <sz val="8"/>
        <color rgb="FF595959"/>
        <rFont val="FreeSans"/>
        <family val="2"/>
      </rPr>
      <t xml:space="preserve">ถ้ามี</t>
    </r>
    <r>
      <rPr>
        <i val="true"/>
        <sz val="8"/>
        <color rgb="FF595959"/>
        <rFont val="Tahoma"/>
        <family val="0"/>
        <charset val="1"/>
      </rPr>
      <t xml:space="preserve">) </t>
    </r>
    <r>
      <rPr>
        <i val="true"/>
        <sz val="8"/>
        <color rgb="FF595959"/>
        <rFont val="FreeSans"/>
        <family val="2"/>
      </rPr>
      <t xml:space="preserve">ให้บันทึกขอขยายเวลาในชีต ขยายเวลา </t>
    </r>
    <r>
      <rPr>
        <i val="true"/>
        <sz val="8"/>
        <color rgb="FF595959"/>
        <rFont val="Tahoma"/>
        <family val="0"/>
        <charset val="1"/>
      </rPr>
      <t xml:space="preserve">EOT</t>
    </r>
  </si>
  <si>
    <r>
      <rPr>
        <b val="true"/>
        <sz val="9"/>
        <rFont val="FreeSans"/>
        <family val="2"/>
      </rPr>
      <t xml:space="preserve">มูลค่าสัญญาปัจจุบัน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บาท</t>
    </r>
    <r>
      <rPr>
        <b val="true"/>
        <sz val="9"/>
        <rFont val="Tahoma"/>
        <family val="0"/>
        <charset val="1"/>
      </rPr>
      <t xml:space="preserve">)</t>
    </r>
  </si>
  <si>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เปลี่ยนแปลงสุทธิ</t>
    </r>
  </si>
  <si>
    <r>
      <rPr>
        <b val="true"/>
        <sz val="9"/>
        <color rgb="FFFFFFFF"/>
        <rFont val="FreeSans"/>
        <family val="2"/>
      </rPr>
      <t xml:space="preserve">เลขที่ </t>
    </r>
    <r>
      <rPr>
        <b val="true"/>
        <sz val="9"/>
        <color rgb="FFFFFFFF"/>
        <rFont val="Tahoma"/>
        <family val="0"/>
        <charset val="1"/>
      </rPr>
      <t xml:space="preserve">VO /
</t>
    </r>
    <r>
      <rPr>
        <b val="true"/>
        <sz val="9"/>
        <color rgb="FFFFFFFF"/>
        <rFont val="FreeSans"/>
        <family val="2"/>
      </rPr>
      <t xml:space="preserve">หนังสือ</t>
    </r>
  </si>
  <si>
    <t xml:space="preserve">รายละเอียดงานที่เปลี่ยนแปลง</t>
  </si>
  <si>
    <r>
      <rPr>
        <b val="true"/>
        <sz val="9"/>
        <color rgb="FFFFFFFF"/>
        <rFont val="Tahoma"/>
        <family val="0"/>
        <charset val="1"/>
      </rPr>
      <t xml:space="preserve">WBS </t>
    </r>
    <r>
      <rPr>
        <b val="true"/>
        <sz val="9"/>
        <color rgb="FFFFFFFF"/>
        <rFont val="FreeSans"/>
        <family val="2"/>
      </rPr>
      <t xml:space="preserve">ที่
เกี่ยวข้อง</t>
    </r>
  </si>
  <si>
    <t xml:space="preserve">ประเภท</t>
  </si>
  <si>
    <r>
      <rPr>
        <b val="true"/>
        <sz val="9"/>
        <color rgb="FFFFFFFF"/>
        <rFont val="FreeSans"/>
        <family val="2"/>
      </rPr>
      <t xml:space="preserve">จำนวนเงินที่เสนอ
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บาท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</si>
  <si>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ผลพิจารณา</t>
  </si>
  <si>
    <r>
      <rPr>
        <b val="true"/>
        <sz val="9"/>
        <color rgb="FFFFFFFF"/>
        <rFont val="FreeSans"/>
        <family val="2"/>
      </rPr>
      <t xml:space="preserve">จำนวนเงิน
ที่อนุมัติ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บาท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</si>
  <si>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วันที่
อนุมัติ</t>
  </si>
  <si>
    <r>
      <rPr>
        <b val="true"/>
        <sz val="9"/>
        <color rgb="FFFFFFFF"/>
        <rFont val="FreeSans"/>
        <family val="2"/>
      </rPr>
      <t xml:space="preserve">ผลต่อเวลา
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</si>
  <si>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มูลค่าสุทธิ
เข้าสัญญา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บาท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</si>
  <si>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VO-01/2569</t>
  </si>
  <si>
    <r>
      <rPr>
        <sz val="10"/>
        <color rgb="FF0000FF"/>
        <rFont val="Tahoma"/>
        <family val="0"/>
        <charset val="1"/>
      </rPr>
      <t xml:space="preserve">(</t>
    </r>
    <r>
      <rPr>
        <sz val="10"/>
        <color rgb="FF0000FF"/>
        <rFont val="FreeSans"/>
        <family val="2"/>
      </rPr>
      <t xml:space="preserve">ตัวอย่าง</t>
    </r>
    <r>
      <rPr>
        <sz val="10"/>
        <color rgb="FF0000FF"/>
        <rFont val="Tahoma"/>
        <family val="0"/>
        <charset val="1"/>
      </rPr>
      <t xml:space="preserve">) </t>
    </r>
    <r>
      <rPr>
        <sz val="10"/>
        <color rgb="FF0000FF"/>
        <rFont val="FreeSans"/>
        <family val="2"/>
      </rPr>
      <t xml:space="preserve">แก้ไขแบบบ่อพักและท่อลอด เพิ่มบ่อพัก </t>
    </r>
    <r>
      <rPr>
        <sz val="10"/>
        <color rgb="FF0000FF"/>
        <rFont val="Tahoma"/>
        <family val="0"/>
        <charset val="1"/>
      </rPr>
      <t xml:space="preserve">4 </t>
    </r>
    <r>
      <rPr>
        <sz val="10"/>
        <color rgb="FF0000FF"/>
        <rFont val="FreeSans"/>
        <family val="2"/>
      </rPr>
      <t xml:space="preserve">บ่อ</t>
    </r>
  </si>
  <si>
    <t xml:space="preserve">3.3.02</t>
  </si>
  <si>
    <t xml:space="preserve">งานเพิ่ม</t>
  </si>
  <si>
    <t xml:space="preserve">อนุมัติ</t>
  </si>
  <si>
    <t xml:space="preserve">ตามหนังสือผู้ว่าจ้าง</t>
  </si>
  <si>
    <t xml:space="preserve">VO-02/2569</t>
  </si>
  <si>
    <r>
      <rPr>
        <sz val="10"/>
        <color rgb="FF0000FF"/>
        <rFont val="Tahoma"/>
        <family val="0"/>
        <charset val="1"/>
      </rPr>
      <t xml:space="preserve">(</t>
    </r>
    <r>
      <rPr>
        <sz val="10"/>
        <color rgb="FF0000FF"/>
        <rFont val="FreeSans"/>
        <family val="2"/>
      </rPr>
      <t xml:space="preserve">ตัวอย่าง</t>
    </r>
    <r>
      <rPr>
        <sz val="10"/>
        <color rgb="FF0000FF"/>
        <rFont val="Tahoma"/>
        <family val="0"/>
        <charset val="1"/>
      </rPr>
      <t xml:space="preserve">) </t>
    </r>
    <r>
      <rPr>
        <sz val="10"/>
        <color rgb="FF0000FF"/>
        <rFont val="FreeSans"/>
        <family val="2"/>
      </rPr>
      <t xml:space="preserve">ปรับลดความยาวรั้วด้านทิศเหนือ </t>
    </r>
    <r>
      <rPr>
        <sz val="10"/>
        <color rgb="FF0000FF"/>
        <rFont val="Tahoma"/>
        <family val="0"/>
        <charset val="1"/>
      </rPr>
      <t xml:space="preserve">40 </t>
    </r>
    <r>
      <rPr>
        <sz val="10"/>
        <color rgb="FF0000FF"/>
        <rFont val="FreeSans"/>
        <family val="2"/>
      </rPr>
      <t xml:space="preserve">ม</t>
    </r>
    <r>
      <rPr>
        <sz val="10"/>
        <color rgb="FF0000FF"/>
        <rFont val="Tahoma"/>
        <family val="0"/>
        <charset val="1"/>
      </rPr>
      <t xml:space="preserve">.</t>
    </r>
  </si>
  <si>
    <t xml:space="preserve">5.4.01</t>
  </si>
  <si>
    <t xml:space="preserve">งานลด</t>
  </si>
  <si>
    <t xml:space="preserve">รอพิจารณา</t>
  </si>
  <si>
    <r>
      <rPr>
        <b val="true"/>
        <sz val="16"/>
        <color rgb="FF1F3864"/>
        <rFont val="FreeSans"/>
        <family val="2"/>
      </rPr>
      <t xml:space="preserve">คำนวณเงินงวด </t>
    </r>
    <r>
      <rPr>
        <b val="true"/>
        <sz val="16"/>
        <color rgb="FF1F3864"/>
        <rFont val="Tahoma"/>
        <family val="0"/>
        <charset val="1"/>
      </rPr>
      <t xml:space="preserve">/ Payment Certificate: </t>
    </r>
    <r>
      <rPr>
        <b val="true"/>
        <sz val="16"/>
        <color rgb="FF1F3864"/>
        <rFont val="FreeSans"/>
        <family val="2"/>
      </rPr>
      <t xml:space="preserve">เงินล่วงหน้า • เงินประกันผลงาน • ค่า </t>
    </r>
    <r>
      <rPr>
        <b val="true"/>
        <sz val="16"/>
        <color rgb="FF1F3864"/>
        <rFont val="Tahoma"/>
        <family val="0"/>
        <charset val="1"/>
      </rPr>
      <t xml:space="preserve">K</t>
    </r>
  </si>
  <si>
    <r>
      <rPr>
        <i val="true"/>
        <sz val="9"/>
        <color rgb="FF595959"/>
        <rFont val="FreeSans"/>
        <family val="2"/>
      </rPr>
      <t xml:space="preserve">ดึงงวดงานจากชีต งวดงาน </t>
    </r>
    <r>
      <rPr>
        <i val="true"/>
        <sz val="9"/>
        <color rgb="FF595959"/>
        <rFont val="Tahoma"/>
        <family val="0"/>
        <charset val="1"/>
      </rPr>
      <t xml:space="preserve">Installments • </t>
    </r>
    <r>
      <rPr>
        <i val="true"/>
        <sz val="9"/>
        <color rgb="FF595959"/>
        <rFont val="FreeSans"/>
        <family val="2"/>
      </rPr>
      <t xml:space="preserve">กรอกดัชนีราคาเดือนส่งมอบงาน </t>
    </r>
    <r>
      <rPr>
        <i val="true"/>
        <sz val="9"/>
        <color rgb="FF595959"/>
        <rFont val="Tahoma"/>
        <family val="0"/>
        <charset val="1"/>
      </rPr>
      <t xml:space="preserve">(It) </t>
    </r>
    <r>
      <rPr>
        <i val="true"/>
        <sz val="9"/>
        <color rgb="FF595959"/>
        <rFont val="FreeSans"/>
        <family val="2"/>
      </rPr>
      <t xml:space="preserve">เพื่อคำนวณค่า </t>
    </r>
    <r>
      <rPr>
        <i val="true"/>
        <sz val="9"/>
        <color rgb="FF595959"/>
        <rFont val="Tahoma"/>
        <family val="0"/>
        <charset val="1"/>
      </rPr>
      <t xml:space="preserve">K • </t>
    </r>
    <r>
      <rPr>
        <i val="true"/>
        <sz val="9"/>
        <color rgb="FF595959"/>
        <rFont val="FreeSans"/>
        <family val="2"/>
      </rPr>
      <t xml:space="preserve">ตรวจสอบอัตราทั้งหมดกับเงื่อนไขในสัญญา</t>
    </r>
  </si>
  <si>
    <t xml:space="preserve">เงื่อนไขสัญญา</t>
  </si>
  <si>
    <t xml:space="preserve">ค่า</t>
  </si>
  <si>
    <r>
      <rPr>
        <b val="true"/>
        <sz val="9"/>
        <color rgb="FFFFFFFF"/>
        <rFont val="FreeSans"/>
        <family val="2"/>
      </rPr>
      <t xml:space="preserve">สูตรค่า </t>
    </r>
    <r>
      <rPr>
        <b val="true"/>
        <sz val="9"/>
        <color rgb="FFFFFFFF"/>
        <rFont val="Tahoma"/>
        <family val="0"/>
        <charset val="1"/>
      </rPr>
      <t xml:space="preserve">K</t>
    </r>
  </si>
  <si>
    <t xml:space="preserve">สัมประสิทธิ์</t>
  </si>
  <si>
    <r>
      <rPr>
        <b val="true"/>
        <sz val="9"/>
        <color rgb="FFFFFFFF"/>
        <rFont val="Tahoma"/>
        <family val="0"/>
        <charset val="1"/>
      </rPr>
      <t xml:space="preserve">Io (</t>
    </r>
    <r>
      <rPr>
        <b val="true"/>
        <sz val="9"/>
        <color rgb="FFFFFFFF"/>
        <rFont val="FreeSans"/>
        <family val="2"/>
      </rPr>
      <t xml:space="preserve">ฐาน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</si>
  <si>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ดัชนี</t>
  </si>
  <si>
    <t xml:space="preserve">สรุป</t>
  </si>
  <si>
    <t xml:space="preserve">บาท</t>
  </si>
  <si>
    <r>
      <rPr>
        <sz val="9"/>
        <rFont val="FreeSans"/>
        <family val="2"/>
      </rPr>
      <t xml:space="preserve">มูลค่าสัญญาปัจจุบัน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รวม </t>
    </r>
    <r>
      <rPr>
        <sz val="9"/>
        <rFont val="Tahoma"/>
        <family val="0"/>
        <charset val="1"/>
      </rPr>
      <t xml:space="preserve">VO </t>
    </r>
    <r>
      <rPr>
        <sz val="9"/>
        <rFont val="FreeSans"/>
        <family val="2"/>
      </rPr>
      <t xml:space="preserve">อนุมัติ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</si>
  <si>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ค่าคงที่ </t>
    </r>
    <r>
      <rPr>
        <sz val="9"/>
        <rFont val="Tahoma"/>
        <family val="0"/>
        <charset val="1"/>
      </rPr>
      <t xml:space="preserve">a</t>
    </r>
  </si>
  <si>
    <r>
      <rPr>
        <sz val="9"/>
        <rFont val="FreeSans"/>
        <family val="2"/>
      </rPr>
      <t xml:space="preserve">เงินล่วงหน้าคงเหลือ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หลังงวดที่ตรวจรับแล้ว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</si>
  <si>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เงินล่วงหน้า </t>
    </r>
    <r>
      <rPr>
        <sz val="9"/>
        <rFont val="Tahoma"/>
        <family val="0"/>
        <charset val="1"/>
      </rPr>
      <t xml:space="preserve">(% </t>
    </r>
    <r>
      <rPr>
        <sz val="9"/>
        <rFont val="FreeSans"/>
        <family val="2"/>
      </rPr>
      <t xml:space="preserve">ของสัญญาเดิม</t>
    </r>
    <r>
      <rPr>
        <sz val="9"/>
        <rFont val="Tahoma"/>
        <family val="0"/>
        <charset val="1"/>
      </rPr>
      <t xml:space="preserve">)</t>
    </r>
  </si>
  <si>
    <t xml:space="preserve">It/Io</t>
  </si>
  <si>
    <t xml:space="preserve">ดัชนีราคาผู้บริโภคทั่วไป</t>
  </si>
  <si>
    <r>
      <rPr>
        <sz val="9"/>
        <rFont val="FreeSans"/>
        <family val="2"/>
      </rPr>
      <t xml:space="preserve">เงินประกันผลงานที่ถูกหักแล้ว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งวดที่ตรวจรับแล้ว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</si>
  <si>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จำนวนเงินล่วงหน้าที่รับ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)</t>
    </r>
  </si>
  <si>
    <t xml:space="preserve">Ct/Co</t>
  </si>
  <si>
    <t xml:space="preserve">ดัชนีราคาซีเมนต์</t>
  </si>
  <si>
    <r>
      <rPr>
        <sz val="9"/>
        <rFont val="FreeSans"/>
        <family val="2"/>
      </rPr>
      <t xml:space="preserve">ยอดจ่ายสุทธิสะสม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งวดที่ตรวจรับแล้ว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</si>
  <si>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หักเงินประกันผลงาน </t>
    </r>
    <r>
      <rPr>
        <sz val="9"/>
        <rFont val="Tahoma"/>
        <family val="0"/>
        <charset val="1"/>
      </rPr>
      <t xml:space="preserve">(% </t>
    </r>
    <r>
      <rPr>
        <sz val="9"/>
        <rFont val="FreeSans"/>
        <family val="2"/>
      </rPr>
      <t xml:space="preserve">ต่องวด</t>
    </r>
    <r>
      <rPr>
        <sz val="9"/>
        <rFont val="Tahoma"/>
        <family val="0"/>
        <charset val="1"/>
      </rPr>
      <t xml:space="preserve">)</t>
    </r>
  </si>
  <si>
    <t xml:space="preserve">Mt/Mo</t>
  </si>
  <si>
    <t xml:space="preserve">ดัชนีราคาวัสดุก่อสร้าง</t>
  </si>
  <si>
    <r>
      <rPr>
        <sz val="9"/>
        <rFont val="FreeSans"/>
        <family val="2"/>
      </rPr>
      <t xml:space="preserve">เกณฑ์ค่า </t>
    </r>
    <r>
      <rPr>
        <sz val="9"/>
        <rFont val="Tahoma"/>
        <family val="0"/>
        <charset val="1"/>
      </rPr>
      <t xml:space="preserve">K (</t>
    </r>
    <r>
      <rPr>
        <sz val="9"/>
        <rFont val="FreeSans"/>
        <family val="2"/>
      </rPr>
      <t xml:space="preserve">คิดเฉพาะส่วนที่เกิน </t>
    </r>
    <r>
      <rPr>
        <sz val="9"/>
        <rFont val="Tahoma"/>
        <family val="0"/>
        <charset val="1"/>
      </rPr>
      <t xml:space="preserve">±)</t>
    </r>
  </si>
  <si>
    <t xml:space="preserve">St/So</t>
  </si>
  <si>
    <t xml:space="preserve">ดัชนีราคาเหล็ก</t>
  </si>
  <si>
    <r>
      <rPr>
        <sz val="9"/>
        <rFont val="FreeSans"/>
        <family val="2"/>
      </rPr>
      <t xml:space="preserve">ใช้ค่า </t>
    </r>
    <r>
      <rPr>
        <sz val="9"/>
        <rFont val="Tahoma"/>
        <family val="0"/>
        <charset val="1"/>
      </rPr>
      <t xml:space="preserve">K </t>
    </r>
    <r>
      <rPr>
        <sz val="9"/>
        <rFont val="FreeSans"/>
        <family val="2"/>
      </rPr>
      <t xml:space="preserve">ในสัญญานี้หรือไม่</t>
    </r>
  </si>
  <si>
    <t xml:space="preserve">ใช้</t>
  </si>
  <si>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ว่าง</t>
    </r>
    <r>
      <rPr>
        <sz val="9"/>
        <rFont val="Tahoma"/>
        <family val="0"/>
        <charset val="1"/>
      </rPr>
      <t xml:space="preserve">)</t>
    </r>
  </si>
  <si>
    <r>
      <rPr>
        <sz val="9"/>
        <rFont val="FreeSans"/>
        <family val="2"/>
      </rPr>
      <t xml:space="preserve">ผลรวมสัมประสิทธิ์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ต้อง </t>
    </r>
    <r>
      <rPr>
        <sz val="9"/>
        <rFont val="Tahoma"/>
        <family val="0"/>
        <charset val="1"/>
      </rPr>
      <t xml:space="preserve">= 1.00)</t>
    </r>
  </si>
  <si>
    <r>
      <rPr>
        <i val="true"/>
        <sz val="8"/>
        <color rgb="FFC00000"/>
        <rFont val="FreeSans"/>
        <family val="2"/>
      </rPr>
      <t xml:space="preserve">ตัวอย่างสูตรงานอาคาร </t>
    </r>
    <r>
      <rPr>
        <i val="true"/>
        <sz val="8"/>
        <color rgb="FFC00000"/>
        <rFont val="Tahoma"/>
        <family val="0"/>
        <charset val="1"/>
      </rPr>
      <t xml:space="preserve">K = 0.25 + 0.15It/Io + 0.10Ct/Co + 0.40Mt/Mo + 0.10St/So • Io = </t>
    </r>
    <r>
      <rPr>
        <i val="true"/>
        <sz val="8"/>
        <color rgb="FFC00000"/>
        <rFont val="FreeSans"/>
        <family val="2"/>
      </rPr>
      <t xml:space="preserve">ดัชนีเดือนเปิดซอง • ต้องใช้สูตรตามที่ระบุในสัญญา</t>
    </r>
  </si>
  <si>
    <r>
      <rPr>
        <b val="true"/>
        <sz val="9"/>
        <color rgb="FFFFFFFF"/>
        <rFont val="FreeSans"/>
        <family val="2"/>
      </rPr>
      <t xml:space="preserve">วันที่ส่งมอบ
</t>
    </r>
    <r>
      <rPr>
        <b val="true"/>
        <sz val="9"/>
        <color rgb="FFFFFFFF"/>
        <rFont val="Tahoma"/>
        <family val="0"/>
        <charset val="1"/>
      </rPr>
      <t xml:space="preserve">/</t>
    </r>
    <r>
      <rPr>
        <b val="true"/>
        <sz val="9"/>
        <color rgb="FFFFFFFF"/>
        <rFont val="FreeSans"/>
        <family val="2"/>
      </rPr>
      <t xml:space="preserve">ตรวจรับ</t>
    </r>
  </si>
  <si>
    <t xml:space="preserve">จำนวนเงิน
ตามสัญญา</t>
  </si>
  <si>
    <r>
      <rPr>
        <b val="true"/>
        <sz val="9"/>
        <color rgb="FFFFFFFF"/>
        <rFont val="Tahoma"/>
        <family val="0"/>
        <charset val="1"/>
      </rPr>
      <t xml:space="preserve">VO </t>
    </r>
    <r>
      <rPr>
        <b val="true"/>
        <sz val="9"/>
        <color rgb="FFFFFFFF"/>
        <rFont val="FreeSans"/>
        <family val="2"/>
      </rPr>
      <t xml:space="preserve">ที่รวม
ในงวดนี้</t>
    </r>
  </si>
  <si>
    <t xml:space="preserve">มูลค่างานงวด</t>
  </si>
  <si>
    <t xml:space="preserve">It1</t>
  </si>
  <si>
    <t xml:space="preserve">It2</t>
  </si>
  <si>
    <t xml:space="preserve">It3</t>
  </si>
  <si>
    <t xml:space="preserve">It4</t>
  </si>
  <si>
    <t xml:space="preserve">It5</t>
  </si>
  <si>
    <r>
      <rPr>
        <b val="true"/>
        <sz val="9"/>
        <color rgb="FFFFFFFF"/>
        <rFont val="FreeSans"/>
        <family val="2"/>
      </rPr>
      <t xml:space="preserve">ค่า </t>
    </r>
    <r>
      <rPr>
        <b val="true"/>
        <sz val="9"/>
        <color rgb="FFFFFFFF"/>
        <rFont val="Tahoma"/>
        <family val="0"/>
        <charset val="1"/>
      </rPr>
      <t xml:space="preserve">K</t>
    </r>
  </si>
  <si>
    <r>
      <rPr>
        <b val="true"/>
        <sz val="9"/>
        <color rgb="FFFFFFFF"/>
        <rFont val="FreeSans"/>
        <family val="2"/>
      </rPr>
      <t xml:space="preserve">เงินเพิ่ม</t>
    </r>
    <r>
      <rPr>
        <b val="true"/>
        <sz val="9"/>
        <color rgb="FFFFFFFF"/>
        <rFont val="Tahoma"/>
        <family val="0"/>
        <charset val="1"/>
      </rPr>
      <t xml:space="preserve">(+)/</t>
    </r>
    <r>
      <rPr>
        <b val="true"/>
        <sz val="9"/>
        <color rgb="FFFFFFFF"/>
        <rFont val="FreeSans"/>
        <family val="2"/>
      </rPr>
      <t xml:space="preserve">ลด</t>
    </r>
    <r>
      <rPr>
        <b val="true"/>
        <sz val="9"/>
        <color rgb="FFFFFFFF"/>
        <rFont val="Tahoma"/>
        <family val="0"/>
        <charset val="1"/>
      </rPr>
      <t xml:space="preserve">(−)
</t>
    </r>
    <r>
      <rPr>
        <b val="true"/>
        <sz val="9"/>
        <color rgb="FFFFFFFF"/>
        <rFont val="FreeSans"/>
        <family val="2"/>
      </rPr>
      <t xml:space="preserve">ค่า </t>
    </r>
    <r>
      <rPr>
        <b val="true"/>
        <sz val="9"/>
        <color rgb="FFFFFFFF"/>
        <rFont val="Tahoma"/>
        <family val="0"/>
        <charset val="1"/>
      </rPr>
      <t xml:space="preserve">K</t>
    </r>
  </si>
  <si>
    <t xml:space="preserve">หักเงิน
ล่วงหน้า</t>
  </si>
  <si>
    <t xml:space="preserve">หักเงินประกัน
ผลงาน</t>
  </si>
  <si>
    <t xml:space="preserve">หักค่าปรับ</t>
  </si>
  <si>
    <t xml:space="preserve">ยอดจ่ายสุทธิ</t>
  </si>
  <si>
    <t xml:space="preserve">สถานะงวด</t>
  </si>
  <si>
    <t xml:space="preserve">รวม</t>
  </si>
  <si>
    <r>
      <rPr>
        <i val="true"/>
        <sz val="8"/>
        <color rgb="FF808080"/>
        <rFont val="FreeSans"/>
        <family val="2"/>
      </rPr>
      <t xml:space="preserve">สูตร</t>
    </r>
    <r>
      <rPr>
        <i val="true"/>
        <sz val="8"/>
        <color rgb="FF808080"/>
        <rFont val="Tahoma"/>
        <family val="0"/>
        <charset val="1"/>
      </rPr>
      <t xml:space="preserve">: </t>
    </r>
    <r>
      <rPr>
        <i val="true"/>
        <sz val="8"/>
        <color rgb="FF808080"/>
        <rFont val="FreeSans"/>
        <family val="2"/>
      </rPr>
      <t xml:space="preserve">ค่า </t>
    </r>
    <r>
      <rPr>
        <i val="true"/>
        <sz val="8"/>
        <color rgb="FF808080"/>
        <rFont val="Tahoma"/>
        <family val="0"/>
        <charset val="1"/>
      </rPr>
      <t xml:space="preserve">K </t>
    </r>
    <r>
      <rPr>
        <i val="true"/>
        <sz val="8"/>
        <color rgb="FF808080"/>
        <rFont val="FreeSans"/>
        <family val="2"/>
      </rPr>
      <t xml:space="preserve">เงินเพิ่ม</t>
    </r>
    <r>
      <rPr>
        <i val="true"/>
        <sz val="8"/>
        <color rgb="FF808080"/>
        <rFont val="Tahoma"/>
        <family val="0"/>
        <charset val="1"/>
      </rPr>
      <t xml:space="preserve">/</t>
    </r>
    <r>
      <rPr>
        <i val="true"/>
        <sz val="8"/>
        <color rgb="FF808080"/>
        <rFont val="FreeSans"/>
        <family val="2"/>
      </rPr>
      <t xml:space="preserve">ลด </t>
    </r>
    <r>
      <rPr>
        <i val="true"/>
        <sz val="8"/>
        <color rgb="FF808080"/>
        <rFont val="Tahoma"/>
        <family val="0"/>
        <charset val="1"/>
      </rPr>
      <t xml:space="preserve">= </t>
    </r>
    <r>
      <rPr>
        <i val="true"/>
        <sz val="8"/>
        <color rgb="FF808080"/>
        <rFont val="FreeSans"/>
        <family val="2"/>
      </rPr>
      <t xml:space="preserve">มูลค่างานงวด </t>
    </r>
    <r>
      <rPr>
        <i val="true"/>
        <sz val="8"/>
        <color rgb="FF808080"/>
        <rFont val="Tahoma"/>
        <family val="0"/>
        <charset val="1"/>
      </rPr>
      <t xml:space="preserve">× (K − 1 ∓ </t>
    </r>
    <r>
      <rPr>
        <i val="true"/>
        <sz val="8"/>
        <color rgb="FF808080"/>
        <rFont val="FreeSans"/>
        <family val="2"/>
      </rPr>
      <t xml:space="preserve">เกณฑ์</t>
    </r>
    <r>
      <rPr>
        <i val="true"/>
        <sz val="8"/>
        <color rgb="FF808080"/>
        <rFont val="Tahoma"/>
        <family val="0"/>
        <charset val="1"/>
      </rPr>
      <t xml:space="preserve">) </t>
    </r>
    <r>
      <rPr>
        <i val="true"/>
        <sz val="8"/>
        <color rgb="FF808080"/>
        <rFont val="FreeSans"/>
        <family val="2"/>
      </rPr>
      <t xml:space="preserve">เฉพาะเมื่อ </t>
    </r>
    <r>
      <rPr>
        <i val="true"/>
        <sz val="8"/>
        <color rgb="FF808080"/>
        <rFont val="Tahoma"/>
        <family val="0"/>
        <charset val="1"/>
      </rPr>
      <t xml:space="preserve">K </t>
    </r>
    <r>
      <rPr>
        <i val="true"/>
        <sz val="8"/>
        <color rgb="FF808080"/>
        <rFont val="FreeSans"/>
        <family val="2"/>
      </rPr>
      <t xml:space="preserve">เปลี่ยนเกินเกณฑ์ • หักเงินล่วงหน้าตามสัดส่วน </t>
    </r>
    <r>
      <rPr>
        <i val="true"/>
        <sz val="8"/>
        <color rgb="FF808080"/>
        <rFont val="Tahoma"/>
        <family val="0"/>
        <charset val="1"/>
      </rPr>
      <t xml:space="preserve">= </t>
    </r>
    <r>
      <rPr>
        <i val="true"/>
        <sz val="8"/>
        <color rgb="FF808080"/>
        <rFont val="FreeSans"/>
        <family val="2"/>
      </rPr>
      <t xml:space="preserve">มูลค่างานงวด </t>
    </r>
    <r>
      <rPr>
        <i val="true"/>
        <sz val="8"/>
        <color rgb="FF808080"/>
        <rFont val="Tahoma"/>
        <family val="0"/>
        <charset val="1"/>
      </rPr>
      <t xml:space="preserve">× % </t>
    </r>
    <r>
      <rPr>
        <i val="true"/>
        <sz val="8"/>
        <color rgb="FF808080"/>
        <rFont val="FreeSans"/>
        <family val="2"/>
      </rPr>
      <t xml:space="preserve">เงินล่วงหน้า • ยอดสุทธิยังไม่รวมภาษีมูลค่าเพิ่ม</t>
    </r>
    <r>
      <rPr>
        <i val="true"/>
        <sz val="8"/>
        <color rgb="FF808080"/>
        <rFont val="Tahoma"/>
        <family val="0"/>
        <charset val="1"/>
      </rPr>
      <t xml:space="preserve">/</t>
    </r>
    <r>
      <rPr>
        <i val="true"/>
        <sz val="8"/>
        <color rgb="FF808080"/>
        <rFont val="FreeSans"/>
        <family val="2"/>
      </rPr>
      <t xml:space="preserve">ภาษีหัก ณ ที่จ่าย – ปรับตามสัญญาและระเบียบของหน่วยงาน</t>
    </r>
  </si>
  <si>
    <r>
      <rPr>
        <b val="true"/>
        <sz val="16"/>
        <color rgb="FF1F3864"/>
        <rFont val="FreeSans"/>
        <family val="2"/>
      </rPr>
      <t xml:space="preserve">ทะเบียนขออนุมัติวัสดุ </t>
    </r>
    <r>
      <rPr>
        <b val="true"/>
        <sz val="16"/>
        <color rgb="FF1F3864"/>
        <rFont val="Tahoma"/>
        <family val="0"/>
        <charset val="1"/>
      </rPr>
      <t xml:space="preserve">/ Material Submittal Register (</t>
    </r>
    <r>
      <rPr>
        <b val="true"/>
        <sz val="16"/>
        <color rgb="FF1F3864"/>
        <rFont val="FreeSans"/>
        <family val="2"/>
      </rPr>
      <t xml:space="preserve">เชื่อมกับแผนงาน</t>
    </r>
    <r>
      <rPr>
        <b val="true"/>
        <sz val="16"/>
        <color rgb="FF1F3864"/>
        <rFont val="Tahoma"/>
        <family val="0"/>
        <charset val="1"/>
      </rPr>
      <t xml:space="preserve">)</t>
    </r>
  </si>
  <si>
    <r>
      <rPr>
        <i val="true"/>
        <sz val="9"/>
        <color rgb="FF595959"/>
        <rFont val="FreeSans"/>
        <family val="2"/>
      </rPr>
      <t xml:space="preserve">เลือก </t>
    </r>
    <r>
      <rPr>
        <i val="true"/>
        <sz val="9"/>
        <color rgb="FF595959"/>
        <rFont val="Tahoma"/>
        <family val="0"/>
        <charset val="1"/>
      </rPr>
      <t xml:space="preserve">WBS </t>
    </r>
    <r>
      <rPr>
        <i val="true"/>
        <sz val="9"/>
        <color rgb="FF595959"/>
        <rFont val="FreeSans"/>
        <family val="2"/>
      </rPr>
      <t xml:space="preserve">ที่ใช้วัสดุ → ระบบดึงวันเริ่มงาน แล้วคำนวณวันที่ต้องได้รับอนุมัติ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วันเริ่มงาน − ระยะเวลาสั่งผลิต</t>
    </r>
    <r>
      <rPr>
        <i val="true"/>
        <sz val="9"/>
        <color rgb="FF595959"/>
        <rFont val="Tahoma"/>
        <family val="0"/>
        <charset val="1"/>
      </rPr>
      <t xml:space="preserve">/</t>
    </r>
    <r>
      <rPr>
        <i val="true"/>
        <sz val="9"/>
        <color rgb="FF595959"/>
        <rFont val="FreeSans"/>
        <family val="2"/>
      </rPr>
      <t xml:space="preserve">จัดส่ง • ผลตรวจจากแอปเช็คลิสต์วัสดุ กฟภ</t>
    </r>
    <r>
      <rPr>
        <i val="true"/>
        <sz val="9"/>
        <color rgb="FF595959"/>
        <rFont val="Tahoma"/>
        <family val="0"/>
        <charset val="1"/>
      </rPr>
      <t xml:space="preserve">. </t>
    </r>
    <r>
      <rPr>
        <i val="true"/>
        <sz val="9"/>
        <color rgb="FF595959"/>
        <rFont val="FreeSans"/>
        <family val="2"/>
      </rPr>
      <t xml:space="preserve">ใส่ในคอลัมน์ผลตรวจ </t>
    </r>
    <r>
      <rPr>
        <i val="true"/>
        <sz val="9"/>
        <color rgb="FF595959"/>
        <rFont val="Tahoma"/>
        <family val="0"/>
        <charset val="1"/>
      </rPr>
      <t xml:space="preserve">AI</t>
    </r>
  </si>
  <si>
    <t xml:space="preserve">ทั้งหมด</t>
  </si>
  <si>
    <r>
      <rPr>
        <b val="true"/>
        <sz val="9"/>
        <color rgb="FF595959"/>
        <rFont val="FreeSans"/>
        <family val="2"/>
      </rPr>
      <t xml:space="preserve">รอพิจารณา </t>
    </r>
    <r>
      <rPr>
        <b val="true"/>
        <sz val="9"/>
        <color rgb="FF595959"/>
        <rFont val="Tahoma"/>
        <family val="0"/>
        <charset val="1"/>
      </rPr>
      <t xml:space="preserve">/ </t>
    </r>
    <r>
      <rPr>
        <b val="true"/>
        <sz val="9"/>
        <color rgb="FF595959"/>
        <rFont val="FreeSans"/>
        <family val="2"/>
      </rPr>
      <t xml:space="preserve">ขอเอกสารเพิ่ม</t>
    </r>
  </si>
  <si>
    <t xml:space="preserve">ไม่อนุมัติ</t>
  </si>
  <si>
    <t xml:space="preserve">⚠ เสี่ยงกระทบแผนงาน</t>
  </si>
  <si>
    <r>
      <rPr>
        <i val="true"/>
        <sz val="9"/>
        <color rgb="FF595959"/>
        <rFont val="FreeSans"/>
        <family val="2"/>
      </rPr>
      <t xml:space="preserve">ลำดับการใช้งาน</t>
    </r>
    <r>
      <rPr>
        <i val="true"/>
        <sz val="9"/>
        <color rgb="FF595959"/>
        <rFont val="Tahoma"/>
        <family val="0"/>
        <charset val="1"/>
      </rPr>
      <t xml:space="preserve">: </t>
    </r>
    <r>
      <rPr>
        <i val="true"/>
        <sz val="9"/>
        <color rgb="FF595959"/>
        <rFont val="FreeSans"/>
        <family val="2"/>
      </rPr>
      <t xml:space="preserve">ตรวจสเปกด้วยแอปเช็คลิสต์วัสดุ กฟภ</t>
    </r>
    <r>
      <rPr>
        <i val="true"/>
        <sz val="9"/>
        <color rgb="FF595959"/>
        <rFont val="Tahoma"/>
        <family val="0"/>
        <charset val="1"/>
      </rPr>
      <t xml:space="preserve">. → </t>
    </r>
    <r>
      <rPr>
        <i val="true"/>
        <sz val="9"/>
        <color rgb="FF595959"/>
        <rFont val="FreeSans"/>
        <family val="2"/>
      </rPr>
      <t xml:space="preserve">บันทึกผลลงทะเบียนนี้ → ติดตามจนได้รับอนุมัติก่อนวันที่กำหนด</t>
    </r>
  </si>
  <si>
    <t xml:space="preserve">เลขที่เอกสาร
ขออนุมัติ</t>
  </si>
  <si>
    <t xml:space="preserve">หมวดตามรายการ
ประกอบแบบ</t>
  </si>
  <si>
    <t xml:space="preserve">รายการวัสดุ</t>
  </si>
  <si>
    <r>
      <rPr>
        <b val="true"/>
        <sz val="9"/>
        <color rgb="FFFFFFFF"/>
        <rFont val="FreeSans"/>
        <family val="2"/>
      </rPr>
      <t xml:space="preserve">ยี่ห้อ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รุ่น
ที่เสนอ</t>
    </r>
  </si>
  <si>
    <r>
      <rPr>
        <b val="true"/>
        <sz val="9"/>
        <color rgb="FFFFFFFF"/>
        <rFont val="Tahoma"/>
        <family val="0"/>
        <charset val="1"/>
      </rPr>
      <t xml:space="preserve">WBS
</t>
    </r>
    <r>
      <rPr>
        <b val="true"/>
        <sz val="9"/>
        <color rgb="FFFFFFFF"/>
        <rFont val="FreeSans"/>
        <family val="2"/>
      </rPr>
      <t xml:space="preserve">ที่ใช้วัสดุ</t>
    </r>
  </si>
  <si>
    <t xml:space="preserve">เริ่มงาน
ตามแผน</t>
  </si>
  <si>
    <r>
      <rPr>
        <b val="true"/>
        <sz val="9"/>
        <color rgb="FFFFFFFF"/>
        <rFont val="FreeSans"/>
        <family val="2"/>
      </rPr>
      <t xml:space="preserve">ระยะเวลา
สั่งผลิต
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</si>
  <si>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ต้องอนุมัติ
ภายใน</t>
  </si>
  <si>
    <t xml:space="preserve">วันที่ยื่น</t>
  </si>
  <si>
    <r>
      <rPr>
        <b val="true"/>
        <sz val="9"/>
        <color rgb="FFFFFFFF"/>
        <rFont val="FreeSans"/>
        <family val="2"/>
      </rPr>
      <t xml:space="preserve">ผลตรวจ </t>
    </r>
    <r>
      <rPr>
        <b val="true"/>
        <sz val="9"/>
        <color rgb="FFFFFFFF"/>
        <rFont val="Tahoma"/>
        <family val="0"/>
        <charset val="1"/>
      </rPr>
      <t xml:space="preserve">AI
(</t>
    </r>
    <r>
      <rPr>
        <b val="true"/>
        <sz val="9"/>
        <color rgb="FFFFFFFF"/>
        <rFont val="FreeSans"/>
        <family val="2"/>
      </rPr>
      <t xml:space="preserve">จากแอป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</si>
  <si>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สถานะความเสี่ยง</t>
  </si>
  <si>
    <t xml:space="preserve">SM-001</t>
  </si>
  <si>
    <t xml:space="preserve">งานคอนกรีต</t>
  </si>
  <si>
    <r>
      <rPr>
        <sz val="10"/>
        <color rgb="FF0000FF"/>
        <rFont val="FreeSans"/>
        <family val="2"/>
      </rPr>
      <t xml:space="preserve">คอนกรีตผสมเสร็จ </t>
    </r>
    <r>
      <rPr>
        <sz val="10"/>
        <color rgb="FF0000FF"/>
        <rFont val="Tahoma"/>
        <family val="0"/>
        <charset val="1"/>
      </rPr>
      <t xml:space="preserve">240 ksc</t>
    </r>
  </si>
  <si>
    <r>
      <rPr>
        <sz val="10"/>
        <color rgb="FF0000FF"/>
        <rFont val="Tahoma"/>
        <family val="0"/>
        <charset val="1"/>
      </rPr>
      <t xml:space="preserve">(</t>
    </r>
    <r>
      <rPr>
        <sz val="10"/>
        <color rgb="FF0000FF"/>
        <rFont val="FreeSans"/>
        <family val="2"/>
      </rPr>
      <t xml:space="preserve">ตัวอย่าง</t>
    </r>
    <r>
      <rPr>
        <sz val="10"/>
        <color rgb="FF0000FF"/>
        <rFont val="Tahoma"/>
        <family val="0"/>
        <charset val="1"/>
      </rPr>
      <t xml:space="preserve">) </t>
    </r>
    <r>
      <rPr>
        <sz val="10"/>
        <color rgb="FF0000FF"/>
        <rFont val="FreeSans"/>
        <family val="2"/>
      </rPr>
      <t xml:space="preserve">ยี่ห้อ </t>
    </r>
    <r>
      <rPr>
        <sz val="10"/>
        <color rgb="FF0000FF"/>
        <rFont val="Tahoma"/>
        <family val="0"/>
        <charset val="1"/>
      </rPr>
      <t xml:space="preserve">A</t>
    </r>
  </si>
  <si>
    <t xml:space="preserve">2.3.02</t>
  </si>
  <si>
    <t xml:space="preserve">ผ่าน</t>
  </si>
  <si>
    <t xml:space="preserve">SM-002</t>
  </si>
  <si>
    <t xml:space="preserve">งานเหล็กเสริม</t>
  </si>
  <si>
    <r>
      <rPr>
        <sz val="10"/>
        <color rgb="FF0000FF"/>
        <rFont val="FreeSans"/>
        <family val="2"/>
      </rPr>
      <t xml:space="preserve">เหล็กข้ออ้อย </t>
    </r>
    <r>
      <rPr>
        <sz val="10"/>
        <color rgb="FF0000FF"/>
        <rFont val="Tahoma"/>
        <family val="0"/>
        <charset val="1"/>
      </rPr>
      <t xml:space="preserve">SD40</t>
    </r>
  </si>
  <si>
    <r>
      <rPr>
        <sz val="10"/>
        <color rgb="FF0000FF"/>
        <rFont val="Tahoma"/>
        <family val="0"/>
        <charset val="1"/>
      </rPr>
      <t xml:space="preserve">(</t>
    </r>
    <r>
      <rPr>
        <sz val="10"/>
        <color rgb="FF0000FF"/>
        <rFont val="FreeSans"/>
        <family val="2"/>
      </rPr>
      <t xml:space="preserve">ตัวอย่าง</t>
    </r>
    <r>
      <rPr>
        <sz val="10"/>
        <color rgb="FF0000FF"/>
        <rFont val="Tahoma"/>
        <family val="0"/>
        <charset val="1"/>
      </rPr>
      <t xml:space="preserve">) </t>
    </r>
    <r>
      <rPr>
        <sz val="10"/>
        <color rgb="FF0000FF"/>
        <rFont val="FreeSans"/>
        <family val="2"/>
      </rPr>
      <t xml:space="preserve">ยี่ห้อ </t>
    </r>
    <r>
      <rPr>
        <sz val="10"/>
        <color rgb="FF0000FF"/>
        <rFont val="Tahoma"/>
        <family val="0"/>
        <charset val="1"/>
      </rPr>
      <t xml:space="preserve">B</t>
    </r>
  </si>
  <si>
    <t xml:space="preserve">ขอเอกสารเพิ่มเติม</t>
  </si>
  <si>
    <r>
      <rPr>
        <sz val="10"/>
        <color rgb="FF0000FF"/>
        <rFont val="FreeSans"/>
        <family val="2"/>
      </rPr>
      <t xml:space="preserve">ขอใบ </t>
    </r>
    <r>
      <rPr>
        <sz val="10"/>
        <color rgb="FF0000FF"/>
        <rFont val="Tahoma"/>
        <family val="0"/>
        <charset val="1"/>
      </rPr>
      <t xml:space="preserve">Mill Certificate</t>
    </r>
  </si>
  <si>
    <t xml:space="preserve">SM-003</t>
  </si>
  <si>
    <t xml:space="preserve">งานหลังคา</t>
  </si>
  <si>
    <t xml:space="preserve">แผ่นหลังคาเหล็กเคลือบ</t>
  </si>
  <si>
    <r>
      <rPr>
        <sz val="10"/>
        <color rgb="FF0000FF"/>
        <rFont val="Tahoma"/>
        <family val="0"/>
        <charset val="1"/>
      </rPr>
      <t xml:space="preserve">(</t>
    </r>
    <r>
      <rPr>
        <sz val="10"/>
        <color rgb="FF0000FF"/>
        <rFont val="FreeSans"/>
        <family val="2"/>
      </rPr>
      <t xml:space="preserve">ตัวอย่าง</t>
    </r>
    <r>
      <rPr>
        <sz val="10"/>
        <color rgb="FF0000FF"/>
        <rFont val="Tahoma"/>
        <family val="0"/>
        <charset val="1"/>
      </rPr>
      <t xml:space="preserve">) </t>
    </r>
    <r>
      <rPr>
        <sz val="10"/>
        <color rgb="FF0000FF"/>
        <rFont val="FreeSans"/>
        <family val="2"/>
      </rPr>
      <t xml:space="preserve">ยี่ห้อ </t>
    </r>
    <r>
      <rPr>
        <sz val="10"/>
        <color rgb="FF0000FF"/>
        <rFont val="Tahoma"/>
        <family val="0"/>
        <charset val="1"/>
      </rPr>
      <t xml:space="preserve">C</t>
    </r>
  </si>
  <si>
    <t xml:space="preserve">2.4.01</t>
  </si>
  <si>
    <t xml:space="preserve">ยังไม่ตรวจ</t>
  </si>
  <si>
    <t xml:space="preserve">SM-004</t>
  </si>
  <si>
    <t xml:space="preserve">งานระบายน้ำ</t>
  </si>
  <si>
    <r>
      <rPr>
        <sz val="10"/>
        <color rgb="FF0000FF"/>
        <rFont val="FreeSans"/>
        <family val="2"/>
      </rPr>
      <t xml:space="preserve">ท่อ คสล</t>
    </r>
    <r>
      <rPr>
        <sz val="10"/>
        <color rgb="FF0000FF"/>
        <rFont val="Tahoma"/>
        <family val="0"/>
        <charset val="1"/>
      </rPr>
      <t xml:space="preserve">. </t>
    </r>
    <r>
      <rPr>
        <sz val="10"/>
        <color rgb="FF0000FF"/>
        <rFont val="FreeSans"/>
        <family val="2"/>
      </rPr>
      <t xml:space="preserve">ขนาด </t>
    </r>
    <r>
      <rPr>
        <sz val="10"/>
        <color rgb="FF0000FF"/>
        <rFont val="Tahoma"/>
        <family val="0"/>
        <charset val="1"/>
      </rPr>
      <t xml:space="preserve">0.60 </t>
    </r>
    <r>
      <rPr>
        <sz val="10"/>
        <color rgb="FF0000FF"/>
        <rFont val="FreeSans"/>
        <family val="2"/>
      </rPr>
      <t xml:space="preserve">ม</t>
    </r>
    <r>
      <rPr>
        <sz val="10"/>
        <color rgb="FF0000FF"/>
        <rFont val="Tahoma"/>
        <family val="0"/>
        <charset val="1"/>
      </rPr>
      <t xml:space="preserve">.</t>
    </r>
  </si>
  <si>
    <r>
      <rPr>
        <sz val="10"/>
        <color rgb="FF0000FF"/>
        <rFont val="Tahoma"/>
        <family val="0"/>
        <charset val="1"/>
      </rPr>
      <t xml:space="preserve">(</t>
    </r>
    <r>
      <rPr>
        <sz val="10"/>
        <color rgb="FF0000FF"/>
        <rFont val="FreeSans"/>
        <family val="2"/>
      </rPr>
      <t xml:space="preserve">ตัวอย่าง</t>
    </r>
    <r>
      <rPr>
        <sz val="10"/>
        <color rgb="FF0000FF"/>
        <rFont val="Tahoma"/>
        <family val="0"/>
        <charset val="1"/>
      </rPr>
      <t xml:space="preserve">) </t>
    </r>
    <r>
      <rPr>
        <sz val="10"/>
        <color rgb="FF0000FF"/>
        <rFont val="FreeSans"/>
        <family val="2"/>
      </rPr>
      <t xml:space="preserve">ยี่ห้อ </t>
    </r>
    <r>
      <rPr>
        <sz val="10"/>
        <color rgb="FF0000FF"/>
        <rFont val="Tahoma"/>
        <family val="0"/>
        <charset val="1"/>
      </rPr>
      <t xml:space="preserve">D</t>
    </r>
  </si>
  <si>
    <t xml:space="preserve">ไม่ผ่าน</t>
  </si>
  <si>
    <t xml:space="preserve">ชั้นคุณภาพไม่ตรงตามแบบ</t>
  </si>
  <si>
    <r>
      <rPr>
        <b val="true"/>
        <sz val="16"/>
        <color rgb="FF1F3864"/>
        <rFont val="FreeSans"/>
        <family val="2"/>
      </rPr>
      <t xml:space="preserve">แผนงานและผลการดำเนินงาน </t>
    </r>
    <r>
      <rPr>
        <b val="true"/>
        <sz val="16"/>
        <color rgb="FF1F3864"/>
        <rFont val="Tahoma"/>
        <family val="0"/>
        <charset val="1"/>
      </rPr>
      <t xml:space="preserve">/ Schedule &amp; Progress (3-Level WBS)</t>
    </r>
  </si>
  <si>
    <r>
      <rPr>
        <i val="true"/>
        <sz val="9"/>
        <color rgb="FF595959"/>
        <rFont val="Tahoma"/>
        <family val="0"/>
        <charset val="1"/>
      </rPr>
      <t xml:space="preserve">WBS = </t>
    </r>
    <r>
      <rPr>
        <i val="true"/>
        <sz val="9"/>
        <color rgb="FF595959"/>
        <rFont val="FreeSans"/>
        <family val="2"/>
      </rPr>
      <t xml:space="preserve">งานส่วน</t>
    </r>
    <r>
      <rPr>
        <i val="true"/>
        <sz val="9"/>
        <color rgb="FF595959"/>
        <rFont val="Tahoma"/>
        <family val="0"/>
        <charset val="1"/>
      </rPr>
      <t xml:space="preserve">.</t>
    </r>
    <r>
      <rPr>
        <i val="true"/>
        <sz val="9"/>
        <color rgb="FF595959"/>
        <rFont val="FreeSans"/>
        <family val="2"/>
      </rPr>
      <t xml:space="preserve">หมวดงาน</t>
    </r>
    <r>
      <rPr>
        <i val="true"/>
        <sz val="9"/>
        <color rgb="FF595959"/>
        <rFont val="Tahoma"/>
        <family val="0"/>
        <charset val="1"/>
      </rPr>
      <t xml:space="preserve">.</t>
    </r>
    <r>
      <rPr>
        <i val="true"/>
        <sz val="9"/>
        <color rgb="FF595959"/>
        <rFont val="FreeSans"/>
        <family val="2"/>
      </rPr>
      <t xml:space="preserve">ลำดับ • งานที่ทำพร้อมกันได้ ให้ใส่วันที่ซ้อนกันได้ตามจริง • ใช้ปุ่มกรอง </t>
    </r>
    <r>
      <rPr>
        <i val="true"/>
        <sz val="9"/>
        <color rgb="FF595959"/>
        <rFont val="Tahoma"/>
        <family val="0"/>
        <charset val="1"/>
      </rPr>
      <t xml:space="preserve">(Filter) </t>
    </r>
    <r>
      <rPr>
        <i val="true"/>
        <sz val="9"/>
        <color rgb="FF595959"/>
        <rFont val="FreeSans"/>
        <family val="2"/>
      </rPr>
      <t xml:space="preserve">ที่หัวตารางเพื่อดูทีละงานส่วน</t>
    </r>
  </si>
  <si>
    <t xml:space="preserve">Status Date:</t>
  </si>
  <si>
    <r>
      <rPr>
        <b val="true"/>
        <sz val="9"/>
        <color rgb="FFFFFFFF"/>
        <rFont val="FreeSans"/>
        <family val="2"/>
      </rPr>
      <t xml:space="preserve">รายการงาน </t>
    </r>
    <r>
      <rPr>
        <b val="true"/>
        <sz val="9"/>
        <color rgb="FFFFFFFF"/>
        <rFont val="Tahoma"/>
        <family val="0"/>
        <charset val="1"/>
      </rPr>
      <t xml:space="preserve">/ WORK ITEMS</t>
    </r>
  </si>
  <si>
    <r>
      <rPr>
        <b val="true"/>
        <sz val="9"/>
        <color rgb="FFFFFFFF"/>
        <rFont val="FreeSans"/>
        <family val="2"/>
      </rPr>
      <t xml:space="preserve">น้ำหนัก </t>
    </r>
    <r>
      <rPr>
        <b val="true"/>
        <sz val="9"/>
        <color rgb="FFFFFFFF"/>
        <rFont val="Tahoma"/>
        <family val="0"/>
        <charset val="1"/>
      </rPr>
      <t xml:space="preserve">/ WEIGHT</t>
    </r>
  </si>
  <si>
    <r>
      <rPr>
        <b val="true"/>
        <sz val="9"/>
        <color rgb="FFFFFFFF"/>
        <rFont val="Tahoma"/>
        <family val="0"/>
        <charset val="1"/>
      </rPr>
      <t xml:space="preserve">BASELINE </t>
    </r>
    <r>
      <rPr>
        <b val="true"/>
        <sz val="9"/>
        <color rgb="FFFFFFFF"/>
        <rFont val="FreeSans"/>
        <family val="2"/>
      </rPr>
      <t xml:space="preserve">แผนเดิม</t>
    </r>
  </si>
  <si>
    <r>
      <rPr>
        <b val="true"/>
        <sz val="9"/>
        <color rgb="FFFFFFFF"/>
        <rFont val="Tahoma"/>
        <family val="0"/>
        <charset val="1"/>
      </rPr>
      <t xml:space="preserve">REVISED </t>
    </r>
    <r>
      <rPr>
        <b val="true"/>
        <sz val="9"/>
        <color rgb="FFFFFFFF"/>
        <rFont val="FreeSans"/>
        <family val="2"/>
      </rPr>
      <t xml:space="preserve">แผนเร่งรัด</t>
    </r>
  </si>
  <si>
    <r>
      <rPr>
        <b val="true"/>
        <sz val="9"/>
        <color rgb="FFFFFFFF"/>
        <rFont val="Tahoma"/>
        <family val="0"/>
        <charset val="1"/>
      </rPr>
      <t xml:space="preserve">ACTUAL </t>
    </r>
    <r>
      <rPr>
        <b val="true"/>
        <sz val="9"/>
        <color rgb="FFFFFFFF"/>
        <rFont val="FreeSans"/>
        <family val="2"/>
      </rPr>
      <t xml:space="preserve">ผลงานจริง</t>
    </r>
  </si>
  <si>
    <r>
      <rPr>
        <b val="true"/>
        <sz val="9"/>
        <color rgb="FFFFFFFF"/>
        <rFont val="Tahoma"/>
        <family val="0"/>
        <charset val="1"/>
      </rPr>
      <t xml:space="preserve">ANALYSIS </t>
    </r>
    <r>
      <rPr>
        <b val="true"/>
        <sz val="9"/>
        <color rgb="FFFFFFFF"/>
        <rFont val="FreeSans"/>
        <family val="2"/>
      </rPr>
      <t xml:space="preserve">การวิเคราะห์</t>
    </r>
  </si>
  <si>
    <t xml:space="preserve">WBS</t>
  </si>
  <si>
    <r>
      <rPr>
        <b val="true"/>
        <sz val="9"/>
        <color rgb="FFFFFFFF"/>
        <rFont val="FreeSans"/>
        <family val="2"/>
      </rPr>
      <t xml:space="preserve">งานส่วน
</t>
    </r>
    <r>
      <rPr>
        <b val="true"/>
        <sz val="9"/>
        <color rgb="FFFFFFFF"/>
        <rFont val="Tahoma"/>
        <family val="0"/>
        <charset val="1"/>
      </rPr>
      <t xml:space="preserve">Work Package</t>
    </r>
  </si>
  <si>
    <r>
      <rPr>
        <b val="true"/>
        <sz val="9"/>
        <color rgb="FFFFFFFF"/>
        <rFont val="FreeSans"/>
        <family val="2"/>
      </rPr>
      <t xml:space="preserve">หมวดงาน
</t>
    </r>
    <r>
      <rPr>
        <b val="true"/>
        <sz val="9"/>
        <color rgb="FFFFFFFF"/>
        <rFont val="Tahoma"/>
        <family val="0"/>
        <charset val="1"/>
      </rPr>
      <t xml:space="preserve">Discipline</t>
    </r>
  </si>
  <si>
    <r>
      <rPr>
        <b val="true"/>
        <sz val="9"/>
        <color rgb="FFFFFFFF"/>
        <rFont val="FreeSans"/>
        <family val="2"/>
      </rPr>
      <t xml:space="preserve">รายการงาน
</t>
    </r>
    <r>
      <rPr>
        <b val="true"/>
        <sz val="9"/>
        <color rgb="FFFFFFFF"/>
        <rFont val="Tahoma"/>
        <family val="0"/>
        <charset val="1"/>
      </rPr>
      <t xml:space="preserve">Description</t>
    </r>
  </si>
  <si>
    <r>
      <rPr>
        <b val="true"/>
        <sz val="9"/>
        <color rgb="FFFFFFFF"/>
        <rFont val="FreeSans"/>
        <family val="2"/>
      </rPr>
      <t xml:space="preserve">มูลค่า </t>
    </r>
    <r>
      <rPr>
        <b val="true"/>
        <sz val="9"/>
        <color rgb="FFFFFFFF"/>
        <rFont val="Tahoma"/>
        <family val="0"/>
        <charset val="1"/>
      </rPr>
      <t xml:space="preserve">BOQ
BOQ Value (</t>
    </r>
    <r>
      <rPr>
        <b val="true"/>
        <sz val="9"/>
        <color rgb="FFFFFFFF"/>
        <rFont val="FreeSans"/>
        <family val="2"/>
      </rPr>
      <t xml:space="preserve">฿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</si>
  <si>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น้ำหนักกำหนดเอง
</t>
    </r>
    <r>
      <rPr>
        <b val="true"/>
        <sz val="9"/>
        <color rgb="FFFFFFFF"/>
        <rFont val="Tahoma"/>
        <family val="0"/>
        <charset val="1"/>
      </rPr>
      <t xml:space="preserve">Manual Weight</t>
    </r>
  </si>
  <si>
    <r>
      <rPr>
        <b val="true"/>
        <sz val="9"/>
        <color rgb="FFFFFFFF"/>
        <rFont val="FreeSans"/>
        <family val="2"/>
      </rPr>
      <t xml:space="preserve">น้ำหนักที่ใช้
</t>
    </r>
    <r>
      <rPr>
        <b val="true"/>
        <sz val="9"/>
        <color rgb="FFFFFFFF"/>
        <rFont val="Tahoma"/>
        <family val="0"/>
        <charset val="1"/>
      </rPr>
      <t xml:space="preserve">Weight Used</t>
    </r>
  </si>
  <si>
    <r>
      <rPr>
        <b val="true"/>
        <sz val="9"/>
        <color rgb="FFFFFFFF"/>
        <rFont val="FreeSans"/>
        <family val="2"/>
      </rPr>
      <t xml:space="preserve">งบประมาณ
</t>
    </r>
    <r>
      <rPr>
        <b val="true"/>
        <sz val="9"/>
        <color rgb="FFFFFFFF"/>
        <rFont val="Tahoma"/>
        <family val="0"/>
        <charset val="1"/>
      </rPr>
      <t xml:space="preserve">Budget (</t>
    </r>
    <r>
      <rPr>
        <b val="true"/>
        <sz val="9"/>
        <color rgb="FFFFFFFF"/>
        <rFont val="FreeSans"/>
        <family val="2"/>
      </rPr>
      <t xml:space="preserve">฿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</si>
  <si>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เริ่ม
</t>
    </r>
    <r>
      <rPr>
        <b val="true"/>
        <sz val="9"/>
        <color rgb="FFFFFFFF"/>
        <rFont val="Tahoma"/>
        <family val="0"/>
        <charset val="1"/>
      </rPr>
      <t xml:space="preserve">Start</t>
    </r>
  </si>
  <si>
    <r>
      <rPr>
        <b val="true"/>
        <sz val="9"/>
        <color rgb="FFFFFFFF"/>
        <rFont val="FreeSans"/>
        <family val="2"/>
      </rPr>
      <t xml:space="preserve">เสร็จ
</t>
    </r>
    <r>
      <rPr>
        <b val="true"/>
        <sz val="9"/>
        <color rgb="FFFFFFFF"/>
        <rFont val="Tahoma"/>
        <family val="0"/>
        <charset val="1"/>
      </rPr>
      <t xml:space="preserve">Finish</t>
    </r>
  </si>
  <si>
    <r>
      <rPr>
        <b val="true"/>
        <sz val="9"/>
        <color rgb="FFFFFFFF"/>
        <rFont val="FreeSans"/>
        <family val="2"/>
      </rPr>
      <t xml:space="preserve">วัน
</t>
    </r>
    <r>
      <rPr>
        <b val="true"/>
        <sz val="9"/>
        <color rgb="FFFFFFFF"/>
        <rFont val="Tahoma"/>
        <family val="0"/>
        <charset val="1"/>
      </rPr>
      <t xml:space="preserve">Days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</si>
  <si>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งานนี้
</t>
    </r>
    <r>
      <rPr>
        <b val="true"/>
        <sz val="9"/>
        <color rgb="FFFFFFFF"/>
        <rFont val="Tahoma"/>
        <family val="0"/>
        <charset val="1"/>
      </rPr>
      <t xml:space="preserve">% Complete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</si>
  <si>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แผน ณ
</t>
    </r>
    <r>
      <rPr>
        <b val="true"/>
        <sz val="9"/>
        <color rgb="FFFFFFFF"/>
        <rFont val="Tahoma"/>
        <family val="0"/>
        <charset val="1"/>
      </rPr>
      <t xml:space="preserve">Status (BL)</t>
    </r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</si>
  <si>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แผนเร่งรัด
ณ </t>
    </r>
    <r>
      <rPr>
        <b val="true"/>
        <sz val="9"/>
        <color rgb="FFFFFFFF"/>
        <rFont val="Tahoma"/>
        <family val="0"/>
        <charset val="1"/>
      </rPr>
      <t xml:space="preserve">Status</t>
    </r>
  </si>
  <si>
    <r>
      <rPr>
        <b val="true"/>
        <sz val="9"/>
        <color rgb="FFFFFFFF"/>
        <rFont val="Tahoma"/>
        <family val="0"/>
        <charset val="1"/>
      </rPr>
      <t xml:space="preserve">PV (</t>
    </r>
    <r>
      <rPr>
        <b val="true"/>
        <sz val="9"/>
        <color rgb="FFFFFFFF"/>
        <rFont val="FreeSans"/>
        <family val="2"/>
      </rPr>
      <t xml:space="preserve">฿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</si>
  <si>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EV (</t>
    </r>
    <r>
      <rPr>
        <b val="true"/>
        <sz val="9"/>
        <color rgb="FFFFFFFF"/>
        <rFont val="FreeSans"/>
        <family val="2"/>
      </rPr>
      <t xml:space="preserve">฿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</si>
  <si>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SV (</t>
    </r>
    <r>
      <rPr>
        <b val="true"/>
        <sz val="9"/>
        <color rgb="FFFFFFFF"/>
        <rFont val="FreeSans"/>
        <family val="2"/>
      </rPr>
      <t xml:space="preserve">฿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</si>
  <si>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คาดว่าเสร็จ
</t>
    </r>
    <r>
      <rPr>
        <b val="true"/>
        <sz val="9"/>
        <color rgb="FFFFFFFF"/>
        <rFont val="Tahoma"/>
        <family val="0"/>
        <charset val="1"/>
      </rPr>
      <t xml:space="preserve">Forecast Finish</t>
    </r>
  </si>
  <si>
    <r>
      <rPr>
        <b val="true"/>
        <sz val="9"/>
        <color rgb="FFFFFFFF"/>
        <rFont val="FreeSans"/>
        <family val="2"/>
      </rPr>
      <t xml:space="preserve">ล่าช้า 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วัน</t>
    </r>
    <r>
      <rPr>
        <b val="true"/>
        <sz val="9"/>
        <color rgb="FFFFFFFF"/>
        <rFont val="Tahoma"/>
        <family val="0"/>
        <charset val="1"/>
      </rPr>
      <t xml:space="preserve">)
Delay vs BL</t>
    </r>
  </si>
  <si>
    <r>
      <rPr>
        <b val="true"/>
        <sz val="9"/>
        <color rgb="FFFFFFFF"/>
        <rFont val="FreeSans"/>
        <family val="2"/>
      </rPr>
      <t xml:space="preserve">หมายเหตุ </t>
    </r>
    <r>
      <rPr>
        <b val="true"/>
        <sz val="9"/>
        <color rgb="FFFFFFFF"/>
        <rFont val="Tahoma"/>
        <family val="0"/>
        <charset val="1"/>
      </rPr>
      <t xml:space="preserve">/ </t>
    </r>
    <r>
      <rPr>
        <b val="true"/>
        <sz val="9"/>
        <color rgb="FFFFFFFF"/>
        <rFont val="FreeSans"/>
        <family val="2"/>
      </rPr>
      <t xml:space="preserve">ปัญหา
</t>
    </r>
    <r>
      <rPr>
        <b val="true"/>
        <sz val="9"/>
        <color rgb="FFFFFFFF"/>
        <rFont val="Tahoma"/>
        <family val="0"/>
        <charset val="1"/>
      </rPr>
      <t xml:space="preserve">Remarks / Issues</t>
    </r>
  </si>
  <si>
    <t xml:space="preserve">RS</t>
  </si>
  <si>
    <t xml:space="preserve">RF</t>
  </si>
  <si>
    <t xml:space="preserve">key</t>
  </si>
  <si>
    <t xml:space="preserve">LA</t>
  </si>
  <si>
    <t xml:space="preserve">LAi</t>
  </si>
  <si>
    <t xml:space="preserve">งานเตรียมพื้นที่ รื้อถอน และขนย้ายวัชพืช</t>
  </si>
  <si>
    <t xml:space="preserve">งานถมดินและบดอัดแน่นเป็นชั้น</t>
  </si>
  <si>
    <r>
      <rPr>
        <sz val="10"/>
        <color rgb="FF0000FF"/>
        <rFont val="FreeSans"/>
        <family val="2"/>
      </rPr>
      <t xml:space="preserve">ฝนตกหนักปลาย ก</t>
    </r>
    <r>
      <rPr>
        <sz val="10"/>
        <color rgb="FF0000FF"/>
        <rFont val="Tahoma"/>
        <family val="0"/>
        <charset val="1"/>
      </rPr>
      <t xml:space="preserve">.</t>
    </r>
    <r>
      <rPr>
        <sz val="10"/>
        <color rgb="FF0000FF"/>
        <rFont val="FreeSans"/>
        <family val="2"/>
      </rPr>
      <t xml:space="preserve">ค</t>
    </r>
    <r>
      <rPr>
        <sz val="10"/>
        <color rgb="FF0000FF"/>
        <rFont val="Tahoma"/>
        <family val="0"/>
        <charset val="1"/>
      </rPr>
      <t xml:space="preserve">.</t>
    </r>
  </si>
  <si>
    <t xml:space="preserve">งานปรับระดับและทดสอบความแน่นดิน</t>
  </si>
  <si>
    <r>
      <rPr>
        <sz val="10"/>
        <color rgb="FF0000FF"/>
        <rFont val="FreeSans"/>
        <family val="2"/>
      </rPr>
      <t xml:space="preserve">รอผลทดสอบความแน่น </t>
    </r>
    <r>
      <rPr>
        <sz val="10"/>
        <color rgb="FF0000FF"/>
        <rFont val="Tahoma"/>
        <family val="0"/>
        <charset val="1"/>
      </rPr>
      <t xml:space="preserve">2 </t>
    </r>
    <r>
      <rPr>
        <sz val="10"/>
        <color rgb="FF0000FF"/>
        <rFont val="FreeSans"/>
        <family val="2"/>
      </rPr>
      <t xml:space="preserve">จุด</t>
    </r>
  </si>
  <si>
    <t xml:space="preserve">งานเสาเข็มอาคาร</t>
  </si>
  <si>
    <t xml:space="preserve">งานฐานราก คานคอดิน และพื้นชั้นล่าง</t>
  </si>
  <si>
    <r>
      <rPr>
        <sz val="10"/>
        <color rgb="FF0000FF"/>
        <rFont val="FreeSans"/>
        <family val="2"/>
      </rPr>
      <t xml:space="preserve">งานโครงสร้าง เสา คาน พื้น ชั้น </t>
    </r>
    <r>
      <rPr>
        <sz val="10"/>
        <color rgb="FF0000FF"/>
        <rFont val="Tahoma"/>
        <family val="0"/>
        <charset val="1"/>
      </rPr>
      <t xml:space="preserve">1–2</t>
    </r>
  </si>
  <si>
    <t xml:space="preserve">งานโครงหลังคาและมุงหลังคา</t>
  </si>
  <si>
    <t xml:space="preserve">งานก่อผนังและฉาบปูน</t>
  </si>
  <si>
    <r>
      <rPr>
        <sz val="10"/>
        <color rgb="FF0000FF"/>
        <rFont val="FreeSans"/>
        <family val="2"/>
      </rPr>
      <t xml:space="preserve">งานพื้น ฝ้า สี ประตู</t>
    </r>
    <r>
      <rPr>
        <sz val="10"/>
        <color rgb="FF0000FF"/>
        <rFont val="Tahoma"/>
        <family val="0"/>
        <charset val="1"/>
      </rPr>
      <t xml:space="preserve">-</t>
    </r>
    <r>
      <rPr>
        <sz val="10"/>
        <color rgb="FF0000FF"/>
        <rFont val="FreeSans"/>
        <family val="2"/>
      </rPr>
      <t xml:space="preserve">หน้าต่าง</t>
    </r>
  </si>
  <si>
    <t xml:space="preserve">งานระบบไฟฟ้า ประปา และสุขาภิบาล</t>
  </si>
  <si>
    <t xml:space="preserve">งานทดสอบระบบและเก็บงานส่งมอบ</t>
  </si>
  <si>
    <r>
      <rPr>
        <sz val="10"/>
        <color rgb="FF0000FF"/>
        <rFont val="FreeSans"/>
        <family val="2"/>
      </rPr>
      <t xml:space="preserve">งานขุดและวางรางระบายน้ำ คสล</t>
    </r>
    <r>
      <rPr>
        <sz val="10"/>
        <color rgb="FF0000FF"/>
        <rFont val="Tahoma"/>
        <family val="0"/>
        <charset val="1"/>
      </rPr>
      <t xml:space="preserve">.</t>
    </r>
  </si>
  <si>
    <t xml:space="preserve">งานบ่อพักและท่อลอด</t>
  </si>
  <si>
    <t xml:space="preserve">รอแบบแก้ไขจากผู้ว่าจ้าง</t>
  </si>
  <si>
    <t xml:space="preserve">งานชั้นรองพื้นทางและพื้นทาง</t>
  </si>
  <si>
    <r>
      <rPr>
        <sz val="10"/>
        <color rgb="FF0000FF"/>
        <rFont val="FreeSans"/>
        <family val="2"/>
      </rPr>
      <t xml:space="preserve">งานถนนและลาน คสล</t>
    </r>
    <r>
      <rPr>
        <sz val="10"/>
        <color rgb="FF0000FF"/>
        <rFont val="Tahoma"/>
        <family val="0"/>
        <charset val="1"/>
      </rPr>
      <t xml:space="preserve">.</t>
    </r>
  </si>
  <si>
    <t xml:space="preserve">งานขอบคันหินและตีเส้นจราจร</t>
  </si>
  <si>
    <t xml:space="preserve">งานฐานรากและเสารั้ว</t>
  </si>
  <si>
    <t xml:space="preserve">งานผนังรั้ว รั้วเหล็ก และประตูรั้ว</t>
  </si>
  <si>
    <t xml:space="preserve">งานฐานรากและเสาโครงเหล็กโรงจอดรถ</t>
  </si>
  <si>
    <t xml:space="preserve">งานโครงหลังคาเหล็กและมุงหลังคา</t>
  </si>
  <si>
    <t xml:space="preserve">งานไฟฟ้าแสงสว่างและพื้นโรงจอดรถ</t>
  </si>
  <si>
    <r>
      <rPr>
        <b val="true"/>
        <sz val="16"/>
        <color rgb="FF1F3864"/>
        <rFont val="Tahoma"/>
        <family val="0"/>
        <charset val="1"/>
      </rPr>
      <t xml:space="preserve">S-Curve </t>
    </r>
    <r>
      <rPr>
        <b val="true"/>
        <sz val="16"/>
        <color rgb="FF1F3864"/>
        <rFont val="FreeSans"/>
        <family val="2"/>
      </rPr>
      <t xml:space="preserve">และ </t>
    </r>
    <r>
      <rPr>
        <b val="true"/>
        <sz val="16"/>
        <color rgb="FF1F3864"/>
        <rFont val="Tahoma"/>
        <family val="0"/>
        <charset val="1"/>
      </rPr>
      <t xml:space="preserve">Earned Value </t>
    </r>
    <r>
      <rPr>
        <b val="true"/>
        <sz val="16"/>
        <color rgb="FF1F3864"/>
        <rFont val="FreeSans"/>
        <family val="2"/>
      </rPr>
      <t xml:space="preserve">รายงวด </t>
    </r>
    <r>
      <rPr>
        <b val="true"/>
        <sz val="16"/>
        <color rgb="FF1F3864"/>
        <rFont val="Tahoma"/>
        <family val="0"/>
        <charset val="1"/>
      </rPr>
      <t xml:space="preserve">/ Period S-Curve &amp; Earned Value</t>
    </r>
  </si>
  <si>
    <r>
      <rPr>
        <i val="true"/>
        <sz val="9"/>
        <color rgb="FF595959"/>
        <rFont val="FreeSans"/>
        <family val="2"/>
      </rPr>
      <t xml:space="preserve">กรอกช่องสีเหลือง</t>
    </r>
    <r>
      <rPr>
        <i val="true"/>
        <sz val="9"/>
        <color rgb="FF595959"/>
        <rFont val="Tahoma"/>
        <family val="0"/>
        <charset val="1"/>
      </rPr>
      <t xml:space="preserve">: Actual % </t>
    </r>
    <r>
      <rPr>
        <i val="true"/>
        <sz val="9"/>
        <color rgb="FF595959"/>
        <rFont val="FreeSans"/>
        <family val="2"/>
      </rPr>
      <t xml:space="preserve">สะสม </t>
    </r>
    <r>
      <rPr>
        <i val="true"/>
        <sz val="9"/>
        <color rgb="FF595959"/>
        <rFont val="Tahoma"/>
        <family val="0"/>
        <charset val="1"/>
      </rPr>
      <t xml:space="preserve">(</t>
    </r>
    <r>
      <rPr>
        <i val="true"/>
        <sz val="9"/>
        <color rgb="FF595959"/>
        <rFont val="FreeSans"/>
        <family val="2"/>
      </rPr>
      <t xml:space="preserve">ณ วันสิ้นงวด</t>
    </r>
    <r>
      <rPr>
        <i val="true"/>
        <sz val="9"/>
        <color rgb="FF595959"/>
        <rFont val="Tahoma"/>
        <family val="0"/>
        <charset val="1"/>
      </rPr>
      <t xml:space="preserve">), AC </t>
    </r>
    <r>
      <rPr>
        <i val="true"/>
        <sz val="9"/>
        <color rgb="FF595959"/>
        <rFont val="FreeSans"/>
        <family val="2"/>
      </rPr>
      <t xml:space="preserve">ต้นทุนจริงในงวด</t>
    </r>
    <r>
      <rPr>
        <i val="true"/>
        <sz val="9"/>
        <color rgb="FF595959"/>
        <rFont val="Tahoma"/>
        <family val="0"/>
        <charset val="1"/>
      </rPr>
      <t xml:space="preserve">, </t>
    </r>
    <r>
      <rPr>
        <i val="true"/>
        <sz val="9"/>
        <color rgb="FF595959"/>
        <rFont val="FreeSans"/>
        <family val="2"/>
      </rPr>
      <t xml:space="preserve">เงินเบิกจ่ายในงวด • แถวสีส้ม </t>
    </r>
    <r>
      <rPr>
        <i val="true"/>
        <sz val="9"/>
        <color rgb="FF595959"/>
        <rFont val="Tahoma"/>
        <family val="0"/>
        <charset val="1"/>
      </rPr>
      <t xml:space="preserve">= </t>
    </r>
    <r>
      <rPr>
        <i val="true"/>
        <sz val="9"/>
        <color rgb="FF595959"/>
        <rFont val="FreeSans"/>
        <family val="2"/>
      </rPr>
      <t xml:space="preserve">งวดของวันตรวจวัด</t>
    </r>
  </si>
  <si>
    <r>
      <rPr>
        <b val="true"/>
        <sz val="9"/>
        <color rgb="FFFFFFFF"/>
        <rFont val="FreeSans"/>
        <family val="2"/>
      </rPr>
      <t xml:space="preserve">งวด </t>
    </r>
    <r>
      <rPr>
        <b val="true"/>
        <sz val="9"/>
        <color rgb="FFFFFFFF"/>
        <rFont val="Tahoma"/>
        <family val="0"/>
        <charset val="1"/>
      </rPr>
      <t xml:space="preserve">/ PERIOD</t>
    </r>
  </si>
  <si>
    <r>
      <rPr>
        <b val="true"/>
        <sz val="9"/>
        <color rgb="FFFFFFFF"/>
        <rFont val="FreeSans"/>
        <family val="2"/>
      </rPr>
      <t xml:space="preserve">ความก้าวหน้าสะสม </t>
    </r>
    <r>
      <rPr>
        <b val="true"/>
        <sz val="9"/>
        <color rgb="FFFFFFFF"/>
        <rFont val="Tahoma"/>
        <family val="0"/>
        <charset val="1"/>
      </rPr>
      <t xml:space="preserve">/ CUMULATIVE PROGRESS (%)</t>
    </r>
  </si>
  <si>
    <r>
      <rPr>
        <b val="true"/>
        <sz val="9"/>
        <color rgb="FFFFFFFF"/>
        <rFont val="Tahoma"/>
        <family val="0"/>
        <charset val="1"/>
      </rPr>
      <t xml:space="preserve">EARNED VALUE (</t>
    </r>
    <r>
      <rPr>
        <b val="true"/>
        <sz val="9"/>
        <color rgb="FFFFFFFF"/>
        <rFont val="FreeSans"/>
        <family val="2"/>
      </rPr>
      <t xml:space="preserve">บาท </t>
    </r>
    <r>
      <rPr>
        <b val="true"/>
        <sz val="9"/>
        <color rgb="FFFFFFFF"/>
        <rFont val="Tahoma"/>
        <family val="0"/>
        <charset val="1"/>
      </rPr>
      <t xml:space="preserve">/ THB)</t>
    </r>
  </si>
  <si>
    <r>
      <rPr>
        <b val="true"/>
        <sz val="9"/>
        <color rgb="FFFFFFFF"/>
        <rFont val="FreeSans"/>
        <family val="2"/>
      </rPr>
      <t xml:space="preserve">เบิกจ่าย </t>
    </r>
    <r>
      <rPr>
        <b val="true"/>
        <sz val="9"/>
        <color rgb="FFFFFFFF"/>
        <rFont val="Tahoma"/>
        <family val="0"/>
        <charset val="1"/>
      </rPr>
      <t xml:space="preserve">/ PAYMENT</t>
    </r>
  </si>
  <si>
    <r>
      <rPr>
        <b val="true"/>
        <sz val="9"/>
        <color rgb="FFFFFFFF"/>
        <rFont val="FreeSans"/>
        <family val="2"/>
      </rPr>
      <t xml:space="preserve">งวด
</t>
    </r>
    <r>
      <rPr>
        <b val="true"/>
        <sz val="9"/>
        <color rgb="FFFFFFFF"/>
        <rFont val="Tahoma"/>
        <family val="0"/>
        <charset val="1"/>
      </rPr>
      <t xml:space="preserve">No.</t>
    </r>
  </si>
  <si>
    <r>
      <rPr>
        <b val="true"/>
        <sz val="9"/>
        <color rgb="FFFFFFFF"/>
        <rFont val="FreeSans"/>
        <family val="2"/>
      </rPr>
      <t xml:space="preserve">เริ่มงวด
</t>
    </r>
    <r>
      <rPr>
        <b val="true"/>
        <sz val="9"/>
        <color rgb="FFFFFFFF"/>
        <rFont val="Tahoma"/>
        <family val="0"/>
        <charset val="1"/>
      </rPr>
      <t xml:space="preserve">From</t>
    </r>
  </si>
  <si>
    <r>
      <rPr>
        <b val="true"/>
        <sz val="9"/>
        <color rgb="FFFFFFFF"/>
        <rFont val="FreeSans"/>
        <family val="2"/>
      </rPr>
      <t xml:space="preserve">สิ้นงวด
</t>
    </r>
    <r>
      <rPr>
        <b val="true"/>
        <sz val="9"/>
        <color rgb="FFFFFFFF"/>
        <rFont val="Tahoma"/>
        <family val="0"/>
        <charset val="1"/>
      </rPr>
      <t xml:space="preserve">To</t>
    </r>
  </si>
  <si>
    <r>
      <rPr>
        <b val="true"/>
        <sz val="9"/>
        <color rgb="FFFFFFFF"/>
        <rFont val="Tahoma"/>
        <family val="0"/>
        <charset val="1"/>
      </rPr>
      <t xml:space="preserve">Baseline
</t>
    </r>
    <r>
      <rPr>
        <b val="true"/>
        <sz val="9"/>
        <color rgb="FFFFFFFF"/>
        <rFont val="FreeSans"/>
        <family val="2"/>
      </rPr>
      <t xml:space="preserve">แผนเดิม</t>
    </r>
  </si>
  <si>
    <r>
      <rPr>
        <b val="true"/>
        <sz val="9"/>
        <color rgb="FFFFFFFF"/>
        <rFont val="Tahoma"/>
        <family val="0"/>
        <charset val="1"/>
      </rPr>
      <t xml:space="preserve">Revised
</t>
    </r>
    <r>
      <rPr>
        <b val="true"/>
        <sz val="9"/>
        <color rgb="FFFFFFFF"/>
        <rFont val="FreeSans"/>
        <family val="2"/>
      </rPr>
      <t xml:space="preserve">แผนเร่งรัด</t>
    </r>
  </si>
  <si>
    <r>
      <rPr>
        <b val="true"/>
        <sz val="9"/>
        <color rgb="FFFFFFFF"/>
        <rFont val="Tahoma"/>
        <family val="0"/>
        <charset val="1"/>
      </rPr>
      <t xml:space="preserve">Actual
</t>
    </r>
    <r>
      <rPr>
        <b val="true"/>
        <sz val="9"/>
        <color rgb="FFFFFFFF"/>
        <rFont val="FreeSans"/>
        <family val="2"/>
      </rPr>
      <t xml:space="preserve">จริง</t>
    </r>
  </si>
  <si>
    <r>
      <rPr>
        <b val="true"/>
        <sz val="9"/>
        <color rgb="FFFFFFFF"/>
        <rFont val="Tahoma"/>
        <family val="0"/>
        <charset val="1"/>
      </rPr>
      <t xml:space="preserve">Forecast
</t>
    </r>
    <r>
      <rPr>
        <b val="true"/>
        <sz val="9"/>
        <color rgb="FFFFFFFF"/>
        <rFont val="FreeSans"/>
        <family val="2"/>
      </rPr>
      <t xml:space="preserve">คาดการณ์</t>
    </r>
  </si>
  <si>
    <r>
      <rPr>
        <b val="true"/>
        <sz val="9"/>
        <color rgb="FFFFFFFF"/>
        <rFont val="FreeSans"/>
        <family val="2"/>
      </rPr>
      <t xml:space="preserve">ผลต่าง
</t>
    </r>
    <r>
      <rPr>
        <b val="true"/>
        <sz val="9"/>
        <color rgb="FFFFFFFF"/>
        <rFont val="Tahoma"/>
        <family val="0"/>
        <charset val="1"/>
      </rPr>
      <t xml:space="preserve">Act−BL</t>
    </r>
  </si>
  <si>
    <r>
      <rPr>
        <b val="true"/>
        <sz val="9"/>
        <color rgb="FFFFFFFF"/>
        <rFont val="Tahoma"/>
        <family val="0"/>
        <charset val="1"/>
      </rPr>
      <t xml:space="preserve">PV </t>
    </r>
    <r>
      <rPr>
        <b val="true"/>
        <sz val="9"/>
        <color rgb="FFFFFFFF"/>
        <rFont val="FreeSans"/>
        <family val="2"/>
      </rPr>
      <t xml:space="preserve">สะสม</t>
    </r>
  </si>
  <si>
    <r>
      <rPr>
        <b val="true"/>
        <sz val="9"/>
        <color rgb="FFFFFFFF"/>
        <rFont val="Tahoma"/>
        <family val="0"/>
        <charset val="1"/>
      </rPr>
      <t xml:space="preserve">EV </t>
    </r>
    <r>
      <rPr>
        <b val="true"/>
        <sz val="9"/>
        <color rgb="FFFFFFFF"/>
        <rFont val="FreeSans"/>
        <family val="2"/>
      </rPr>
      <t xml:space="preserve">สะสม</t>
    </r>
  </si>
  <si>
    <r>
      <rPr>
        <b val="true"/>
        <sz val="9"/>
        <color rgb="FFFFFFFF"/>
        <rFont val="Tahoma"/>
        <family val="0"/>
        <charset val="1"/>
      </rPr>
      <t xml:space="preserve">AC </t>
    </r>
    <r>
      <rPr>
        <b val="true"/>
        <sz val="9"/>
        <color rgb="FFFFFFFF"/>
        <rFont val="FreeSans"/>
        <family val="2"/>
      </rPr>
      <t xml:space="preserve">ในงวด
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กรอก</t>
    </r>
    <r>
      <rPr>
        <b val="true"/>
        <sz val="9"/>
        <color rgb="FFFFFFFF"/>
        <rFont val="Tahoma"/>
        <family val="0"/>
        <charset val="1"/>
      </rPr>
      <t xml:space="preserve">)</t>
    </r>
  </si>
  <si>
    <r>
      <rPr>
        <b val="true"/>
        <sz val="9"/>
        <color rgb="FFFFFFFF"/>
        <rFont val="Tahoma"/>
        <family val="0"/>
        <charset val="1"/>
      </rPr>
      <t xml:space="preserve">AC </t>
    </r>
    <r>
      <rPr>
        <b val="true"/>
        <sz val="9"/>
        <color rgb="FFFFFFFF"/>
        <rFont val="FreeSans"/>
        <family val="2"/>
      </rPr>
      <t xml:space="preserve">สะสม</t>
    </r>
  </si>
  <si>
    <r>
      <rPr>
        <b val="true"/>
        <sz val="9"/>
        <color rgb="FFFFFFFF"/>
        <rFont val="FreeSans"/>
        <family val="2"/>
      </rPr>
      <t xml:space="preserve">เบิกจ่ายในงวด
</t>
    </r>
    <r>
      <rPr>
        <b val="true"/>
        <sz val="9"/>
        <color rgb="FFFFFFFF"/>
        <rFont val="Tahoma"/>
        <family val="0"/>
        <charset val="1"/>
      </rPr>
      <t xml:space="preserve">(</t>
    </r>
    <r>
      <rPr>
        <b val="true"/>
        <sz val="9"/>
        <color rgb="FFFFFFFF"/>
        <rFont val="FreeSans"/>
        <family val="2"/>
      </rPr>
      <t xml:space="preserve">กรอก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</si>
  <si>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เบิกจ่ายสะสม</t>
  </si>
  <si>
    <t xml:space="preserve">xBL</t>
  </si>
  <si>
    <r>
      <rPr>
        <sz val="8"/>
        <color rgb="FF808080"/>
        <rFont val="Tahoma"/>
        <family val="0"/>
        <charset val="1"/>
      </rPr>
      <t xml:space="preserve">Baseline </t>
    </r>
    <r>
      <rPr>
        <sz val="8"/>
        <color rgb="FF808080"/>
        <rFont val="FreeSans"/>
        <family val="2"/>
      </rPr>
      <t xml:space="preserve">แผนเดิม</t>
    </r>
  </si>
  <si>
    <t xml:space="preserve">xRev</t>
  </si>
  <si>
    <r>
      <rPr>
        <sz val="8"/>
        <color rgb="FF808080"/>
        <rFont val="Tahoma"/>
        <family val="0"/>
        <charset val="1"/>
      </rPr>
      <t xml:space="preserve">Revised </t>
    </r>
    <r>
      <rPr>
        <sz val="8"/>
        <color rgb="FF808080"/>
        <rFont val="FreeSans"/>
        <family val="2"/>
      </rPr>
      <t xml:space="preserve">แผนเร่งรัด</t>
    </r>
  </si>
  <si>
    <t xml:space="preserve">xAct</t>
  </si>
  <si>
    <r>
      <rPr>
        <sz val="8"/>
        <color rgb="FF808080"/>
        <rFont val="Tahoma"/>
        <family val="0"/>
        <charset val="1"/>
      </rPr>
      <t xml:space="preserve">Actual </t>
    </r>
    <r>
      <rPr>
        <sz val="8"/>
        <color rgb="FF808080"/>
        <rFont val="FreeSans"/>
        <family val="2"/>
      </rPr>
      <t xml:space="preserve">ผลงานจริง</t>
    </r>
  </si>
  <si>
    <t xml:space="preserve">xFc</t>
  </si>
  <si>
    <r>
      <rPr>
        <sz val="8"/>
        <color rgb="FF808080"/>
        <rFont val="Tahoma"/>
        <family val="0"/>
        <charset val="1"/>
      </rPr>
      <t xml:space="preserve">Forecast </t>
    </r>
    <r>
      <rPr>
        <sz val="8"/>
        <color rgb="FF808080"/>
        <rFont val="FreeSans"/>
        <family val="2"/>
      </rPr>
      <t xml:space="preserve">คาดการณ์</t>
    </r>
  </si>
  <si>
    <t xml:space="preserve">PV</t>
  </si>
  <si>
    <t xml:space="preserve">EV</t>
  </si>
  <si>
    <t xml:space="preserve">xAC</t>
  </si>
  <si>
    <t xml:space="preserve">AC</t>
  </si>
  <si>
    <t xml:space="preserve">Status Date</t>
  </si>
  <si>
    <t xml:space="preserve">y%</t>
  </si>
  <si>
    <r>
      <rPr>
        <sz val="8"/>
        <color rgb="FF808080"/>
        <rFont val="Tahoma"/>
        <family val="0"/>
        <charset val="1"/>
      </rPr>
      <t xml:space="preserve">y</t>
    </r>
    <r>
      <rPr>
        <sz val="8"/>
        <color rgb="FF808080"/>
        <rFont val="FreeSans"/>
        <family val="2"/>
      </rPr>
      <t xml:space="preserve">฿</t>
    </r>
  </si>
  <si>
    <r>
      <rPr>
        <b val="true"/>
        <sz val="16"/>
        <color rgb="FF1F3864"/>
        <rFont val="FreeSans"/>
        <family val="2"/>
      </rPr>
      <t xml:space="preserve">ทะเบียนความล่าช้าและการขอขยายเวลา </t>
    </r>
    <r>
      <rPr>
        <b val="true"/>
        <sz val="16"/>
        <color rgb="FF1F3864"/>
        <rFont val="Tahoma"/>
        <family val="0"/>
        <charset val="1"/>
      </rPr>
      <t xml:space="preserve">/ Delay &amp; Extension of Time (EOT) Register</t>
    </r>
  </si>
  <si>
    <t xml:space="preserve">บันทึกทุกเหตุการณ์ที่ทำให้งานล่าช้า พร้อมเลขที่หนังสือ – ใช้เป็นหลักฐานขอขยายเวลาและงดหรือลดค่าปรับ</t>
  </si>
  <si>
    <r>
      <rPr>
        <b val="true"/>
        <sz val="9"/>
        <color rgb="FF595959"/>
        <rFont val="FreeSans"/>
        <family val="2"/>
      </rPr>
      <t xml:space="preserve">ขอขยายเวลารวม </t>
    </r>
    <r>
      <rPr>
        <b val="true"/>
        <sz val="9"/>
        <color rgb="FF595959"/>
        <rFont val="Tahoma"/>
        <family val="0"/>
        <charset val="1"/>
      </rPr>
      <t xml:space="preserve">/ Total Claimed (</t>
    </r>
    <r>
      <rPr>
        <b val="true"/>
        <sz val="9"/>
        <color rgb="FF595959"/>
        <rFont val="FreeSans"/>
        <family val="2"/>
      </rPr>
      <t xml:space="preserve">วัน</t>
    </r>
    <r>
      <rPr>
        <b val="true"/>
        <sz val="9"/>
        <color rgb="FF595959"/>
        <rFont val="Tahoma"/>
        <family val="0"/>
        <charset val="1"/>
      </rPr>
      <t xml:space="preserve">)</t>
    </r>
  </si>
  <si>
    <r>
      <rPr>
        <b val="true"/>
        <sz val="9"/>
        <color rgb="FF595959"/>
        <rFont val="FreeSans"/>
        <family val="2"/>
      </rPr>
      <t xml:space="preserve">อนุมัติแล้ว </t>
    </r>
    <r>
      <rPr>
        <b val="true"/>
        <sz val="9"/>
        <color rgb="FF595959"/>
        <rFont val="Tahoma"/>
        <family val="0"/>
        <charset val="1"/>
      </rPr>
      <t xml:space="preserve">/ Approved (</t>
    </r>
    <r>
      <rPr>
        <b val="true"/>
        <sz val="9"/>
        <color rgb="FF595959"/>
        <rFont val="FreeSans"/>
        <family val="2"/>
      </rPr>
      <t xml:space="preserve">วัน</t>
    </r>
    <r>
      <rPr>
        <b val="true"/>
        <sz val="9"/>
        <color rgb="FF595959"/>
        <rFont val="Tahoma"/>
        <family val="0"/>
        <charset val="1"/>
      </rPr>
      <t xml:space="preserve">)</t>
    </r>
  </si>
  <si>
    <r>
      <rPr>
        <b val="true"/>
        <sz val="9"/>
        <color rgb="FF595959"/>
        <rFont val="FreeSans"/>
        <family val="2"/>
      </rPr>
      <t xml:space="preserve">รอพิจารณา </t>
    </r>
    <r>
      <rPr>
        <b val="true"/>
        <sz val="9"/>
        <color rgb="FF595959"/>
        <rFont val="Tahoma"/>
        <family val="0"/>
        <charset val="1"/>
      </rPr>
      <t xml:space="preserve">/ Pending (</t>
    </r>
    <r>
      <rPr>
        <b val="true"/>
        <sz val="9"/>
        <color rgb="FF595959"/>
        <rFont val="FreeSans"/>
        <family val="2"/>
      </rPr>
      <t xml:space="preserve">วัน</t>
    </r>
    <r>
      <rPr>
        <b val="true"/>
        <sz val="9"/>
        <color rgb="FF595959"/>
        <rFont val="Tahoma"/>
        <family val="0"/>
        <charset val="1"/>
      </rPr>
      <t xml:space="preserve">)</t>
    </r>
  </si>
  <si>
    <r>
      <rPr>
        <b val="true"/>
        <sz val="9"/>
        <color rgb="FF595959"/>
        <rFont val="FreeSans"/>
        <family val="2"/>
      </rPr>
      <t xml:space="preserve">จากผู้ว่าจ้าง </t>
    </r>
    <r>
      <rPr>
        <b val="true"/>
        <sz val="9"/>
        <color rgb="FF595959"/>
        <rFont val="Tahoma"/>
        <family val="0"/>
        <charset val="1"/>
      </rPr>
      <t xml:space="preserve">/ Employer-caused (</t>
    </r>
    <r>
      <rPr>
        <b val="true"/>
        <sz val="9"/>
        <color rgb="FF595959"/>
        <rFont val="FreeSans"/>
        <family val="2"/>
      </rPr>
      <t xml:space="preserve">วัน</t>
    </r>
    <r>
      <rPr>
        <b val="true"/>
        <sz val="9"/>
        <color rgb="FF595959"/>
        <rFont val="Tahoma"/>
        <family val="0"/>
        <charset val="1"/>
      </rPr>
      <t xml:space="preserve">)</t>
    </r>
  </si>
  <si>
    <r>
      <rPr>
        <b val="true"/>
        <sz val="9"/>
        <color rgb="FFFFFFFF"/>
        <rFont val="FreeSans"/>
        <family val="2"/>
      </rPr>
      <t xml:space="preserve">ลำดับ
</t>
    </r>
    <r>
      <rPr>
        <b val="true"/>
        <sz val="9"/>
        <color rgb="FFFFFFFF"/>
        <rFont val="Tahoma"/>
        <family val="0"/>
        <charset val="1"/>
      </rPr>
      <t xml:space="preserve">No.</t>
    </r>
  </si>
  <si>
    <r>
      <rPr>
        <b val="true"/>
        <sz val="9"/>
        <color rgb="FFFFFFFF"/>
        <rFont val="FreeSans"/>
        <family val="2"/>
      </rPr>
      <t xml:space="preserve">วันที่เกิดเหตุ
</t>
    </r>
    <r>
      <rPr>
        <b val="true"/>
        <sz val="9"/>
        <color rgb="FFFFFFFF"/>
        <rFont val="Tahoma"/>
        <family val="0"/>
        <charset val="1"/>
      </rPr>
      <t xml:space="preserve">Event Date</t>
    </r>
  </si>
  <si>
    <r>
      <rPr>
        <b val="true"/>
        <sz val="9"/>
        <color rgb="FFFFFFFF"/>
        <rFont val="FreeSans"/>
        <family val="2"/>
      </rPr>
      <t xml:space="preserve">รายละเอียดเหตุการณ์
</t>
    </r>
    <r>
      <rPr>
        <b val="true"/>
        <sz val="9"/>
        <color rgb="FFFFFFFF"/>
        <rFont val="Tahoma"/>
        <family val="0"/>
        <charset val="1"/>
      </rPr>
      <t xml:space="preserve">Description of Delay Event</t>
    </r>
  </si>
  <si>
    <r>
      <rPr>
        <b val="true"/>
        <sz val="9"/>
        <color rgb="FFFFFFFF"/>
        <rFont val="Tahoma"/>
        <family val="0"/>
        <charset val="1"/>
      </rPr>
      <t xml:space="preserve">WBS </t>
    </r>
    <r>
      <rPr>
        <b val="true"/>
        <sz val="9"/>
        <color rgb="FFFFFFFF"/>
        <rFont val="FreeSans"/>
        <family val="2"/>
      </rPr>
      <t xml:space="preserve">ที่กระทบ
</t>
    </r>
    <r>
      <rPr>
        <b val="true"/>
        <sz val="9"/>
        <color rgb="FFFFFFFF"/>
        <rFont val="Tahoma"/>
        <family val="0"/>
        <charset val="1"/>
      </rPr>
      <t xml:space="preserve">Affected WBS</t>
    </r>
  </si>
  <si>
    <r>
      <rPr>
        <b val="true"/>
        <sz val="9"/>
        <color rgb="FFFFFFFF"/>
        <rFont val="FreeSans"/>
        <family val="2"/>
      </rPr>
      <t xml:space="preserve">สาเหตุจาก
</t>
    </r>
    <r>
      <rPr>
        <b val="true"/>
        <sz val="9"/>
        <color rgb="FFFFFFFF"/>
        <rFont val="Tahoma"/>
        <family val="0"/>
        <charset val="1"/>
      </rPr>
      <t xml:space="preserve">Caused by</t>
    </r>
  </si>
  <si>
    <r>
      <rPr>
        <b val="true"/>
        <sz val="9"/>
        <color rgb="FFFFFFFF"/>
        <rFont val="FreeSans"/>
        <family val="2"/>
      </rPr>
      <t xml:space="preserve">วันที่ขอขยาย
</t>
    </r>
    <r>
      <rPr>
        <b val="true"/>
        <sz val="9"/>
        <color rgb="FFFFFFFF"/>
        <rFont val="Tahoma"/>
        <family val="0"/>
        <charset val="1"/>
      </rPr>
      <t xml:space="preserve">Days Claimed</t>
    </r>
  </si>
  <si>
    <r>
      <rPr>
        <b val="true"/>
        <sz val="9"/>
        <color rgb="FFFFFFFF"/>
        <rFont val="FreeSans"/>
        <family val="2"/>
      </rPr>
      <t xml:space="preserve">เลขที่หนังสือ
</t>
    </r>
    <r>
      <rPr>
        <b val="true"/>
        <sz val="9"/>
        <color rgb="FFFFFFFF"/>
        <rFont val="Tahoma"/>
        <family val="0"/>
        <charset val="1"/>
      </rPr>
      <t xml:space="preserve">Letter Ref.</t>
    </r>
  </si>
  <si>
    <r>
      <rPr>
        <b val="true"/>
        <sz val="9"/>
        <color rgb="FFFFFFFF"/>
        <rFont val="FreeSans"/>
        <family val="2"/>
      </rPr>
      <t xml:space="preserve">วันที่ยื่น
</t>
    </r>
    <r>
      <rPr>
        <b val="true"/>
        <sz val="9"/>
        <color rgb="FFFFFFFF"/>
        <rFont val="Tahoma"/>
        <family val="0"/>
        <charset val="1"/>
      </rPr>
      <t xml:space="preserve">Submitted</t>
    </r>
  </si>
  <si>
    <r>
      <rPr>
        <b val="true"/>
        <sz val="9"/>
        <color rgb="FFFFFFFF"/>
        <rFont val="FreeSans"/>
        <family val="2"/>
      </rPr>
      <t xml:space="preserve">ผลพิจารณา
</t>
    </r>
    <r>
      <rPr>
        <b val="true"/>
        <sz val="9"/>
        <color rgb="FFFFFFFF"/>
        <rFont val="Tahoma"/>
        <family val="0"/>
        <charset val="1"/>
      </rPr>
      <t xml:space="preserve">Status</t>
    </r>
  </si>
  <si>
    <r>
      <rPr>
        <b val="true"/>
        <sz val="9"/>
        <color rgb="FFFFFFFF"/>
        <rFont val="FreeSans"/>
        <family val="2"/>
      </rPr>
      <t xml:space="preserve">วันที่อนุมัติ
</t>
    </r>
    <r>
      <rPr>
        <b val="true"/>
        <sz val="9"/>
        <color rgb="FFFFFFFF"/>
        <rFont val="Tahoma"/>
        <family val="0"/>
        <charset val="1"/>
      </rPr>
      <t xml:space="preserve">Days Approved</t>
    </r>
  </si>
  <si>
    <r>
      <rPr>
        <b val="true"/>
        <sz val="9"/>
        <color rgb="FFFFFFFF"/>
        <rFont val="FreeSans"/>
        <family val="2"/>
      </rPr>
      <t xml:space="preserve">สิทธิ์ขยายเวลา
</t>
    </r>
    <r>
      <rPr>
        <b val="true"/>
        <sz val="9"/>
        <color rgb="FFFFFFFF"/>
        <rFont val="Tahoma"/>
        <family val="0"/>
        <charset val="1"/>
      </rPr>
      <t xml:space="preserve">Entitlement</t>
    </r>
  </si>
  <si>
    <r>
      <rPr>
        <sz val="10"/>
        <color rgb="FF0000FF"/>
        <rFont val="FreeSans"/>
        <family val="2"/>
      </rPr>
      <t xml:space="preserve">ฝนตกหนักต่อเนื่อง ไม่สามารถบดอัดดินได้ </t>
    </r>
    <r>
      <rPr>
        <sz val="10"/>
        <color rgb="FF0000FF"/>
        <rFont val="Tahoma"/>
        <family val="0"/>
        <charset val="1"/>
      </rPr>
      <t xml:space="preserve">(</t>
    </r>
    <r>
      <rPr>
        <sz val="10"/>
        <color rgb="FF0000FF"/>
        <rFont val="FreeSans"/>
        <family val="2"/>
      </rPr>
      <t xml:space="preserve">ตัวอย่าง</t>
    </r>
    <r>
      <rPr>
        <sz val="10"/>
        <color rgb="FF0000FF"/>
        <rFont val="Tahoma"/>
        <family val="0"/>
        <charset val="1"/>
      </rPr>
      <t xml:space="preserve">)</t>
    </r>
  </si>
  <si>
    <t xml:space="preserve">1.2.01</t>
  </si>
  <si>
    <r>
      <rPr>
        <sz val="10"/>
        <color rgb="FF0000FF"/>
        <rFont val="FreeSans"/>
        <family val="2"/>
      </rPr>
      <t xml:space="preserve">เหตุสุดวิสัย </t>
    </r>
    <r>
      <rPr>
        <sz val="10"/>
        <color rgb="FF0000FF"/>
        <rFont val="Tahoma"/>
        <family val="0"/>
        <charset val="1"/>
      </rPr>
      <t xml:space="preserve">/ Force Majeure</t>
    </r>
  </si>
  <si>
    <r>
      <rPr>
        <sz val="10"/>
        <color rgb="FF0000FF"/>
        <rFont val="FreeSans"/>
        <family val="2"/>
      </rPr>
      <t xml:space="preserve">ตย</t>
    </r>
    <r>
      <rPr>
        <sz val="10"/>
        <color rgb="FF0000FF"/>
        <rFont val="Tahoma"/>
        <family val="0"/>
        <charset val="1"/>
      </rPr>
      <t xml:space="preserve">.001/2569</t>
    </r>
  </si>
  <si>
    <r>
      <rPr>
        <sz val="10"/>
        <color rgb="FF0000FF"/>
        <rFont val="FreeSans"/>
        <family val="2"/>
      </rPr>
      <t xml:space="preserve">รอพิจารณา </t>
    </r>
    <r>
      <rPr>
        <sz val="10"/>
        <color rgb="FF0000FF"/>
        <rFont val="Tahoma"/>
        <family val="0"/>
        <charset val="1"/>
      </rPr>
      <t xml:space="preserve">/ Pending</t>
    </r>
  </si>
  <si>
    <r>
      <rPr>
        <sz val="10"/>
        <color rgb="FF0000FF"/>
        <rFont val="FreeSans"/>
        <family val="2"/>
      </rPr>
      <t xml:space="preserve">ผู้ว่าจ้างแก้ไขแบบบ่อพักและท่อลอด </t>
    </r>
    <r>
      <rPr>
        <sz val="10"/>
        <color rgb="FF0000FF"/>
        <rFont val="Tahoma"/>
        <family val="0"/>
        <charset val="1"/>
      </rPr>
      <t xml:space="preserve">(</t>
    </r>
    <r>
      <rPr>
        <sz val="10"/>
        <color rgb="FF0000FF"/>
        <rFont val="FreeSans"/>
        <family val="2"/>
      </rPr>
      <t xml:space="preserve">ตัวอย่าง</t>
    </r>
    <r>
      <rPr>
        <sz val="10"/>
        <color rgb="FF0000FF"/>
        <rFont val="Tahoma"/>
        <family val="0"/>
        <charset val="1"/>
      </rPr>
      <t xml:space="preserve">)</t>
    </r>
  </si>
  <si>
    <r>
      <rPr>
        <sz val="10"/>
        <color rgb="FF0000FF"/>
        <rFont val="FreeSans"/>
        <family val="2"/>
      </rPr>
      <t xml:space="preserve">ผู้ว่าจ้าง </t>
    </r>
    <r>
      <rPr>
        <sz val="10"/>
        <color rgb="FF0000FF"/>
        <rFont val="Tahoma"/>
        <family val="0"/>
        <charset val="1"/>
      </rPr>
      <t xml:space="preserve">/ Employer</t>
    </r>
  </si>
  <si>
    <r>
      <rPr>
        <sz val="10"/>
        <color rgb="FF0000FF"/>
        <rFont val="FreeSans"/>
        <family val="2"/>
      </rPr>
      <t xml:space="preserve">ตย</t>
    </r>
    <r>
      <rPr>
        <sz val="10"/>
        <color rgb="FF0000FF"/>
        <rFont val="Tahoma"/>
        <family val="0"/>
        <charset val="1"/>
      </rPr>
      <t xml:space="preserve">.002/2569</t>
    </r>
  </si>
  <si>
    <r>
      <rPr>
        <sz val="10"/>
        <color rgb="FF0000FF"/>
        <rFont val="FreeSans"/>
        <family val="2"/>
      </rPr>
      <t xml:space="preserve">อนุมัติบางส่วน </t>
    </r>
    <r>
      <rPr>
        <sz val="10"/>
        <color rgb="FF0000FF"/>
        <rFont val="Tahoma"/>
        <family val="0"/>
        <charset val="1"/>
      </rPr>
      <t xml:space="preserve">/ Partial</t>
    </r>
  </si>
</sst>
</file>

<file path=xl/styles.xml><?xml version="1.0" encoding="utf-8"?>
<styleSheet xmlns="http://schemas.openxmlformats.org/spreadsheetml/2006/main">
  <numFmts count="31">
    <numFmt numFmtId="164" formatCode="General"/>
    <numFmt numFmtId="165" formatCode="#,##0;[RED]\(#,##0\);\-"/>
    <numFmt numFmtId="166" formatCode="dd\-mmm\-yy"/>
    <numFmt numFmtId="167" formatCode="#,##0"/>
    <numFmt numFmtId="168" formatCode="0.000%"/>
    <numFmt numFmtId="169" formatCode="0%"/>
    <numFmt numFmtId="170" formatCode="0"/>
    <numFmt numFmtId="171" formatCode="General"/>
    <numFmt numFmtId="172" formatCode="0.00%;\-0.00%;\-"/>
    <numFmt numFmtId="173" formatCode="#,##0;[RED]\-#,##0;0"/>
    <numFmt numFmtId="174" formatCode="0.00%;[RED]\-0.00%;\-"/>
    <numFmt numFmtId="175" formatCode="0.00"/>
    <numFmt numFmtId="176" formatCode="#,##0.0"/>
    <numFmt numFmtId="177" formatCode="#,##0.0;[RED]\-#,##0.0"/>
    <numFmt numFmtId="178" formatCode="0.0\x"/>
    <numFmt numFmtId="179" formatCode="0.0"/>
    <numFmt numFmtId="180" formatCode="mmm\-yy"/>
    <numFmt numFmtId="181" formatCode="#,##0.0,,&quot; M&quot;"/>
    <numFmt numFmtId="182" formatCode=";;;"/>
    <numFmt numFmtId="183" formatCode="d/m/yy"/>
    <numFmt numFmtId="184" formatCode="\+#,##0;\-#,##0;0"/>
    <numFmt numFmtId="185" formatCode="#,##0&quot; วัน&quot;"/>
    <numFmt numFmtId="186" formatCode="#,##0.00;[RED]\(#,##0.00\);\-"/>
    <numFmt numFmtId="187" formatCode="#,##0;\-#,##0;\-"/>
    <numFmt numFmtId="188" formatCode="0.00%;[RED]\-0.00%;0.00%"/>
    <numFmt numFmtId="189" formatCode="\+#,##0&quot; วัน&quot;;[RED]\-#,##0&quot; วัน&quot;;0&quot; วัน&quot;"/>
    <numFmt numFmtId="190" formatCode="#,##0.00"/>
    <numFmt numFmtId="191" formatCode="#,##0;\-#,##0;0"/>
    <numFmt numFmtId="192" formatCode="#,##0.00;[RED]\-#,##0.00;\-"/>
    <numFmt numFmtId="193" formatCode="0.00%"/>
    <numFmt numFmtId="194" formatCode="0.0000"/>
  </numFmts>
  <fonts count="6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FreeSans"/>
      <family val="2"/>
    </font>
    <font>
      <b val="true"/>
      <sz val="16"/>
      <color rgb="FF1F3864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b val="true"/>
      <sz val="11"/>
      <color rgb="FFFFFFFF"/>
      <name val="FreeSans"/>
      <family val="2"/>
    </font>
    <font>
      <sz val="9"/>
      <name val="FreeSans"/>
      <family val="2"/>
    </font>
    <font>
      <sz val="9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9"/>
      <color rgb="FFC00000"/>
      <name val="Tahoma"/>
      <family val="0"/>
      <charset val="1"/>
    </font>
    <font>
      <b val="true"/>
      <sz val="9"/>
      <color rgb="FF1F3864"/>
      <name val="FreeSans"/>
      <family val="2"/>
    </font>
    <font>
      <b val="true"/>
      <sz val="9"/>
      <color rgb="FF1F3864"/>
      <name val="Tahoma"/>
      <family val="0"/>
      <charset val="1"/>
    </font>
    <font>
      <b val="true"/>
      <sz val="9"/>
      <name val="FreeSans"/>
      <family val="2"/>
    </font>
    <font>
      <b val="true"/>
      <sz val="9"/>
      <name val="Tahoma"/>
      <family val="0"/>
      <charset val="1"/>
    </font>
    <font>
      <i val="true"/>
      <sz val="9"/>
      <color rgb="FF595959"/>
      <name val="FreeSans"/>
      <family val="2"/>
    </font>
    <font>
      <i val="true"/>
      <sz val="9"/>
      <color rgb="FF595959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9"/>
      <color rgb="FFFFFFFF"/>
      <name val="Tahoma"/>
      <family val="0"/>
      <charset val="1"/>
    </font>
    <font>
      <sz val="10"/>
      <name val="FreeSans"/>
      <family val="2"/>
    </font>
    <font>
      <sz val="10"/>
      <name val="Tahoma"/>
      <family val="0"/>
      <charset val="1"/>
    </font>
    <font>
      <sz val="10"/>
      <color rgb="FF0000FF"/>
      <name val="FreeSans"/>
      <family val="2"/>
    </font>
    <font>
      <sz val="10"/>
      <color rgb="FF0000FF"/>
      <name val="Tahoma"/>
      <family val="0"/>
      <charset val="1"/>
    </font>
    <font>
      <b val="true"/>
      <sz val="10"/>
      <name val="Tahoma"/>
      <family val="0"/>
      <charset val="1"/>
    </font>
    <font>
      <b val="true"/>
      <sz val="9"/>
      <color rgb="FF808080"/>
      <name val="FreeSans"/>
      <family val="2"/>
    </font>
    <font>
      <b val="true"/>
      <sz val="9"/>
      <color rgb="FF808080"/>
      <name val="Tahoma"/>
      <family val="0"/>
      <charset val="1"/>
    </font>
    <font>
      <sz val="9"/>
      <color rgb="FF808080"/>
      <name val="FreeSans"/>
      <family val="2"/>
    </font>
    <font>
      <sz val="9"/>
      <color rgb="FF808080"/>
      <name val="Tahom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FreeSans"/>
      <family val="2"/>
    </font>
    <font>
      <b val="true"/>
      <sz val="18"/>
      <color rgb="FF000000"/>
      <name val="FreeSans"/>
      <family val="2"/>
    </font>
    <font>
      <b val="true"/>
      <sz val="10"/>
      <name val="FreeSans"/>
      <family val="2"/>
    </font>
    <font>
      <b val="true"/>
      <sz val="10"/>
      <color rgb="FF008000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8"/>
      <color rgb="FFA6A6A6"/>
      <name val="Tahoma"/>
      <family val="0"/>
      <charset val="1"/>
    </font>
    <font>
      <i val="true"/>
      <sz val="8"/>
      <color rgb="FF808080"/>
      <name val="FreeSans"/>
      <family val="2"/>
    </font>
    <font>
      <i val="true"/>
      <sz val="8"/>
      <color rgb="FF808080"/>
      <name val="Tahoma"/>
      <family val="0"/>
      <charset val="1"/>
    </font>
    <font>
      <b val="true"/>
      <sz val="16"/>
      <color rgb="FFFFFFFF"/>
      <name val="FreeSans"/>
      <family val="2"/>
    </font>
    <font>
      <b val="true"/>
      <sz val="16"/>
      <color rgb="FFFFFFFF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0"/>
      <color rgb="FFFFFFFF"/>
      <name val="FreeSans"/>
      <family val="2"/>
    </font>
    <font>
      <sz val="8"/>
      <color rgb="FFFFFFFF"/>
      <name val="Tahoma"/>
      <family val="0"/>
      <charset val="1"/>
    </font>
    <font>
      <i val="true"/>
      <sz val="9"/>
      <color rgb="FF808080"/>
      <name val="FreeSans"/>
      <family val="2"/>
    </font>
    <font>
      <b val="true"/>
      <sz val="22"/>
      <name val="FreeSans"/>
      <family val="2"/>
    </font>
    <font>
      <b val="true"/>
      <sz val="11"/>
      <name val="FreeSans"/>
      <family val="2"/>
    </font>
    <font>
      <sz val="11"/>
      <name val="Tahoma"/>
      <family val="0"/>
      <charset val="1"/>
    </font>
    <font>
      <sz val="11"/>
      <name val="FreeSans"/>
      <family val="2"/>
    </font>
    <font>
      <i val="true"/>
      <sz val="8"/>
      <color rgb="FFC00000"/>
      <name val="Tahoma"/>
      <family val="0"/>
      <charset val="1"/>
    </font>
    <font>
      <b val="true"/>
      <sz val="14"/>
      <color rgb="FF1F3864"/>
      <name val="Tahoma"/>
      <family val="0"/>
      <charset val="1"/>
    </font>
    <font>
      <sz val="12"/>
      <color rgb="FFBFBFBF"/>
      <name val="FreeSans"/>
      <family val="2"/>
    </font>
    <font>
      <sz val="12"/>
      <color rgb="FFBFBFBF"/>
      <name val="Tahoma"/>
      <family val="0"/>
      <charset val="1"/>
    </font>
    <font>
      <sz val="9"/>
      <color rgb="FF0000FF"/>
      <name val="Tahoma"/>
      <family val="0"/>
      <charset val="1"/>
    </font>
    <font>
      <b val="true"/>
      <sz val="11"/>
      <color rgb="FF1F3864"/>
      <name val="Tahoma"/>
      <family val="0"/>
      <charset val="1"/>
    </font>
    <font>
      <i val="true"/>
      <sz val="8"/>
      <color rgb="FF595959"/>
      <name val="FreeSans"/>
      <family val="2"/>
    </font>
    <font>
      <i val="true"/>
      <sz val="8"/>
      <color rgb="FF595959"/>
      <name val="Tahoma"/>
      <family val="0"/>
      <charset val="1"/>
    </font>
    <font>
      <i val="true"/>
      <sz val="8"/>
      <color rgb="FFC00000"/>
      <name val="FreeSans"/>
      <family val="2"/>
    </font>
    <font>
      <sz val="10"/>
      <name val="Arial"/>
      <family val="2"/>
      <charset val="1"/>
    </font>
    <font>
      <sz val="10"/>
      <name val="FreeSans"/>
      <family val="2"/>
      <charset val="1"/>
    </font>
    <font>
      <b val="true"/>
      <sz val="9"/>
      <color rgb="FF595959"/>
      <name val="FreeSans"/>
      <family val="2"/>
    </font>
    <font>
      <b val="true"/>
      <sz val="9"/>
      <color rgb="FF595959"/>
      <name val="Tahoma"/>
      <family val="0"/>
      <charset val="1"/>
    </font>
    <font>
      <b val="true"/>
      <sz val="16"/>
      <color rgb="FFC00000"/>
      <name val="Tahoma"/>
      <family val="0"/>
      <charset val="1"/>
    </font>
    <font>
      <sz val="10"/>
      <name val="Arial"/>
      <family val="2"/>
    </font>
    <font>
      <sz val="8"/>
      <color rgb="FF808080"/>
      <name val="Tahoma"/>
      <family val="0"/>
      <charset val="1"/>
    </font>
    <font>
      <sz val="8"/>
      <color rgb="FF808080"/>
      <name val="FreeSans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9BC2E6"/>
        <bgColor rgb="FFBFBFBF"/>
      </patternFill>
    </fill>
    <fill>
      <patternFill patternType="solid">
        <fgColor rgb="FFC00000"/>
        <bgColor rgb="FF9C0006"/>
      </patternFill>
    </fill>
    <fill>
      <patternFill patternType="solid">
        <fgColor rgb="FF7030A0"/>
        <bgColor rgb="FF800080"/>
      </patternFill>
    </fill>
    <fill>
      <patternFill patternType="solid">
        <fgColor rgb="FFC55A11"/>
        <bgColor rgb="FF9C5700"/>
      </patternFill>
    </fill>
    <fill>
      <patternFill patternType="solid">
        <fgColor rgb="FFE2EFDA"/>
        <bgColor rgb="FFEDF2F9"/>
      </patternFill>
    </fill>
    <fill>
      <patternFill patternType="solid">
        <fgColor rgb="FF2F5597"/>
        <bgColor rgb="FF1F3864"/>
      </patternFill>
    </fill>
    <fill>
      <patternFill patternType="solid">
        <fgColor rgb="FF548235"/>
        <bgColor rgb="FF59595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dotted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3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23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23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21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3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23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3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83" fontId="36" fillId="2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71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1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1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2" fillId="1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1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15" fillId="9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4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5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86" fontId="23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6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6" fontId="24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4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4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1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8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23" fillId="4" borderId="1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4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4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88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0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1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1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71" fontId="2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1" fontId="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4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5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4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5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5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23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92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2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3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3" fontId="23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21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2" fontId="15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6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11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8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4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11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4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93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8">
    <dxf>
      <font>
        <b val="1"/>
        <color rgb="FFFFFFFF"/>
      </font>
      <fill>
        <patternFill>
          <bgColor rgb="FFC00000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C00000"/>
      </font>
      <fill>
        <patternFill>
          <bgColor rgb="FFFFC7CE"/>
        </patternFill>
      </fill>
    </dxf>
    <dxf>
      <font>
        <b val="1"/>
        <color rgb="FFC00000"/>
      </font>
    </dxf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70AD47"/>
        </patternFill>
      </fill>
    </dxf>
    <dxf>
      <fill>
        <patternFill>
          <bgColor rgb="FFF4B084"/>
        </patternFill>
      </fill>
    </dxf>
    <dxf>
      <fill>
        <patternFill>
          <bgColor rgb="FF9BC2E6"/>
        </patternFill>
      </fill>
    </dxf>
    <dxf>
      <fill>
        <patternFill>
          <bgColor rgb="FFC00000"/>
        </patternFill>
      </fill>
    </dxf>
    <dxf>
      <fill>
        <patternFill>
          <bgColor rgb="FFFFEB9C"/>
        </patternFill>
      </fill>
    </dxf>
    <dxf>
      <font>
        <b val="1"/>
        <color rgb="FF9C0006"/>
      </font>
    </dxf>
    <dxf>
      <font>
        <b val="1"/>
        <color rgb="FF006100"/>
      </font>
    </dxf>
    <dxf>
      <fill>
        <patternFill>
          <bgColor rgb="FFFCE4D6"/>
        </patternFill>
      </fill>
    </dxf>
    <dxf>
      <font>
        <color rgb="FFC00000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F2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>
          <bgColor rgb="FFEDF2F9"/>
        </patternFill>
      </fill>
    </dxf>
    <dxf>
      <font>
        <b val="1"/>
      </font>
      <fill>
        <patternFill>
          <bgColor rgb="FFFCE4D6"/>
        </patternFill>
      </fill>
    </dxf>
    <dxf>
      <font>
        <color rgb="FF9C0006"/>
      </font>
    </dxf>
  </dxfs>
  <colors>
    <indexedColors>
      <rgbColor rgb="FF000000"/>
      <rgbColor rgb="FFFFFFFF"/>
      <rgbColor rgb="FFC00000"/>
      <rgbColor rgb="FF00FF00"/>
      <rgbColor rgb="FF0000FF"/>
      <rgbColor rgb="FFF9F9F9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808080"/>
      <rgbColor rgb="FFA6A6A6"/>
      <rgbColor rgb="FF7030A0"/>
      <rgbColor rgb="FFFFF2CC"/>
      <rgbColor rgb="FFEDF2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BC2E6"/>
      <rgbColor rgb="FFF4B084"/>
      <rgbColor rgb="FFD9E1F2"/>
      <rgbColor rgb="FFFFC7CE"/>
      <rgbColor rgb="FF7F7F7F"/>
      <rgbColor rgb="FF33CCCC"/>
      <rgbColor rgb="FF99CC00"/>
      <rgbColor rgb="FFFCE4D6"/>
      <rgbColor rgb="FFFF9900"/>
      <rgbColor rgb="FFED7D31"/>
      <rgbColor rgb="FF595959"/>
      <rgbColor rgb="FF878787"/>
      <rgbColor rgb="FF1F3864"/>
      <rgbColor rgb="FF70AD47"/>
      <rgbColor rgb="FF006100"/>
      <rgbColor rgb="FF333300"/>
      <rgbColor rgb="FF9C5700"/>
      <rgbColor rgb="FFC55A11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S-Curve: Baseline / Revised / Actual /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'S-Curve'!$Q$6</c:f>
              <c:strCache>
                <c:ptCount val="1"/>
                <c:pt idx="0">
                  <c:v>Baseline แผนเดิม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'S-Curve'!$P$7:$P$86</c:f>
              <c:numCache>
                <c:formatCode>dd\-mmm\-yy</c:formatCode>
                <c:ptCount val="80"/>
                <c:pt idx="0">
                  <c:v>46183</c:v>
                </c:pt>
                <c:pt idx="1">
                  <c:v>46193</c:v>
                </c:pt>
                <c:pt idx="2">
                  <c:v>46203</c:v>
                </c:pt>
                <c:pt idx="3">
                  <c:v>46213</c:v>
                </c:pt>
                <c:pt idx="4">
                  <c:v>46223</c:v>
                </c:pt>
                <c:pt idx="5">
                  <c:v>46234</c:v>
                </c:pt>
                <c:pt idx="6">
                  <c:v>46244</c:v>
                </c:pt>
                <c:pt idx="7">
                  <c:v>46254</c:v>
                </c:pt>
                <c:pt idx="8">
                  <c:v>46265</c:v>
                </c:pt>
                <c:pt idx="9">
                  <c:v>46275</c:v>
                </c:pt>
                <c:pt idx="10">
                  <c:v>46285</c:v>
                </c:pt>
                <c:pt idx="11">
                  <c:v>46295</c:v>
                </c:pt>
                <c:pt idx="12">
                  <c:v>46305</c:v>
                </c:pt>
                <c:pt idx="13">
                  <c:v>46315</c:v>
                </c:pt>
                <c:pt idx="14">
                  <c:v>46326</c:v>
                </c:pt>
                <c:pt idx="15">
                  <c:v>46336</c:v>
                </c:pt>
                <c:pt idx="16">
                  <c:v>46346</c:v>
                </c:pt>
                <c:pt idx="17">
                  <c:v>46356</c:v>
                </c:pt>
                <c:pt idx="18">
                  <c:v>46366</c:v>
                </c:pt>
                <c:pt idx="19">
                  <c:v>46376</c:v>
                </c:pt>
                <c:pt idx="20">
                  <c:v>46387</c:v>
                </c:pt>
                <c:pt idx="21">
                  <c:v>46397</c:v>
                </c:pt>
                <c:pt idx="22">
                  <c:v>46407</c:v>
                </c:pt>
                <c:pt idx="23">
                  <c:v>46418</c:v>
                </c:pt>
                <c:pt idx="24">
                  <c:v>46428</c:v>
                </c:pt>
                <c:pt idx="25">
                  <c:v>46438</c:v>
                </c:pt>
                <c:pt idx="26">
                  <c:v>46446</c:v>
                </c:pt>
                <c:pt idx="27">
                  <c:v>46456</c:v>
                </c:pt>
                <c:pt idx="28">
                  <c:v>46466</c:v>
                </c:pt>
                <c:pt idx="29">
                  <c:v>46477</c:v>
                </c:pt>
                <c:pt idx="30">
                  <c:v>46487</c:v>
                </c:pt>
                <c:pt idx="31">
                  <c:v>46487</c:v>
                </c:pt>
                <c:pt idx="32">
                  <c:v>46487</c:v>
                </c:pt>
                <c:pt idx="33">
                  <c:v>46487</c:v>
                </c:pt>
                <c:pt idx="34">
                  <c:v>46487</c:v>
                </c:pt>
                <c:pt idx="35">
                  <c:v>46487</c:v>
                </c:pt>
                <c:pt idx="36">
                  <c:v>46487</c:v>
                </c:pt>
                <c:pt idx="37">
                  <c:v>46487</c:v>
                </c:pt>
                <c:pt idx="38">
                  <c:v>46487</c:v>
                </c:pt>
                <c:pt idx="39">
                  <c:v>46487</c:v>
                </c:pt>
                <c:pt idx="40">
                  <c:v>46487</c:v>
                </c:pt>
                <c:pt idx="41">
                  <c:v>46487</c:v>
                </c:pt>
                <c:pt idx="42">
                  <c:v>46487</c:v>
                </c:pt>
                <c:pt idx="43">
                  <c:v>46487</c:v>
                </c:pt>
                <c:pt idx="44">
                  <c:v>46487</c:v>
                </c:pt>
                <c:pt idx="45">
                  <c:v>46487</c:v>
                </c:pt>
                <c:pt idx="46">
                  <c:v>46487</c:v>
                </c:pt>
                <c:pt idx="47">
                  <c:v>46487</c:v>
                </c:pt>
                <c:pt idx="48">
                  <c:v>46487</c:v>
                </c:pt>
                <c:pt idx="49">
                  <c:v>46487</c:v>
                </c:pt>
                <c:pt idx="50">
                  <c:v>46487</c:v>
                </c:pt>
                <c:pt idx="51">
                  <c:v>46487</c:v>
                </c:pt>
                <c:pt idx="52">
                  <c:v>46487</c:v>
                </c:pt>
                <c:pt idx="53">
                  <c:v>46487</c:v>
                </c:pt>
                <c:pt idx="54">
                  <c:v>46487</c:v>
                </c:pt>
                <c:pt idx="55">
                  <c:v>46487</c:v>
                </c:pt>
                <c:pt idx="56">
                  <c:v>46487</c:v>
                </c:pt>
                <c:pt idx="57">
                  <c:v>46487</c:v>
                </c:pt>
                <c:pt idx="58">
                  <c:v>46487</c:v>
                </c:pt>
                <c:pt idx="59">
                  <c:v>46487</c:v>
                </c:pt>
                <c:pt idx="60">
                  <c:v>46487</c:v>
                </c:pt>
                <c:pt idx="61">
                  <c:v>46487</c:v>
                </c:pt>
                <c:pt idx="62">
                  <c:v>46487</c:v>
                </c:pt>
                <c:pt idx="63">
                  <c:v>46487</c:v>
                </c:pt>
                <c:pt idx="64">
                  <c:v>46487</c:v>
                </c:pt>
                <c:pt idx="65">
                  <c:v>46487</c:v>
                </c:pt>
                <c:pt idx="66">
                  <c:v>46487</c:v>
                </c:pt>
                <c:pt idx="67">
                  <c:v>46487</c:v>
                </c:pt>
                <c:pt idx="68">
                  <c:v>46487</c:v>
                </c:pt>
                <c:pt idx="69">
                  <c:v>46487</c:v>
                </c:pt>
                <c:pt idx="70">
                  <c:v>46487</c:v>
                </c:pt>
                <c:pt idx="71">
                  <c:v>46487</c:v>
                </c:pt>
                <c:pt idx="72">
                  <c:v>46487</c:v>
                </c:pt>
                <c:pt idx="73">
                  <c:v>46487</c:v>
                </c:pt>
                <c:pt idx="74">
                  <c:v>46487</c:v>
                </c:pt>
                <c:pt idx="75">
                  <c:v>46487</c:v>
                </c:pt>
                <c:pt idx="76">
                  <c:v>46487</c:v>
                </c:pt>
                <c:pt idx="77">
                  <c:v>46487</c:v>
                </c:pt>
                <c:pt idx="78">
                  <c:v>46487</c:v>
                </c:pt>
                <c:pt idx="79">
                  <c:v>46487</c:v>
                </c:pt>
              </c:numCache>
            </c:numRef>
          </c:xVal>
          <c:yVal>
            <c:numRef>
              <c:f>'S-Curve'!$Q$7:$Q$86</c:f>
              <c:numCache>
                <c:formatCode>0.00%</c:formatCode>
                <c:ptCount val="80"/>
                <c:pt idx="0">
                  <c:v>0.00723140495867769</c:v>
                </c:pt>
                <c:pt idx="1">
                  <c:v>0.02406025059984</c:v>
                </c:pt>
                <c:pt idx="2">
                  <c:v>0.0400559850706478</c:v>
                </c:pt>
                <c:pt idx="3">
                  <c:v>0.0560517195414556</c:v>
                </c:pt>
                <c:pt idx="4">
                  <c:v>0.0720474540122634</c:v>
                </c:pt>
                <c:pt idx="5">
                  <c:v>0.089642761930152</c:v>
                </c:pt>
                <c:pt idx="6">
                  <c:v>0.115008377299089</c:v>
                </c:pt>
                <c:pt idx="7">
                  <c:v>0.137447500338708</c:v>
                </c:pt>
                <c:pt idx="8">
                  <c:v>0.153332881723344</c:v>
                </c:pt>
                <c:pt idx="9">
                  <c:v>0.189160607565973</c:v>
                </c:pt>
                <c:pt idx="10">
                  <c:v>0.224988333408602</c:v>
                </c:pt>
                <c:pt idx="11">
                  <c:v>0.260816059251231</c:v>
                </c:pt>
                <c:pt idx="12">
                  <c:v>0.309951934356559</c:v>
                </c:pt>
                <c:pt idx="13">
                  <c:v>0.352605071635865</c:v>
                </c:pt>
                <c:pt idx="14">
                  <c:v>0.38689726001684</c:v>
                </c:pt>
                <c:pt idx="15">
                  <c:v>0.432701532901335</c:v>
                </c:pt>
                <c:pt idx="16">
                  <c:v>0.479382664753657</c:v>
                </c:pt>
                <c:pt idx="17">
                  <c:v>0.515284062506086</c:v>
                </c:pt>
                <c:pt idx="18">
                  <c:v>0.563087048406439</c:v>
                </c:pt>
                <c:pt idx="19">
                  <c:v>0.613334315727006</c:v>
                </c:pt>
                <c:pt idx="20">
                  <c:v>0.66938114374378</c:v>
                </c:pt>
                <c:pt idx="21">
                  <c:v>0.730831162864782</c:v>
                </c:pt>
                <c:pt idx="22">
                  <c:v>0.781332008166477</c:v>
                </c:pt>
                <c:pt idx="23">
                  <c:v>0.820190086466528</c:v>
                </c:pt>
                <c:pt idx="24">
                  <c:v>0.87004427010381</c:v>
                </c:pt>
                <c:pt idx="25">
                  <c:v>0.908906456794594</c:v>
                </c:pt>
                <c:pt idx="26">
                  <c:v>0.938019921562241</c:v>
                </c:pt>
                <c:pt idx="27">
                  <c:v>0.966401023219205</c:v>
                </c:pt>
                <c:pt idx="28">
                  <c:v>0.995179063360882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'S-Curve'!$S$6</c:f>
              <c:strCache>
                <c:ptCount val="1"/>
                <c:pt idx="0">
                  <c:v>Revised แผนเร่งรัด</c:v>
                </c:pt>
              </c:strCache>
            </c:strRef>
          </c:tx>
          <c:spPr>
            <a:solidFill>
              <a:srgbClr val="70ad47"/>
            </a:solidFill>
            <a:ln w="21960">
              <a:solidFill>
                <a:srgbClr val="70ad47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'S-Curve'!$R$7:$R$86</c:f>
              <c:numCache>
                <c:formatCode>dd\-mmm\-yy</c:formatCode>
                <c:ptCount val="80"/>
                <c:pt idx="0">
                  <c:v>46174</c:v>
                </c:pt>
                <c:pt idx="1">
                  <c:v>46174</c:v>
                </c:pt>
                <c:pt idx="2">
                  <c:v>46174</c:v>
                </c:pt>
                <c:pt idx="3">
                  <c:v>46174</c:v>
                </c:pt>
                <c:pt idx="4">
                  <c:v>46174</c:v>
                </c:pt>
                <c:pt idx="5">
                  <c:v>46174</c:v>
                </c:pt>
                <c:pt idx="6">
                  <c:v>46174</c:v>
                </c:pt>
                <c:pt idx="7">
                  <c:v>46174</c:v>
                </c:pt>
                <c:pt idx="8">
                  <c:v>46174</c:v>
                </c:pt>
                <c:pt idx="9">
                  <c:v>46174</c:v>
                </c:pt>
                <c:pt idx="10">
                  <c:v>46174</c:v>
                </c:pt>
                <c:pt idx="11">
                  <c:v>46174</c:v>
                </c:pt>
                <c:pt idx="12">
                  <c:v>46174</c:v>
                </c:pt>
                <c:pt idx="13">
                  <c:v>46174</c:v>
                </c:pt>
                <c:pt idx="14">
                  <c:v>46174</c:v>
                </c:pt>
                <c:pt idx="15">
                  <c:v>46174</c:v>
                </c:pt>
                <c:pt idx="16">
                  <c:v>46174</c:v>
                </c:pt>
                <c:pt idx="17">
                  <c:v>46174</c:v>
                </c:pt>
                <c:pt idx="18">
                  <c:v>46174</c:v>
                </c:pt>
                <c:pt idx="19">
                  <c:v>46174</c:v>
                </c:pt>
                <c:pt idx="20">
                  <c:v>46174</c:v>
                </c:pt>
                <c:pt idx="21">
                  <c:v>46174</c:v>
                </c:pt>
                <c:pt idx="22">
                  <c:v>46174</c:v>
                </c:pt>
                <c:pt idx="23">
                  <c:v>46174</c:v>
                </c:pt>
                <c:pt idx="24">
                  <c:v>46174</c:v>
                </c:pt>
                <c:pt idx="25">
                  <c:v>46174</c:v>
                </c:pt>
                <c:pt idx="26">
                  <c:v>46174</c:v>
                </c:pt>
                <c:pt idx="27">
                  <c:v>46174</c:v>
                </c:pt>
                <c:pt idx="28">
                  <c:v>46174</c:v>
                </c:pt>
                <c:pt idx="29">
                  <c:v>46174</c:v>
                </c:pt>
                <c:pt idx="30">
                  <c:v>46174</c:v>
                </c:pt>
                <c:pt idx="31">
                  <c:v>46174</c:v>
                </c:pt>
                <c:pt idx="32">
                  <c:v>46174</c:v>
                </c:pt>
                <c:pt idx="33">
                  <c:v>46174</c:v>
                </c:pt>
                <c:pt idx="34">
                  <c:v>46174</c:v>
                </c:pt>
                <c:pt idx="35">
                  <c:v>46174</c:v>
                </c:pt>
                <c:pt idx="36">
                  <c:v>46174</c:v>
                </c:pt>
                <c:pt idx="37">
                  <c:v>46174</c:v>
                </c:pt>
                <c:pt idx="38">
                  <c:v>46174</c:v>
                </c:pt>
                <c:pt idx="39">
                  <c:v>46174</c:v>
                </c:pt>
                <c:pt idx="40">
                  <c:v>46174</c:v>
                </c:pt>
                <c:pt idx="41">
                  <c:v>46174</c:v>
                </c:pt>
                <c:pt idx="42">
                  <c:v>46174</c:v>
                </c:pt>
                <c:pt idx="43">
                  <c:v>46174</c:v>
                </c:pt>
                <c:pt idx="44">
                  <c:v>46174</c:v>
                </c:pt>
                <c:pt idx="45">
                  <c:v>46174</c:v>
                </c:pt>
                <c:pt idx="46">
                  <c:v>46174</c:v>
                </c:pt>
                <c:pt idx="47">
                  <c:v>46174</c:v>
                </c:pt>
                <c:pt idx="48">
                  <c:v>46174</c:v>
                </c:pt>
                <c:pt idx="49">
                  <c:v>46174</c:v>
                </c:pt>
                <c:pt idx="50">
                  <c:v>46174</c:v>
                </c:pt>
                <c:pt idx="51">
                  <c:v>46174</c:v>
                </c:pt>
                <c:pt idx="52">
                  <c:v>46174</c:v>
                </c:pt>
                <c:pt idx="53">
                  <c:v>46174</c:v>
                </c:pt>
                <c:pt idx="54">
                  <c:v>46174</c:v>
                </c:pt>
                <c:pt idx="55">
                  <c:v>46174</c:v>
                </c:pt>
                <c:pt idx="56">
                  <c:v>46174</c:v>
                </c:pt>
                <c:pt idx="57">
                  <c:v>46174</c:v>
                </c:pt>
                <c:pt idx="58">
                  <c:v>46174</c:v>
                </c:pt>
                <c:pt idx="59">
                  <c:v>46174</c:v>
                </c:pt>
                <c:pt idx="60">
                  <c:v>46174</c:v>
                </c:pt>
                <c:pt idx="61">
                  <c:v>46174</c:v>
                </c:pt>
                <c:pt idx="62">
                  <c:v>46174</c:v>
                </c:pt>
                <c:pt idx="63">
                  <c:v>46174</c:v>
                </c:pt>
                <c:pt idx="64">
                  <c:v>46174</c:v>
                </c:pt>
                <c:pt idx="65">
                  <c:v>46174</c:v>
                </c:pt>
                <c:pt idx="66">
                  <c:v>46174</c:v>
                </c:pt>
                <c:pt idx="67">
                  <c:v>46174</c:v>
                </c:pt>
                <c:pt idx="68">
                  <c:v>46174</c:v>
                </c:pt>
                <c:pt idx="69">
                  <c:v>46174</c:v>
                </c:pt>
                <c:pt idx="70">
                  <c:v>46174</c:v>
                </c:pt>
                <c:pt idx="71">
                  <c:v>46174</c:v>
                </c:pt>
                <c:pt idx="72">
                  <c:v>46174</c:v>
                </c:pt>
                <c:pt idx="73">
                  <c:v>46174</c:v>
                </c:pt>
                <c:pt idx="74">
                  <c:v>46174</c:v>
                </c:pt>
                <c:pt idx="75">
                  <c:v>46174</c:v>
                </c:pt>
                <c:pt idx="76">
                  <c:v>46174</c:v>
                </c:pt>
                <c:pt idx="77">
                  <c:v>46174</c:v>
                </c:pt>
                <c:pt idx="78">
                  <c:v>46174</c:v>
                </c:pt>
                <c:pt idx="79">
                  <c:v>46174</c:v>
                </c:pt>
              </c:numCache>
            </c:numRef>
          </c:xVal>
          <c:yVal>
            <c:numRef>
              <c:f>'S-Curve'!$S$7:$S$86</c:f>
              <c:numCache>
                <c:formatCode>0.00%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'S-Curve'!$U$6</c:f>
              <c:strCache>
                <c:ptCount val="1"/>
                <c:pt idx="0">
                  <c:v>Actual ผลงานจริง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'S-Curve'!$T$7:$T$86</c:f>
              <c:numCache>
                <c:formatCode>dd\-mmm\-yy</c:formatCode>
                <c:ptCount val="80"/>
                <c:pt idx="0">
                  <c:v>46183</c:v>
                </c:pt>
                <c:pt idx="1">
                  <c:v>46193</c:v>
                </c:pt>
                <c:pt idx="2">
                  <c:v>46203</c:v>
                </c:pt>
                <c:pt idx="3">
                  <c:v>46213</c:v>
                </c:pt>
                <c:pt idx="4">
                  <c:v>46223</c:v>
                </c:pt>
                <c:pt idx="5">
                  <c:v>46234</c:v>
                </c:pt>
                <c:pt idx="6">
                  <c:v>46244</c:v>
                </c:pt>
                <c:pt idx="7">
                  <c:v>46254</c:v>
                </c:pt>
                <c:pt idx="8">
                  <c:v>46265</c:v>
                </c:pt>
                <c:pt idx="9">
                  <c:v>46275</c:v>
                </c:pt>
                <c:pt idx="10">
                  <c:v>46285</c:v>
                </c:pt>
                <c:pt idx="11">
                  <c:v>46295</c:v>
                </c:pt>
                <c:pt idx="12">
                  <c:v>46295</c:v>
                </c:pt>
                <c:pt idx="13">
                  <c:v>46295</c:v>
                </c:pt>
                <c:pt idx="14">
                  <c:v>46295</c:v>
                </c:pt>
                <c:pt idx="15">
                  <c:v>46295</c:v>
                </c:pt>
                <c:pt idx="16">
                  <c:v>46295</c:v>
                </c:pt>
                <c:pt idx="17">
                  <c:v>46295</c:v>
                </c:pt>
                <c:pt idx="18">
                  <c:v>46295</c:v>
                </c:pt>
                <c:pt idx="19">
                  <c:v>46295</c:v>
                </c:pt>
                <c:pt idx="20">
                  <c:v>46295</c:v>
                </c:pt>
                <c:pt idx="21">
                  <c:v>46295</c:v>
                </c:pt>
                <c:pt idx="22">
                  <c:v>46295</c:v>
                </c:pt>
                <c:pt idx="23">
                  <c:v>46295</c:v>
                </c:pt>
                <c:pt idx="24">
                  <c:v>46295</c:v>
                </c:pt>
                <c:pt idx="25">
                  <c:v>46295</c:v>
                </c:pt>
                <c:pt idx="26">
                  <c:v>46295</c:v>
                </c:pt>
                <c:pt idx="27">
                  <c:v>46295</c:v>
                </c:pt>
                <c:pt idx="28">
                  <c:v>46295</c:v>
                </c:pt>
                <c:pt idx="29">
                  <c:v>46295</c:v>
                </c:pt>
                <c:pt idx="30">
                  <c:v>46295</c:v>
                </c:pt>
                <c:pt idx="31">
                  <c:v>46295</c:v>
                </c:pt>
                <c:pt idx="32">
                  <c:v>46295</c:v>
                </c:pt>
                <c:pt idx="33">
                  <c:v>46295</c:v>
                </c:pt>
                <c:pt idx="34">
                  <c:v>46295</c:v>
                </c:pt>
                <c:pt idx="35">
                  <c:v>46295</c:v>
                </c:pt>
                <c:pt idx="36">
                  <c:v>46295</c:v>
                </c:pt>
                <c:pt idx="37">
                  <c:v>46295</c:v>
                </c:pt>
                <c:pt idx="38">
                  <c:v>46295</c:v>
                </c:pt>
                <c:pt idx="39">
                  <c:v>46295</c:v>
                </c:pt>
                <c:pt idx="40">
                  <c:v>46295</c:v>
                </c:pt>
                <c:pt idx="41">
                  <c:v>46295</c:v>
                </c:pt>
                <c:pt idx="42">
                  <c:v>46295</c:v>
                </c:pt>
                <c:pt idx="43">
                  <c:v>46295</c:v>
                </c:pt>
                <c:pt idx="44">
                  <c:v>46295</c:v>
                </c:pt>
                <c:pt idx="45">
                  <c:v>46295</c:v>
                </c:pt>
                <c:pt idx="46">
                  <c:v>46295</c:v>
                </c:pt>
                <c:pt idx="47">
                  <c:v>46295</c:v>
                </c:pt>
                <c:pt idx="48">
                  <c:v>46295</c:v>
                </c:pt>
                <c:pt idx="49">
                  <c:v>46295</c:v>
                </c:pt>
                <c:pt idx="50">
                  <c:v>46295</c:v>
                </c:pt>
                <c:pt idx="51">
                  <c:v>46295</c:v>
                </c:pt>
                <c:pt idx="52">
                  <c:v>46295</c:v>
                </c:pt>
                <c:pt idx="53">
                  <c:v>46295</c:v>
                </c:pt>
                <c:pt idx="54">
                  <c:v>46295</c:v>
                </c:pt>
                <c:pt idx="55">
                  <c:v>46295</c:v>
                </c:pt>
                <c:pt idx="56">
                  <c:v>46295</c:v>
                </c:pt>
                <c:pt idx="57">
                  <c:v>46295</c:v>
                </c:pt>
                <c:pt idx="58">
                  <c:v>46295</c:v>
                </c:pt>
                <c:pt idx="59">
                  <c:v>46295</c:v>
                </c:pt>
                <c:pt idx="60">
                  <c:v>46295</c:v>
                </c:pt>
                <c:pt idx="61">
                  <c:v>46295</c:v>
                </c:pt>
                <c:pt idx="62">
                  <c:v>46295</c:v>
                </c:pt>
                <c:pt idx="63">
                  <c:v>46295</c:v>
                </c:pt>
                <c:pt idx="64">
                  <c:v>46295</c:v>
                </c:pt>
                <c:pt idx="65">
                  <c:v>46295</c:v>
                </c:pt>
                <c:pt idx="66">
                  <c:v>46295</c:v>
                </c:pt>
                <c:pt idx="67">
                  <c:v>46295</c:v>
                </c:pt>
                <c:pt idx="68">
                  <c:v>46295</c:v>
                </c:pt>
                <c:pt idx="69">
                  <c:v>46295</c:v>
                </c:pt>
                <c:pt idx="70">
                  <c:v>46295</c:v>
                </c:pt>
                <c:pt idx="71">
                  <c:v>46295</c:v>
                </c:pt>
                <c:pt idx="72">
                  <c:v>46295</c:v>
                </c:pt>
                <c:pt idx="73">
                  <c:v>46295</c:v>
                </c:pt>
                <c:pt idx="74">
                  <c:v>46295</c:v>
                </c:pt>
                <c:pt idx="75">
                  <c:v>46295</c:v>
                </c:pt>
                <c:pt idx="76">
                  <c:v>46295</c:v>
                </c:pt>
                <c:pt idx="77">
                  <c:v>46295</c:v>
                </c:pt>
                <c:pt idx="78">
                  <c:v>46295</c:v>
                </c:pt>
                <c:pt idx="79">
                  <c:v>46295</c:v>
                </c:pt>
              </c:numCache>
            </c:numRef>
          </c:xVal>
          <c:yVal>
            <c:numRef>
              <c:f>'S-Curve'!$U$7:$U$86</c:f>
              <c:numCache>
                <c:formatCode>0.00%</c:formatCode>
                <c:ptCount val="80"/>
                <c:pt idx="0">
                  <c:v>0.0061</c:v>
                </c:pt>
                <c:pt idx="1">
                  <c:v>0.0212</c:v>
                </c:pt>
                <c:pt idx="2">
                  <c:v>0.0361</c:v>
                </c:pt>
                <c:pt idx="3">
                  <c:v>0.0504</c:v>
                </c:pt>
                <c:pt idx="4">
                  <c:v>0.0634</c:v>
                </c:pt>
                <c:pt idx="5">
                  <c:v>0.0771</c:v>
                </c:pt>
                <c:pt idx="6">
                  <c:v>0.0966</c:v>
                </c:pt>
                <c:pt idx="7">
                  <c:v>0.1127</c:v>
                </c:pt>
                <c:pt idx="8">
                  <c:v>0.1227</c:v>
                </c:pt>
                <c:pt idx="9">
                  <c:v>0.1475</c:v>
                </c:pt>
                <c:pt idx="10">
                  <c:v>0.171</c:v>
                </c:pt>
                <c:pt idx="11">
                  <c:v>0.1878</c:v>
                </c:pt>
                <c:pt idx="12">
                  <c:v>0.1878</c:v>
                </c:pt>
                <c:pt idx="13">
                  <c:v>0.1878</c:v>
                </c:pt>
                <c:pt idx="14">
                  <c:v>0.1878</c:v>
                </c:pt>
                <c:pt idx="15">
                  <c:v>0.1878</c:v>
                </c:pt>
                <c:pt idx="16">
                  <c:v>0.1878</c:v>
                </c:pt>
                <c:pt idx="17">
                  <c:v>0.1878</c:v>
                </c:pt>
                <c:pt idx="18">
                  <c:v>0.1878</c:v>
                </c:pt>
                <c:pt idx="19">
                  <c:v>0.1878</c:v>
                </c:pt>
                <c:pt idx="20">
                  <c:v>0.1878</c:v>
                </c:pt>
                <c:pt idx="21">
                  <c:v>0.1878</c:v>
                </c:pt>
                <c:pt idx="22">
                  <c:v>0.1878</c:v>
                </c:pt>
                <c:pt idx="23">
                  <c:v>0.1878</c:v>
                </c:pt>
                <c:pt idx="24">
                  <c:v>0.1878</c:v>
                </c:pt>
                <c:pt idx="25">
                  <c:v>0.1878</c:v>
                </c:pt>
                <c:pt idx="26">
                  <c:v>0.1878</c:v>
                </c:pt>
                <c:pt idx="27">
                  <c:v>0.1878</c:v>
                </c:pt>
                <c:pt idx="28">
                  <c:v>0.1878</c:v>
                </c:pt>
                <c:pt idx="29">
                  <c:v>0.1878</c:v>
                </c:pt>
                <c:pt idx="30">
                  <c:v>0.1878</c:v>
                </c:pt>
                <c:pt idx="31">
                  <c:v>0.1878</c:v>
                </c:pt>
                <c:pt idx="32">
                  <c:v>0.1878</c:v>
                </c:pt>
                <c:pt idx="33">
                  <c:v>0.1878</c:v>
                </c:pt>
                <c:pt idx="34">
                  <c:v>0.1878</c:v>
                </c:pt>
                <c:pt idx="35">
                  <c:v>0.1878</c:v>
                </c:pt>
                <c:pt idx="36">
                  <c:v>0.1878</c:v>
                </c:pt>
                <c:pt idx="37">
                  <c:v>0.1878</c:v>
                </c:pt>
                <c:pt idx="38">
                  <c:v>0.1878</c:v>
                </c:pt>
                <c:pt idx="39">
                  <c:v>0.1878</c:v>
                </c:pt>
                <c:pt idx="40">
                  <c:v>0.1878</c:v>
                </c:pt>
                <c:pt idx="41">
                  <c:v>0.1878</c:v>
                </c:pt>
                <c:pt idx="42">
                  <c:v>0.1878</c:v>
                </c:pt>
                <c:pt idx="43">
                  <c:v>0.1878</c:v>
                </c:pt>
                <c:pt idx="44">
                  <c:v>0.1878</c:v>
                </c:pt>
                <c:pt idx="45">
                  <c:v>0.1878</c:v>
                </c:pt>
                <c:pt idx="46">
                  <c:v>0.1878</c:v>
                </c:pt>
                <c:pt idx="47">
                  <c:v>0.1878</c:v>
                </c:pt>
                <c:pt idx="48">
                  <c:v>0.1878</c:v>
                </c:pt>
                <c:pt idx="49">
                  <c:v>0.1878</c:v>
                </c:pt>
                <c:pt idx="50">
                  <c:v>0.1878</c:v>
                </c:pt>
                <c:pt idx="51">
                  <c:v>0.1878</c:v>
                </c:pt>
                <c:pt idx="52">
                  <c:v>0.1878</c:v>
                </c:pt>
                <c:pt idx="53">
                  <c:v>0.1878</c:v>
                </c:pt>
                <c:pt idx="54">
                  <c:v>0.1878</c:v>
                </c:pt>
                <c:pt idx="55">
                  <c:v>0.1878</c:v>
                </c:pt>
                <c:pt idx="56">
                  <c:v>0.1878</c:v>
                </c:pt>
                <c:pt idx="57">
                  <c:v>0.1878</c:v>
                </c:pt>
                <c:pt idx="58">
                  <c:v>0.1878</c:v>
                </c:pt>
                <c:pt idx="59">
                  <c:v>0.1878</c:v>
                </c:pt>
                <c:pt idx="60">
                  <c:v>0.1878</c:v>
                </c:pt>
                <c:pt idx="61">
                  <c:v>0.1878</c:v>
                </c:pt>
                <c:pt idx="62">
                  <c:v>0.1878</c:v>
                </c:pt>
                <c:pt idx="63">
                  <c:v>0.1878</c:v>
                </c:pt>
                <c:pt idx="64">
                  <c:v>0.1878</c:v>
                </c:pt>
                <c:pt idx="65">
                  <c:v>0.1878</c:v>
                </c:pt>
                <c:pt idx="66">
                  <c:v>0.1878</c:v>
                </c:pt>
                <c:pt idx="67">
                  <c:v>0.1878</c:v>
                </c:pt>
                <c:pt idx="68">
                  <c:v>0.1878</c:v>
                </c:pt>
                <c:pt idx="69">
                  <c:v>0.1878</c:v>
                </c:pt>
                <c:pt idx="70">
                  <c:v>0.1878</c:v>
                </c:pt>
                <c:pt idx="71">
                  <c:v>0.1878</c:v>
                </c:pt>
                <c:pt idx="72">
                  <c:v>0.1878</c:v>
                </c:pt>
                <c:pt idx="73">
                  <c:v>0.1878</c:v>
                </c:pt>
                <c:pt idx="74">
                  <c:v>0.1878</c:v>
                </c:pt>
                <c:pt idx="75">
                  <c:v>0.1878</c:v>
                </c:pt>
                <c:pt idx="76">
                  <c:v>0.1878</c:v>
                </c:pt>
                <c:pt idx="77">
                  <c:v>0.1878</c:v>
                </c:pt>
                <c:pt idx="78">
                  <c:v>0.1878</c:v>
                </c:pt>
                <c:pt idx="79">
                  <c:v>0.1878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'S-Curve'!$W$6</c:f>
              <c:strCache>
                <c:ptCount val="1"/>
                <c:pt idx="0">
                  <c:v>Forecast คาดการณ์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'S-Curve'!$V$7:$V$86</c:f>
              <c:numCache>
                <c:formatCode>dd\-mmm\-yy</c:formatCode>
                <c:ptCount val="80"/>
                <c:pt idx="0">
                  <c:v>46293</c:v>
                </c:pt>
                <c:pt idx="1">
                  <c:v>46293</c:v>
                </c:pt>
                <c:pt idx="2">
                  <c:v>46293</c:v>
                </c:pt>
                <c:pt idx="3">
                  <c:v>46293</c:v>
                </c:pt>
                <c:pt idx="4">
                  <c:v>46293</c:v>
                </c:pt>
                <c:pt idx="5">
                  <c:v>46293</c:v>
                </c:pt>
                <c:pt idx="6">
                  <c:v>46293</c:v>
                </c:pt>
                <c:pt idx="7">
                  <c:v>46293</c:v>
                </c:pt>
                <c:pt idx="8">
                  <c:v>46293</c:v>
                </c:pt>
                <c:pt idx="9">
                  <c:v>46293</c:v>
                </c:pt>
                <c:pt idx="10">
                  <c:v>46293</c:v>
                </c:pt>
                <c:pt idx="11">
                  <c:v>46295</c:v>
                </c:pt>
                <c:pt idx="12">
                  <c:v>46305</c:v>
                </c:pt>
                <c:pt idx="13">
                  <c:v>46315</c:v>
                </c:pt>
                <c:pt idx="14">
                  <c:v>46326</c:v>
                </c:pt>
                <c:pt idx="15">
                  <c:v>46336</c:v>
                </c:pt>
                <c:pt idx="16">
                  <c:v>46346</c:v>
                </c:pt>
                <c:pt idx="17">
                  <c:v>46356</c:v>
                </c:pt>
                <c:pt idx="18">
                  <c:v>46366</c:v>
                </c:pt>
                <c:pt idx="19">
                  <c:v>46376</c:v>
                </c:pt>
                <c:pt idx="20">
                  <c:v>46387</c:v>
                </c:pt>
                <c:pt idx="21">
                  <c:v>46397</c:v>
                </c:pt>
                <c:pt idx="22">
                  <c:v>46407</c:v>
                </c:pt>
                <c:pt idx="23">
                  <c:v>46418</c:v>
                </c:pt>
                <c:pt idx="24">
                  <c:v>46428</c:v>
                </c:pt>
                <c:pt idx="25">
                  <c:v>46438</c:v>
                </c:pt>
                <c:pt idx="26">
                  <c:v>46446</c:v>
                </c:pt>
                <c:pt idx="27">
                  <c:v>46456</c:v>
                </c:pt>
                <c:pt idx="28">
                  <c:v>46466</c:v>
                </c:pt>
                <c:pt idx="29">
                  <c:v>46477</c:v>
                </c:pt>
                <c:pt idx="30">
                  <c:v>46487</c:v>
                </c:pt>
                <c:pt idx="31">
                  <c:v>46487</c:v>
                </c:pt>
                <c:pt idx="32">
                  <c:v>46487</c:v>
                </c:pt>
                <c:pt idx="33">
                  <c:v>46487</c:v>
                </c:pt>
                <c:pt idx="34">
                  <c:v>46487</c:v>
                </c:pt>
                <c:pt idx="35">
                  <c:v>46487</c:v>
                </c:pt>
                <c:pt idx="36">
                  <c:v>46487</c:v>
                </c:pt>
                <c:pt idx="37">
                  <c:v>46487</c:v>
                </c:pt>
                <c:pt idx="38">
                  <c:v>46487</c:v>
                </c:pt>
                <c:pt idx="39">
                  <c:v>46487</c:v>
                </c:pt>
                <c:pt idx="40">
                  <c:v>46487</c:v>
                </c:pt>
                <c:pt idx="41">
                  <c:v>46487</c:v>
                </c:pt>
                <c:pt idx="42">
                  <c:v>46487</c:v>
                </c:pt>
                <c:pt idx="43">
                  <c:v>46487</c:v>
                </c:pt>
                <c:pt idx="44">
                  <c:v>46487</c:v>
                </c:pt>
                <c:pt idx="45">
                  <c:v>46487</c:v>
                </c:pt>
                <c:pt idx="46">
                  <c:v>46487</c:v>
                </c:pt>
                <c:pt idx="47">
                  <c:v>46487</c:v>
                </c:pt>
                <c:pt idx="48">
                  <c:v>46487</c:v>
                </c:pt>
                <c:pt idx="49">
                  <c:v>46487</c:v>
                </c:pt>
                <c:pt idx="50">
                  <c:v>46487</c:v>
                </c:pt>
                <c:pt idx="51">
                  <c:v>46487</c:v>
                </c:pt>
                <c:pt idx="52">
                  <c:v>46487</c:v>
                </c:pt>
                <c:pt idx="53">
                  <c:v>46487</c:v>
                </c:pt>
                <c:pt idx="54">
                  <c:v>46487</c:v>
                </c:pt>
                <c:pt idx="55">
                  <c:v>46487</c:v>
                </c:pt>
                <c:pt idx="56">
                  <c:v>46487</c:v>
                </c:pt>
                <c:pt idx="57">
                  <c:v>46487</c:v>
                </c:pt>
                <c:pt idx="58">
                  <c:v>46487</c:v>
                </c:pt>
                <c:pt idx="59">
                  <c:v>46487</c:v>
                </c:pt>
                <c:pt idx="60">
                  <c:v>46487</c:v>
                </c:pt>
                <c:pt idx="61">
                  <c:v>46487</c:v>
                </c:pt>
                <c:pt idx="62">
                  <c:v>46487</c:v>
                </c:pt>
                <c:pt idx="63">
                  <c:v>46487</c:v>
                </c:pt>
                <c:pt idx="64">
                  <c:v>46487</c:v>
                </c:pt>
                <c:pt idx="65">
                  <c:v>46487</c:v>
                </c:pt>
                <c:pt idx="66">
                  <c:v>46487</c:v>
                </c:pt>
                <c:pt idx="67">
                  <c:v>46487</c:v>
                </c:pt>
                <c:pt idx="68">
                  <c:v>46487</c:v>
                </c:pt>
                <c:pt idx="69">
                  <c:v>46487</c:v>
                </c:pt>
                <c:pt idx="70">
                  <c:v>46487</c:v>
                </c:pt>
                <c:pt idx="71">
                  <c:v>46487</c:v>
                </c:pt>
                <c:pt idx="72">
                  <c:v>46487</c:v>
                </c:pt>
                <c:pt idx="73">
                  <c:v>46487</c:v>
                </c:pt>
                <c:pt idx="74">
                  <c:v>46487</c:v>
                </c:pt>
                <c:pt idx="75">
                  <c:v>46487</c:v>
                </c:pt>
                <c:pt idx="76">
                  <c:v>46487</c:v>
                </c:pt>
                <c:pt idx="77">
                  <c:v>46487</c:v>
                </c:pt>
                <c:pt idx="78">
                  <c:v>46487</c:v>
                </c:pt>
                <c:pt idx="79">
                  <c:v>46487</c:v>
                </c:pt>
              </c:numCache>
            </c:numRef>
          </c:xVal>
          <c:yVal>
            <c:numRef>
              <c:f>'S-Curve'!$W$7:$W$86</c:f>
              <c:numCache>
                <c:formatCode>0.00%</c:formatCode>
                <c:ptCount val="80"/>
                <c:pt idx="0">
                  <c:v>0.187809917355372</c:v>
                </c:pt>
                <c:pt idx="1">
                  <c:v>0.187809917355372</c:v>
                </c:pt>
                <c:pt idx="2">
                  <c:v>0.187809917355372</c:v>
                </c:pt>
                <c:pt idx="3">
                  <c:v>0.187809917355372</c:v>
                </c:pt>
                <c:pt idx="4">
                  <c:v>0.187809917355372</c:v>
                </c:pt>
                <c:pt idx="5">
                  <c:v>0.187809917355372</c:v>
                </c:pt>
                <c:pt idx="6">
                  <c:v>0.187809917355372</c:v>
                </c:pt>
                <c:pt idx="7">
                  <c:v>0.187809917355372</c:v>
                </c:pt>
                <c:pt idx="8">
                  <c:v>0.187809917355372</c:v>
                </c:pt>
                <c:pt idx="9">
                  <c:v>0.187809917355372</c:v>
                </c:pt>
                <c:pt idx="10">
                  <c:v>0.187809917355372</c:v>
                </c:pt>
                <c:pt idx="11">
                  <c:v>0.196834251606979</c:v>
                </c:pt>
                <c:pt idx="12">
                  <c:v>0.241955922865014</c:v>
                </c:pt>
                <c:pt idx="13">
                  <c:v>0.287077594123049</c:v>
                </c:pt>
                <c:pt idx="14">
                  <c:v>0.336711432506887</c:v>
                </c:pt>
                <c:pt idx="15">
                  <c:v>0.381833103764922</c:v>
                </c:pt>
                <c:pt idx="16">
                  <c:v>0.426954775022957</c:v>
                </c:pt>
                <c:pt idx="17">
                  <c:v>0.472076446280992</c:v>
                </c:pt>
                <c:pt idx="18">
                  <c:v>0.517198117539027</c:v>
                </c:pt>
                <c:pt idx="19">
                  <c:v>0.562319788797062</c:v>
                </c:pt>
                <c:pt idx="20">
                  <c:v>0.6119536271809</c:v>
                </c:pt>
                <c:pt idx="21">
                  <c:v>0.657075298438935</c:v>
                </c:pt>
                <c:pt idx="22">
                  <c:v>0.70219696969697</c:v>
                </c:pt>
                <c:pt idx="23">
                  <c:v>0.751830808080808</c:v>
                </c:pt>
                <c:pt idx="24">
                  <c:v>0.796952479338843</c:v>
                </c:pt>
                <c:pt idx="25">
                  <c:v>0.842074150596878</c:v>
                </c:pt>
                <c:pt idx="26">
                  <c:v>0.878171487603306</c:v>
                </c:pt>
                <c:pt idx="27">
                  <c:v>0.923293158861341</c:v>
                </c:pt>
                <c:pt idx="28">
                  <c:v>0.968414830119376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'S-Curve'!$AC$6</c:f>
              <c:strCache>
                <c:ptCount val="1"/>
                <c:pt idx="0">
                  <c:v>Status Date</c:v>
                </c:pt>
              </c:strCache>
            </c:strRef>
          </c:tx>
          <c:spPr>
            <a:solidFill>
              <a:srgbClr val="7f7f7f"/>
            </a:solidFill>
            <a:ln w="4752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'S-Curve'!$AC$7:$AC$8</c:f>
              <c:numCache>
                <c:formatCode>dd\-mmm\-yy</c:formatCode>
                <c:ptCount val="2"/>
                <c:pt idx="0">
                  <c:v>46293</c:v>
                </c:pt>
                <c:pt idx="1">
                  <c:v>46293</c:v>
                </c:pt>
              </c:numCache>
            </c:numRef>
          </c:xVal>
          <c:yVal>
            <c:numRef>
              <c:f>'S-Curve'!$AD$7:$AD$8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axId val="13258755"/>
        <c:axId val="29163392"/>
      </c:scatterChart>
      <c:valAx>
        <c:axId val="1325875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63392"/>
        <c:crosses val="autoZero"/>
        <c:crossBetween val="midCat"/>
        <c:majorUnit val="30"/>
      </c:valAx>
      <c:valAx>
        <c:axId val="2916339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สะสม / Cumulative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258755"/>
        <c:crosses val="autoZero"/>
        <c:crossBetween val="midCat"/>
        <c:majorUnit val="0.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Earned Value: PV / EV / AC (บาท)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'S-Curve'!$X$6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2f5597"/>
            </a:solidFill>
            <a:ln w="2484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'S-Curve'!$P$7:$P$86</c:f>
              <c:numCache>
                <c:formatCode>dd\-mmm\-yy</c:formatCode>
                <c:ptCount val="80"/>
                <c:pt idx="0">
                  <c:v>46183</c:v>
                </c:pt>
                <c:pt idx="1">
                  <c:v>46193</c:v>
                </c:pt>
                <c:pt idx="2">
                  <c:v>46203</c:v>
                </c:pt>
                <c:pt idx="3">
                  <c:v>46213</c:v>
                </c:pt>
                <c:pt idx="4">
                  <c:v>46223</c:v>
                </c:pt>
                <c:pt idx="5">
                  <c:v>46234</c:v>
                </c:pt>
                <c:pt idx="6">
                  <c:v>46244</c:v>
                </c:pt>
                <c:pt idx="7">
                  <c:v>46254</c:v>
                </c:pt>
                <c:pt idx="8">
                  <c:v>46265</c:v>
                </c:pt>
                <c:pt idx="9">
                  <c:v>46275</c:v>
                </c:pt>
                <c:pt idx="10">
                  <c:v>46285</c:v>
                </c:pt>
                <c:pt idx="11">
                  <c:v>46295</c:v>
                </c:pt>
                <c:pt idx="12">
                  <c:v>46305</c:v>
                </c:pt>
                <c:pt idx="13">
                  <c:v>46315</c:v>
                </c:pt>
                <c:pt idx="14">
                  <c:v>46326</c:v>
                </c:pt>
                <c:pt idx="15">
                  <c:v>46336</c:v>
                </c:pt>
                <c:pt idx="16">
                  <c:v>46346</c:v>
                </c:pt>
                <c:pt idx="17">
                  <c:v>46356</c:v>
                </c:pt>
                <c:pt idx="18">
                  <c:v>46366</c:v>
                </c:pt>
                <c:pt idx="19">
                  <c:v>46376</c:v>
                </c:pt>
                <c:pt idx="20">
                  <c:v>46387</c:v>
                </c:pt>
                <c:pt idx="21">
                  <c:v>46397</c:v>
                </c:pt>
                <c:pt idx="22">
                  <c:v>46407</c:v>
                </c:pt>
                <c:pt idx="23">
                  <c:v>46418</c:v>
                </c:pt>
                <c:pt idx="24">
                  <c:v>46428</c:v>
                </c:pt>
                <c:pt idx="25">
                  <c:v>46438</c:v>
                </c:pt>
                <c:pt idx="26">
                  <c:v>46446</c:v>
                </c:pt>
                <c:pt idx="27">
                  <c:v>46456</c:v>
                </c:pt>
                <c:pt idx="28">
                  <c:v>46466</c:v>
                </c:pt>
                <c:pt idx="29">
                  <c:v>46477</c:v>
                </c:pt>
                <c:pt idx="30">
                  <c:v>46487</c:v>
                </c:pt>
                <c:pt idx="31">
                  <c:v>46487</c:v>
                </c:pt>
                <c:pt idx="32">
                  <c:v>46487</c:v>
                </c:pt>
                <c:pt idx="33">
                  <c:v>46487</c:v>
                </c:pt>
                <c:pt idx="34">
                  <c:v>46487</c:v>
                </c:pt>
                <c:pt idx="35">
                  <c:v>46487</c:v>
                </c:pt>
                <c:pt idx="36">
                  <c:v>46487</c:v>
                </c:pt>
                <c:pt idx="37">
                  <c:v>46487</c:v>
                </c:pt>
                <c:pt idx="38">
                  <c:v>46487</c:v>
                </c:pt>
                <c:pt idx="39">
                  <c:v>46487</c:v>
                </c:pt>
                <c:pt idx="40">
                  <c:v>46487</c:v>
                </c:pt>
                <c:pt idx="41">
                  <c:v>46487</c:v>
                </c:pt>
                <c:pt idx="42">
                  <c:v>46487</c:v>
                </c:pt>
                <c:pt idx="43">
                  <c:v>46487</c:v>
                </c:pt>
                <c:pt idx="44">
                  <c:v>46487</c:v>
                </c:pt>
                <c:pt idx="45">
                  <c:v>46487</c:v>
                </c:pt>
                <c:pt idx="46">
                  <c:v>46487</c:v>
                </c:pt>
                <c:pt idx="47">
                  <c:v>46487</c:v>
                </c:pt>
                <c:pt idx="48">
                  <c:v>46487</c:v>
                </c:pt>
                <c:pt idx="49">
                  <c:v>46487</c:v>
                </c:pt>
                <c:pt idx="50">
                  <c:v>46487</c:v>
                </c:pt>
                <c:pt idx="51">
                  <c:v>46487</c:v>
                </c:pt>
                <c:pt idx="52">
                  <c:v>46487</c:v>
                </c:pt>
                <c:pt idx="53">
                  <c:v>46487</c:v>
                </c:pt>
                <c:pt idx="54">
                  <c:v>46487</c:v>
                </c:pt>
                <c:pt idx="55">
                  <c:v>46487</c:v>
                </c:pt>
                <c:pt idx="56">
                  <c:v>46487</c:v>
                </c:pt>
                <c:pt idx="57">
                  <c:v>46487</c:v>
                </c:pt>
                <c:pt idx="58">
                  <c:v>46487</c:v>
                </c:pt>
                <c:pt idx="59">
                  <c:v>46487</c:v>
                </c:pt>
                <c:pt idx="60">
                  <c:v>46487</c:v>
                </c:pt>
                <c:pt idx="61">
                  <c:v>46487</c:v>
                </c:pt>
                <c:pt idx="62">
                  <c:v>46487</c:v>
                </c:pt>
                <c:pt idx="63">
                  <c:v>46487</c:v>
                </c:pt>
                <c:pt idx="64">
                  <c:v>46487</c:v>
                </c:pt>
                <c:pt idx="65">
                  <c:v>46487</c:v>
                </c:pt>
                <c:pt idx="66">
                  <c:v>46487</c:v>
                </c:pt>
                <c:pt idx="67">
                  <c:v>46487</c:v>
                </c:pt>
                <c:pt idx="68">
                  <c:v>46487</c:v>
                </c:pt>
                <c:pt idx="69">
                  <c:v>46487</c:v>
                </c:pt>
                <c:pt idx="70">
                  <c:v>46487</c:v>
                </c:pt>
                <c:pt idx="71">
                  <c:v>46487</c:v>
                </c:pt>
                <c:pt idx="72">
                  <c:v>46487</c:v>
                </c:pt>
                <c:pt idx="73">
                  <c:v>46487</c:v>
                </c:pt>
                <c:pt idx="74">
                  <c:v>46487</c:v>
                </c:pt>
                <c:pt idx="75">
                  <c:v>46487</c:v>
                </c:pt>
                <c:pt idx="76">
                  <c:v>46487</c:v>
                </c:pt>
                <c:pt idx="77">
                  <c:v>46487</c:v>
                </c:pt>
                <c:pt idx="78">
                  <c:v>46487</c:v>
                </c:pt>
                <c:pt idx="79">
                  <c:v>46487</c:v>
                </c:pt>
              </c:numCache>
            </c:numRef>
          </c:xVal>
          <c:yVal>
            <c:numRef>
              <c:f>'S-Curve'!$X$7:$X$86</c:f>
              <c:numCache>
                <c:formatCode>#,##0</c:formatCode>
                <c:ptCount val="80"/>
                <c:pt idx="0">
                  <c:v>175000</c:v>
                </c:pt>
                <c:pt idx="1">
                  <c:v>582258.064516129</c:v>
                </c:pt>
                <c:pt idx="2">
                  <c:v>969354.838709677</c:v>
                </c:pt>
                <c:pt idx="3">
                  <c:v>1356451.61290323</c:v>
                </c:pt>
                <c:pt idx="4">
                  <c:v>1743548.38709677</c:v>
                </c:pt>
                <c:pt idx="5">
                  <c:v>2169354.83870968</c:v>
                </c:pt>
                <c:pt idx="6">
                  <c:v>2783202.73063795</c:v>
                </c:pt>
                <c:pt idx="7">
                  <c:v>3326229.50819672</c:v>
                </c:pt>
                <c:pt idx="8">
                  <c:v>3710655.73770492</c:v>
                </c:pt>
                <c:pt idx="9">
                  <c:v>4577686.70309654</c:v>
                </c:pt>
                <c:pt idx="10">
                  <c:v>5444717.66848816</c:v>
                </c:pt>
                <c:pt idx="11">
                  <c:v>6311748.63387978</c:v>
                </c:pt>
                <c:pt idx="12">
                  <c:v>7500836.81142872</c:v>
                </c:pt>
                <c:pt idx="13">
                  <c:v>8533042.73358794</c:v>
                </c:pt>
                <c:pt idx="14">
                  <c:v>9362913.69240753</c:v>
                </c:pt>
                <c:pt idx="15">
                  <c:v>10471377.0962123</c:v>
                </c:pt>
                <c:pt idx="16">
                  <c:v>11601060.4870385</c:v>
                </c:pt>
                <c:pt idx="17">
                  <c:v>12469874.3126473</c:v>
                </c:pt>
                <c:pt idx="18">
                  <c:v>13626706.5714358</c:v>
                </c:pt>
                <c:pt idx="19">
                  <c:v>14842690.4405935</c:v>
                </c:pt>
                <c:pt idx="20">
                  <c:v>16199023.6785995</c:v>
                </c:pt>
                <c:pt idx="21">
                  <c:v>17686114.1413277</c:v>
                </c:pt>
                <c:pt idx="22">
                  <c:v>18908234.5976287</c:v>
                </c:pt>
                <c:pt idx="23">
                  <c:v>19848600.09249</c:v>
                </c:pt>
                <c:pt idx="24">
                  <c:v>21055071.3365122</c:v>
                </c:pt>
                <c:pt idx="25">
                  <c:v>21995536.2544292</c:v>
                </c:pt>
                <c:pt idx="26">
                  <c:v>22700082.1018062</c:v>
                </c:pt>
                <c:pt idx="27">
                  <c:v>23386904.7619048</c:v>
                </c:pt>
                <c:pt idx="28">
                  <c:v>24083333.3333333</c:v>
                </c:pt>
                <c:pt idx="29">
                  <c:v>24200000</c:v>
                </c:pt>
                <c:pt idx="30">
                  <c:v>24200000</c:v>
                </c:pt>
                <c:pt idx="31">
                  <c:v>24200000</c:v>
                </c:pt>
                <c:pt idx="32">
                  <c:v>24200000</c:v>
                </c:pt>
                <c:pt idx="33">
                  <c:v>24200000</c:v>
                </c:pt>
                <c:pt idx="34">
                  <c:v>24200000</c:v>
                </c:pt>
                <c:pt idx="35">
                  <c:v>24200000</c:v>
                </c:pt>
                <c:pt idx="36">
                  <c:v>24200000</c:v>
                </c:pt>
                <c:pt idx="37">
                  <c:v>24200000</c:v>
                </c:pt>
                <c:pt idx="38">
                  <c:v>24200000</c:v>
                </c:pt>
                <c:pt idx="39">
                  <c:v>24200000</c:v>
                </c:pt>
                <c:pt idx="40">
                  <c:v>24200000</c:v>
                </c:pt>
                <c:pt idx="41">
                  <c:v>24200000</c:v>
                </c:pt>
                <c:pt idx="42">
                  <c:v>24200000</c:v>
                </c:pt>
                <c:pt idx="43">
                  <c:v>24200000</c:v>
                </c:pt>
                <c:pt idx="44">
                  <c:v>24200000</c:v>
                </c:pt>
                <c:pt idx="45">
                  <c:v>24200000</c:v>
                </c:pt>
                <c:pt idx="46">
                  <c:v>24200000</c:v>
                </c:pt>
                <c:pt idx="47">
                  <c:v>24200000</c:v>
                </c:pt>
                <c:pt idx="48">
                  <c:v>24200000</c:v>
                </c:pt>
                <c:pt idx="49">
                  <c:v>24200000</c:v>
                </c:pt>
                <c:pt idx="50">
                  <c:v>24200000</c:v>
                </c:pt>
                <c:pt idx="51">
                  <c:v>24200000</c:v>
                </c:pt>
                <c:pt idx="52">
                  <c:v>24200000</c:v>
                </c:pt>
                <c:pt idx="53">
                  <c:v>24200000</c:v>
                </c:pt>
                <c:pt idx="54">
                  <c:v>24200000</c:v>
                </c:pt>
                <c:pt idx="55">
                  <c:v>24200000</c:v>
                </c:pt>
                <c:pt idx="56">
                  <c:v>24200000</c:v>
                </c:pt>
                <c:pt idx="57">
                  <c:v>24200000</c:v>
                </c:pt>
                <c:pt idx="58">
                  <c:v>24200000</c:v>
                </c:pt>
                <c:pt idx="59">
                  <c:v>24200000</c:v>
                </c:pt>
                <c:pt idx="60">
                  <c:v>24200000</c:v>
                </c:pt>
                <c:pt idx="61">
                  <c:v>24200000</c:v>
                </c:pt>
                <c:pt idx="62">
                  <c:v>24200000</c:v>
                </c:pt>
                <c:pt idx="63">
                  <c:v>24200000</c:v>
                </c:pt>
                <c:pt idx="64">
                  <c:v>24200000</c:v>
                </c:pt>
                <c:pt idx="65">
                  <c:v>24200000</c:v>
                </c:pt>
                <c:pt idx="66">
                  <c:v>24200000</c:v>
                </c:pt>
                <c:pt idx="67">
                  <c:v>24200000</c:v>
                </c:pt>
                <c:pt idx="68">
                  <c:v>24200000</c:v>
                </c:pt>
                <c:pt idx="69">
                  <c:v>24200000</c:v>
                </c:pt>
                <c:pt idx="70">
                  <c:v>24200000</c:v>
                </c:pt>
                <c:pt idx="71">
                  <c:v>24200000</c:v>
                </c:pt>
                <c:pt idx="72">
                  <c:v>24200000</c:v>
                </c:pt>
                <c:pt idx="73">
                  <c:v>24200000</c:v>
                </c:pt>
                <c:pt idx="74">
                  <c:v>24200000</c:v>
                </c:pt>
                <c:pt idx="75">
                  <c:v>24200000</c:v>
                </c:pt>
                <c:pt idx="76">
                  <c:v>24200000</c:v>
                </c:pt>
                <c:pt idx="77">
                  <c:v>24200000</c:v>
                </c:pt>
                <c:pt idx="78">
                  <c:v>24200000</c:v>
                </c:pt>
                <c:pt idx="79">
                  <c:v>24200000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'S-Curve'!$Y$6</c:f>
              <c:strCache>
                <c:ptCount val="1"/>
                <c:pt idx="0">
                  <c:v>EV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round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'S-Curve'!$T$7:$T$86</c:f>
              <c:numCache>
                <c:formatCode>dd\-mmm\-yy</c:formatCode>
                <c:ptCount val="80"/>
                <c:pt idx="0">
                  <c:v>46183</c:v>
                </c:pt>
                <c:pt idx="1">
                  <c:v>46193</c:v>
                </c:pt>
                <c:pt idx="2">
                  <c:v>46203</c:v>
                </c:pt>
                <c:pt idx="3">
                  <c:v>46213</c:v>
                </c:pt>
                <c:pt idx="4">
                  <c:v>46223</c:v>
                </c:pt>
                <c:pt idx="5">
                  <c:v>46234</c:v>
                </c:pt>
                <c:pt idx="6">
                  <c:v>46244</c:v>
                </c:pt>
                <c:pt idx="7">
                  <c:v>46254</c:v>
                </c:pt>
                <c:pt idx="8">
                  <c:v>46265</c:v>
                </c:pt>
                <c:pt idx="9">
                  <c:v>46275</c:v>
                </c:pt>
                <c:pt idx="10">
                  <c:v>46285</c:v>
                </c:pt>
                <c:pt idx="11">
                  <c:v>46295</c:v>
                </c:pt>
                <c:pt idx="12">
                  <c:v>46295</c:v>
                </c:pt>
                <c:pt idx="13">
                  <c:v>46295</c:v>
                </c:pt>
                <c:pt idx="14">
                  <c:v>46295</c:v>
                </c:pt>
                <c:pt idx="15">
                  <c:v>46295</c:v>
                </c:pt>
                <c:pt idx="16">
                  <c:v>46295</c:v>
                </c:pt>
                <c:pt idx="17">
                  <c:v>46295</c:v>
                </c:pt>
                <c:pt idx="18">
                  <c:v>46295</c:v>
                </c:pt>
                <c:pt idx="19">
                  <c:v>46295</c:v>
                </c:pt>
                <c:pt idx="20">
                  <c:v>46295</c:v>
                </c:pt>
                <c:pt idx="21">
                  <c:v>46295</c:v>
                </c:pt>
                <c:pt idx="22">
                  <c:v>46295</c:v>
                </c:pt>
                <c:pt idx="23">
                  <c:v>46295</c:v>
                </c:pt>
                <c:pt idx="24">
                  <c:v>46295</c:v>
                </c:pt>
                <c:pt idx="25">
                  <c:v>46295</c:v>
                </c:pt>
                <c:pt idx="26">
                  <c:v>46295</c:v>
                </c:pt>
                <c:pt idx="27">
                  <c:v>46295</c:v>
                </c:pt>
                <c:pt idx="28">
                  <c:v>46295</c:v>
                </c:pt>
                <c:pt idx="29">
                  <c:v>46295</c:v>
                </c:pt>
                <c:pt idx="30">
                  <c:v>46295</c:v>
                </c:pt>
                <c:pt idx="31">
                  <c:v>46295</c:v>
                </c:pt>
                <c:pt idx="32">
                  <c:v>46295</c:v>
                </c:pt>
                <c:pt idx="33">
                  <c:v>46295</c:v>
                </c:pt>
                <c:pt idx="34">
                  <c:v>46295</c:v>
                </c:pt>
                <c:pt idx="35">
                  <c:v>46295</c:v>
                </c:pt>
                <c:pt idx="36">
                  <c:v>46295</c:v>
                </c:pt>
                <c:pt idx="37">
                  <c:v>46295</c:v>
                </c:pt>
                <c:pt idx="38">
                  <c:v>46295</c:v>
                </c:pt>
                <c:pt idx="39">
                  <c:v>46295</c:v>
                </c:pt>
                <c:pt idx="40">
                  <c:v>46295</c:v>
                </c:pt>
                <c:pt idx="41">
                  <c:v>46295</c:v>
                </c:pt>
                <c:pt idx="42">
                  <c:v>46295</c:v>
                </c:pt>
                <c:pt idx="43">
                  <c:v>46295</c:v>
                </c:pt>
                <c:pt idx="44">
                  <c:v>46295</c:v>
                </c:pt>
                <c:pt idx="45">
                  <c:v>46295</c:v>
                </c:pt>
                <c:pt idx="46">
                  <c:v>46295</c:v>
                </c:pt>
                <c:pt idx="47">
                  <c:v>46295</c:v>
                </c:pt>
                <c:pt idx="48">
                  <c:v>46295</c:v>
                </c:pt>
                <c:pt idx="49">
                  <c:v>46295</c:v>
                </c:pt>
                <c:pt idx="50">
                  <c:v>46295</c:v>
                </c:pt>
                <c:pt idx="51">
                  <c:v>46295</c:v>
                </c:pt>
                <c:pt idx="52">
                  <c:v>46295</c:v>
                </c:pt>
                <c:pt idx="53">
                  <c:v>46295</c:v>
                </c:pt>
                <c:pt idx="54">
                  <c:v>46295</c:v>
                </c:pt>
                <c:pt idx="55">
                  <c:v>46295</c:v>
                </c:pt>
                <c:pt idx="56">
                  <c:v>46295</c:v>
                </c:pt>
                <c:pt idx="57">
                  <c:v>46295</c:v>
                </c:pt>
                <c:pt idx="58">
                  <c:v>46295</c:v>
                </c:pt>
                <c:pt idx="59">
                  <c:v>46295</c:v>
                </c:pt>
                <c:pt idx="60">
                  <c:v>46295</c:v>
                </c:pt>
                <c:pt idx="61">
                  <c:v>46295</c:v>
                </c:pt>
                <c:pt idx="62">
                  <c:v>46295</c:v>
                </c:pt>
                <c:pt idx="63">
                  <c:v>46295</c:v>
                </c:pt>
                <c:pt idx="64">
                  <c:v>46295</c:v>
                </c:pt>
                <c:pt idx="65">
                  <c:v>46295</c:v>
                </c:pt>
                <c:pt idx="66">
                  <c:v>46295</c:v>
                </c:pt>
                <c:pt idx="67">
                  <c:v>46295</c:v>
                </c:pt>
                <c:pt idx="68">
                  <c:v>46295</c:v>
                </c:pt>
                <c:pt idx="69">
                  <c:v>46295</c:v>
                </c:pt>
                <c:pt idx="70">
                  <c:v>46295</c:v>
                </c:pt>
                <c:pt idx="71">
                  <c:v>46295</c:v>
                </c:pt>
                <c:pt idx="72">
                  <c:v>46295</c:v>
                </c:pt>
                <c:pt idx="73">
                  <c:v>46295</c:v>
                </c:pt>
                <c:pt idx="74">
                  <c:v>46295</c:v>
                </c:pt>
                <c:pt idx="75">
                  <c:v>46295</c:v>
                </c:pt>
                <c:pt idx="76">
                  <c:v>46295</c:v>
                </c:pt>
                <c:pt idx="77">
                  <c:v>46295</c:v>
                </c:pt>
                <c:pt idx="78">
                  <c:v>46295</c:v>
                </c:pt>
                <c:pt idx="79">
                  <c:v>46295</c:v>
                </c:pt>
              </c:numCache>
            </c:numRef>
          </c:xVal>
          <c:yVal>
            <c:numRef>
              <c:f>'S-Curve'!$Y$7:$Y$86</c:f>
              <c:numCache>
                <c:formatCode>#,##0</c:formatCode>
                <c:ptCount val="80"/>
                <c:pt idx="0">
                  <c:v>147620</c:v>
                </c:pt>
                <c:pt idx="1">
                  <c:v>513040</c:v>
                </c:pt>
                <c:pt idx="2">
                  <c:v>873620</c:v>
                </c:pt>
                <c:pt idx="3">
                  <c:v>1219680</c:v>
                </c:pt>
                <c:pt idx="4">
                  <c:v>1534280</c:v>
                </c:pt>
                <c:pt idx="5">
                  <c:v>1865820</c:v>
                </c:pt>
                <c:pt idx="6">
                  <c:v>2337720</c:v>
                </c:pt>
                <c:pt idx="7">
                  <c:v>2727340</c:v>
                </c:pt>
                <c:pt idx="8">
                  <c:v>2969340</c:v>
                </c:pt>
                <c:pt idx="9">
                  <c:v>3569500</c:v>
                </c:pt>
                <c:pt idx="10">
                  <c:v>4138200</c:v>
                </c:pt>
                <c:pt idx="11">
                  <c:v>4544760</c:v>
                </c:pt>
                <c:pt idx="12">
                  <c:v>4544760</c:v>
                </c:pt>
                <c:pt idx="13">
                  <c:v>4544760</c:v>
                </c:pt>
                <c:pt idx="14">
                  <c:v>4544760</c:v>
                </c:pt>
                <c:pt idx="15">
                  <c:v>4544760</c:v>
                </c:pt>
                <c:pt idx="16">
                  <c:v>4544760</c:v>
                </c:pt>
                <c:pt idx="17">
                  <c:v>4544760</c:v>
                </c:pt>
                <c:pt idx="18">
                  <c:v>4544760</c:v>
                </c:pt>
                <c:pt idx="19">
                  <c:v>4544760</c:v>
                </c:pt>
                <c:pt idx="20">
                  <c:v>4544760</c:v>
                </c:pt>
                <c:pt idx="21">
                  <c:v>4544760</c:v>
                </c:pt>
                <c:pt idx="22">
                  <c:v>4544760</c:v>
                </c:pt>
                <c:pt idx="23">
                  <c:v>4544760</c:v>
                </c:pt>
                <c:pt idx="24">
                  <c:v>4544760</c:v>
                </c:pt>
                <c:pt idx="25">
                  <c:v>4544760</c:v>
                </c:pt>
                <c:pt idx="26">
                  <c:v>4544760</c:v>
                </c:pt>
                <c:pt idx="27">
                  <c:v>4544760</c:v>
                </c:pt>
                <c:pt idx="28">
                  <c:v>4544760</c:v>
                </c:pt>
                <c:pt idx="29">
                  <c:v>4544760</c:v>
                </c:pt>
                <c:pt idx="30">
                  <c:v>4544760</c:v>
                </c:pt>
                <c:pt idx="31">
                  <c:v>4544760</c:v>
                </c:pt>
                <c:pt idx="32">
                  <c:v>4544760</c:v>
                </c:pt>
                <c:pt idx="33">
                  <c:v>4544760</c:v>
                </c:pt>
                <c:pt idx="34">
                  <c:v>4544760</c:v>
                </c:pt>
                <c:pt idx="35">
                  <c:v>4544760</c:v>
                </c:pt>
                <c:pt idx="36">
                  <c:v>4544760</c:v>
                </c:pt>
                <c:pt idx="37">
                  <c:v>4544760</c:v>
                </c:pt>
                <c:pt idx="38">
                  <c:v>4544760</c:v>
                </c:pt>
                <c:pt idx="39">
                  <c:v>4544760</c:v>
                </c:pt>
                <c:pt idx="40">
                  <c:v>4544760</c:v>
                </c:pt>
                <c:pt idx="41">
                  <c:v>4544760</c:v>
                </c:pt>
                <c:pt idx="42">
                  <c:v>4544760</c:v>
                </c:pt>
                <c:pt idx="43">
                  <c:v>4544760</c:v>
                </c:pt>
                <c:pt idx="44">
                  <c:v>4544760</c:v>
                </c:pt>
                <c:pt idx="45">
                  <c:v>4544760</c:v>
                </c:pt>
                <c:pt idx="46">
                  <c:v>4544760</c:v>
                </c:pt>
                <c:pt idx="47">
                  <c:v>4544760</c:v>
                </c:pt>
                <c:pt idx="48">
                  <c:v>4544760</c:v>
                </c:pt>
                <c:pt idx="49">
                  <c:v>4544760</c:v>
                </c:pt>
                <c:pt idx="50">
                  <c:v>4544760</c:v>
                </c:pt>
                <c:pt idx="51">
                  <c:v>4544760</c:v>
                </c:pt>
                <c:pt idx="52">
                  <c:v>4544760</c:v>
                </c:pt>
                <c:pt idx="53">
                  <c:v>4544760</c:v>
                </c:pt>
                <c:pt idx="54">
                  <c:v>4544760</c:v>
                </c:pt>
                <c:pt idx="55">
                  <c:v>4544760</c:v>
                </c:pt>
                <c:pt idx="56">
                  <c:v>4544760</c:v>
                </c:pt>
                <c:pt idx="57">
                  <c:v>4544760</c:v>
                </c:pt>
                <c:pt idx="58">
                  <c:v>4544760</c:v>
                </c:pt>
                <c:pt idx="59">
                  <c:v>4544760</c:v>
                </c:pt>
                <c:pt idx="60">
                  <c:v>4544760</c:v>
                </c:pt>
                <c:pt idx="61">
                  <c:v>4544760</c:v>
                </c:pt>
                <c:pt idx="62">
                  <c:v>4544760</c:v>
                </c:pt>
                <c:pt idx="63">
                  <c:v>4544760</c:v>
                </c:pt>
                <c:pt idx="64">
                  <c:v>4544760</c:v>
                </c:pt>
                <c:pt idx="65">
                  <c:v>4544760</c:v>
                </c:pt>
                <c:pt idx="66">
                  <c:v>4544760</c:v>
                </c:pt>
                <c:pt idx="67">
                  <c:v>4544760</c:v>
                </c:pt>
                <c:pt idx="68">
                  <c:v>4544760</c:v>
                </c:pt>
                <c:pt idx="69">
                  <c:v>4544760</c:v>
                </c:pt>
                <c:pt idx="70">
                  <c:v>4544760</c:v>
                </c:pt>
                <c:pt idx="71">
                  <c:v>4544760</c:v>
                </c:pt>
                <c:pt idx="72">
                  <c:v>4544760</c:v>
                </c:pt>
                <c:pt idx="73">
                  <c:v>4544760</c:v>
                </c:pt>
                <c:pt idx="74">
                  <c:v>4544760</c:v>
                </c:pt>
                <c:pt idx="75">
                  <c:v>4544760</c:v>
                </c:pt>
                <c:pt idx="76">
                  <c:v>4544760</c:v>
                </c:pt>
                <c:pt idx="77">
                  <c:v>4544760</c:v>
                </c:pt>
                <c:pt idx="78">
                  <c:v>4544760</c:v>
                </c:pt>
                <c:pt idx="79">
                  <c:v>4544760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'S-Curve'!$AA$6</c:f>
              <c:strCache>
                <c:ptCount val="1"/>
                <c:pt idx="0">
                  <c:v>AC</c:v>
                </c:pt>
              </c:strCache>
            </c:strRef>
          </c:tx>
          <c:spPr>
            <a:solidFill>
              <a:srgbClr val="ed7d31"/>
            </a:solidFill>
            <a:ln w="24840">
              <a:solidFill>
                <a:srgbClr val="ed7d31"/>
              </a:solidFill>
              <a:round/>
            </a:ln>
          </c:spPr>
          <c:marker>
            <c:symbol val="triangle"/>
            <c:size val="4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'S-Curve'!$Z$7:$Z$86</c:f>
              <c:numCache>
                <c:formatCode>dd\-mmm\-yy</c:formatCode>
                <c:ptCount val="80"/>
                <c:pt idx="0">
                  <c:v>46174</c:v>
                </c:pt>
                <c:pt idx="1">
                  <c:v>46174</c:v>
                </c:pt>
                <c:pt idx="2">
                  <c:v>46203</c:v>
                </c:pt>
                <c:pt idx="3">
                  <c:v>46203</c:v>
                </c:pt>
                <c:pt idx="4">
                  <c:v>46203</c:v>
                </c:pt>
                <c:pt idx="5">
                  <c:v>46234</c:v>
                </c:pt>
                <c:pt idx="6">
                  <c:v>46234</c:v>
                </c:pt>
                <c:pt idx="7">
                  <c:v>46234</c:v>
                </c:pt>
                <c:pt idx="8">
                  <c:v>46265</c:v>
                </c:pt>
                <c:pt idx="9">
                  <c:v>46265</c:v>
                </c:pt>
                <c:pt idx="10">
                  <c:v>46285</c:v>
                </c:pt>
                <c:pt idx="11">
                  <c:v>46285</c:v>
                </c:pt>
                <c:pt idx="12">
                  <c:v>46285</c:v>
                </c:pt>
                <c:pt idx="13">
                  <c:v>46285</c:v>
                </c:pt>
                <c:pt idx="14">
                  <c:v>46285</c:v>
                </c:pt>
                <c:pt idx="15">
                  <c:v>46285</c:v>
                </c:pt>
                <c:pt idx="16">
                  <c:v>46285</c:v>
                </c:pt>
                <c:pt idx="17">
                  <c:v>46285</c:v>
                </c:pt>
                <c:pt idx="18">
                  <c:v>46285</c:v>
                </c:pt>
                <c:pt idx="19">
                  <c:v>46285</c:v>
                </c:pt>
                <c:pt idx="20">
                  <c:v>46285</c:v>
                </c:pt>
                <c:pt idx="21">
                  <c:v>46285</c:v>
                </c:pt>
                <c:pt idx="22">
                  <c:v>46285</c:v>
                </c:pt>
                <c:pt idx="23">
                  <c:v>46285</c:v>
                </c:pt>
                <c:pt idx="24">
                  <c:v>46285</c:v>
                </c:pt>
                <c:pt idx="25">
                  <c:v>46285</c:v>
                </c:pt>
                <c:pt idx="26">
                  <c:v>46285</c:v>
                </c:pt>
                <c:pt idx="27">
                  <c:v>46285</c:v>
                </c:pt>
                <c:pt idx="28">
                  <c:v>46285</c:v>
                </c:pt>
                <c:pt idx="29">
                  <c:v>46285</c:v>
                </c:pt>
                <c:pt idx="30">
                  <c:v>46285</c:v>
                </c:pt>
                <c:pt idx="31">
                  <c:v>46285</c:v>
                </c:pt>
                <c:pt idx="32">
                  <c:v>46285</c:v>
                </c:pt>
                <c:pt idx="33">
                  <c:v>46285</c:v>
                </c:pt>
                <c:pt idx="34">
                  <c:v>46285</c:v>
                </c:pt>
                <c:pt idx="35">
                  <c:v>46285</c:v>
                </c:pt>
                <c:pt idx="36">
                  <c:v>46285</c:v>
                </c:pt>
                <c:pt idx="37">
                  <c:v>46285</c:v>
                </c:pt>
                <c:pt idx="38">
                  <c:v>46285</c:v>
                </c:pt>
                <c:pt idx="39">
                  <c:v>46285</c:v>
                </c:pt>
                <c:pt idx="40">
                  <c:v>46285</c:v>
                </c:pt>
                <c:pt idx="41">
                  <c:v>46285</c:v>
                </c:pt>
                <c:pt idx="42">
                  <c:v>46285</c:v>
                </c:pt>
                <c:pt idx="43">
                  <c:v>46285</c:v>
                </c:pt>
                <c:pt idx="44">
                  <c:v>46285</c:v>
                </c:pt>
                <c:pt idx="45">
                  <c:v>46285</c:v>
                </c:pt>
                <c:pt idx="46">
                  <c:v>46285</c:v>
                </c:pt>
                <c:pt idx="47">
                  <c:v>46285</c:v>
                </c:pt>
                <c:pt idx="48">
                  <c:v>46285</c:v>
                </c:pt>
                <c:pt idx="49">
                  <c:v>46285</c:v>
                </c:pt>
                <c:pt idx="50">
                  <c:v>46285</c:v>
                </c:pt>
                <c:pt idx="51">
                  <c:v>46285</c:v>
                </c:pt>
                <c:pt idx="52">
                  <c:v>46285</c:v>
                </c:pt>
                <c:pt idx="53">
                  <c:v>46285</c:v>
                </c:pt>
                <c:pt idx="54">
                  <c:v>46285</c:v>
                </c:pt>
                <c:pt idx="55">
                  <c:v>46285</c:v>
                </c:pt>
                <c:pt idx="56">
                  <c:v>46285</c:v>
                </c:pt>
                <c:pt idx="57">
                  <c:v>46285</c:v>
                </c:pt>
                <c:pt idx="58">
                  <c:v>46285</c:v>
                </c:pt>
                <c:pt idx="59">
                  <c:v>46285</c:v>
                </c:pt>
                <c:pt idx="60">
                  <c:v>46285</c:v>
                </c:pt>
                <c:pt idx="61">
                  <c:v>46285</c:v>
                </c:pt>
                <c:pt idx="62">
                  <c:v>46285</c:v>
                </c:pt>
                <c:pt idx="63">
                  <c:v>46285</c:v>
                </c:pt>
                <c:pt idx="64">
                  <c:v>46285</c:v>
                </c:pt>
                <c:pt idx="65">
                  <c:v>46285</c:v>
                </c:pt>
                <c:pt idx="66">
                  <c:v>46285</c:v>
                </c:pt>
                <c:pt idx="67">
                  <c:v>46285</c:v>
                </c:pt>
                <c:pt idx="68">
                  <c:v>46285</c:v>
                </c:pt>
                <c:pt idx="69">
                  <c:v>46285</c:v>
                </c:pt>
                <c:pt idx="70">
                  <c:v>46285</c:v>
                </c:pt>
                <c:pt idx="71">
                  <c:v>46285</c:v>
                </c:pt>
                <c:pt idx="72">
                  <c:v>46285</c:v>
                </c:pt>
                <c:pt idx="73">
                  <c:v>46285</c:v>
                </c:pt>
                <c:pt idx="74">
                  <c:v>46285</c:v>
                </c:pt>
                <c:pt idx="75">
                  <c:v>46285</c:v>
                </c:pt>
                <c:pt idx="76">
                  <c:v>46285</c:v>
                </c:pt>
                <c:pt idx="77">
                  <c:v>46285</c:v>
                </c:pt>
                <c:pt idx="78">
                  <c:v>46285</c:v>
                </c:pt>
                <c:pt idx="79">
                  <c:v>46285</c:v>
                </c:pt>
              </c:numCache>
            </c:numRef>
          </c:xVal>
          <c:yVal>
            <c:numRef>
              <c:f>'S-Curve'!$AA$7:$AA$86</c:f>
              <c:numCache>
                <c:formatCode>#,##0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978500</c:v>
                </c:pt>
                <c:pt idx="3">
                  <c:v>978500</c:v>
                </c:pt>
                <c:pt idx="4">
                  <c:v>978500</c:v>
                </c:pt>
                <c:pt idx="5">
                  <c:v>2089800</c:v>
                </c:pt>
                <c:pt idx="6">
                  <c:v>2089800</c:v>
                </c:pt>
                <c:pt idx="7">
                  <c:v>2089800</c:v>
                </c:pt>
                <c:pt idx="8">
                  <c:v>3325700</c:v>
                </c:pt>
                <c:pt idx="9">
                  <c:v>3325700</c:v>
                </c:pt>
                <c:pt idx="10">
                  <c:v>4634800</c:v>
                </c:pt>
                <c:pt idx="11">
                  <c:v>4634800</c:v>
                </c:pt>
                <c:pt idx="12">
                  <c:v>4634800</c:v>
                </c:pt>
                <c:pt idx="13">
                  <c:v>4634800</c:v>
                </c:pt>
                <c:pt idx="14">
                  <c:v>4634800</c:v>
                </c:pt>
                <c:pt idx="15">
                  <c:v>4634800</c:v>
                </c:pt>
                <c:pt idx="16">
                  <c:v>4634800</c:v>
                </c:pt>
                <c:pt idx="17">
                  <c:v>4634800</c:v>
                </c:pt>
                <c:pt idx="18">
                  <c:v>4634800</c:v>
                </c:pt>
                <c:pt idx="19">
                  <c:v>4634800</c:v>
                </c:pt>
                <c:pt idx="20">
                  <c:v>4634800</c:v>
                </c:pt>
                <c:pt idx="21">
                  <c:v>4634800</c:v>
                </c:pt>
                <c:pt idx="22">
                  <c:v>4634800</c:v>
                </c:pt>
                <c:pt idx="23">
                  <c:v>4634800</c:v>
                </c:pt>
                <c:pt idx="24">
                  <c:v>4634800</c:v>
                </c:pt>
                <c:pt idx="25">
                  <c:v>4634800</c:v>
                </c:pt>
                <c:pt idx="26">
                  <c:v>4634800</c:v>
                </c:pt>
                <c:pt idx="27">
                  <c:v>4634800</c:v>
                </c:pt>
                <c:pt idx="28">
                  <c:v>4634800</c:v>
                </c:pt>
                <c:pt idx="29">
                  <c:v>4634800</c:v>
                </c:pt>
                <c:pt idx="30">
                  <c:v>4634800</c:v>
                </c:pt>
                <c:pt idx="31">
                  <c:v>4634800</c:v>
                </c:pt>
                <c:pt idx="32">
                  <c:v>4634800</c:v>
                </c:pt>
                <c:pt idx="33">
                  <c:v>4634800</c:v>
                </c:pt>
                <c:pt idx="34">
                  <c:v>4634800</c:v>
                </c:pt>
                <c:pt idx="35">
                  <c:v>4634800</c:v>
                </c:pt>
                <c:pt idx="36">
                  <c:v>4634800</c:v>
                </c:pt>
                <c:pt idx="37">
                  <c:v>4634800</c:v>
                </c:pt>
                <c:pt idx="38">
                  <c:v>4634800</c:v>
                </c:pt>
                <c:pt idx="39">
                  <c:v>4634800</c:v>
                </c:pt>
                <c:pt idx="40">
                  <c:v>4634800</c:v>
                </c:pt>
                <c:pt idx="41">
                  <c:v>4634800</c:v>
                </c:pt>
                <c:pt idx="42">
                  <c:v>4634800</c:v>
                </c:pt>
                <c:pt idx="43">
                  <c:v>4634800</c:v>
                </c:pt>
                <c:pt idx="44">
                  <c:v>4634800</c:v>
                </c:pt>
                <c:pt idx="45">
                  <c:v>4634800</c:v>
                </c:pt>
                <c:pt idx="46">
                  <c:v>4634800</c:v>
                </c:pt>
                <c:pt idx="47">
                  <c:v>4634800</c:v>
                </c:pt>
                <c:pt idx="48">
                  <c:v>4634800</c:v>
                </c:pt>
                <c:pt idx="49">
                  <c:v>4634800</c:v>
                </c:pt>
                <c:pt idx="50">
                  <c:v>4634800</c:v>
                </c:pt>
                <c:pt idx="51">
                  <c:v>4634800</c:v>
                </c:pt>
                <c:pt idx="52">
                  <c:v>4634800</c:v>
                </c:pt>
                <c:pt idx="53">
                  <c:v>4634800</c:v>
                </c:pt>
                <c:pt idx="54">
                  <c:v>4634800</c:v>
                </c:pt>
                <c:pt idx="55">
                  <c:v>4634800</c:v>
                </c:pt>
                <c:pt idx="56">
                  <c:v>4634800</c:v>
                </c:pt>
                <c:pt idx="57">
                  <c:v>4634800</c:v>
                </c:pt>
                <c:pt idx="58">
                  <c:v>4634800</c:v>
                </c:pt>
                <c:pt idx="59">
                  <c:v>4634800</c:v>
                </c:pt>
                <c:pt idx="60">
                  <c:v>4634800</c:v>
                </c:pt>
                <c:pt idx="61">
                  <c:v>4634800</c:v>
                </c:pt>
                <c:pt idx="62">
                  <c:v>4634800</c:v>
                </c:pt>
                <c:pt idx="63">
                  <c:v>4634800</c:v>
                </c:pt>
                <c:pt idx="64">
                  <c:v>4634800</c:v>
                </c:pt>
                <c:pt idx="65">
                  <c:v>4634800</c:v>
                </c:pt>
                <c:pt idx="66">
                  <c:v>4634800</c:v>
                </c:pt>
                <c:pt idx="67">
                  <c:v>4634800</c:v>
                </c:pt>
                <c:pt idx="68">
                  <c:v>4634800</c:v>
                </c:pt>
                <c:pt idx="69">
                  <c:v>4634800</c:v>
                </c:pt>
                <c:pt idx="70">
                  <c:v>4634800</c:v>
                </c:pt>
                <c:pt idx="71">
                  <c:v>4634800</c:v>
                </c:pt>
                <c:pt idx="72">
                  <c:v>4634800</c:v>
                </c:pt>
                <c:pt idx="73">
                  <c:v>4634800</c:v>
                </c:pt>
                <c:pt idx="74">
                  <c:v>4634800</c:v>
                </c:pt>
                <c:pt idx="75">
                  <c:v>4634800</c:v>
                </c:pt>
                <c:pt idx="76">
                  <c:v>4634800</c:v>
                </c:pt>
                <c:pt idx="77">
                  <c:v>4634800</c:v>
                </c:pt>
                <c:pt idx="78">
                  <c:v>4634800</c:v>
                </c:pt>
                <c:pt idx="79">
                  <c:v>4634800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'S-Curve'!$AC$6</c:f>
              <c:strCache>
                <c:ptCount val="1"/>
                <c:pt idx="0">
                  <c:v>Status Date</c:v>
                </c:pt>
              </c:strCache>
            </c:strRef>
          </c:tx>
          <c:spPr>
            <a:solidFill>
              <a:srgbClr val="7f7f7f"/>
            </a:solidFill>
            <a:ln w="4752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'S-Curve'!$AC$7:$AC$8</c:f>
              <c:numCache>
                <c:formatCode>dd\-mmm\-yy</c:formatCode>
                <c:ptCount val="2"/>
                <c:pt idx="0">
                  <c:v>46293</c:v>
                </c:pt>
                <c:pt idx="1">
                  <c:v>46293</c:v>
                </c:pt>
              </c:numCache>
            </c:numRef>
          </c:xVal>
          <c:yVal>
            <c:numRef>
              <c:f>'S-Curve'!$AE$7:$AE$8</c:f>
              <c:numCache>
                <c:formatCode>General</c:formatCode>
                <c:ptCount val="2"/>
                <c:pt idx="0">
                  <c:v>0</c:v>
                </c:pt>
                <c:pt idx="1">
                  <c:v>24200000</c:v>
                </c:pt>
              </c:numCache>
            </c:numRef>
          </c:yVal>
          <c:smooth val="0"/>
        </c:ser>
        <c:axId val="72541823"/>
        <c:axId val="31619515"/>
      </c:scatterChart>
      <c:valAx>
        <c:axId val="7254182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19515"/>
        <c:crosses val="autoZero"/>
        <c:crossBetween val="midCat"/>
        <c:majorUnit val="30"/>
      </c:valAx>
      <c:valAx>
        <c:axId val="3161951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บาท / THB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,,&quot; M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4182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แผน vs จริง รายงานส่วน / Planned vs Actual by Work Package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'สรุปงานส่วน Summary'!I6</c:f>
              <c:strCache>
                <c:ptCount val="1"/>
                <c:pt idx="0">
                  <c:v>% แผน
Planned</c:v>
                </c:pt>
              </c:strCache>
            </c:strRef>
          </c:tx>
          <c:spPr>
            <a:solidFill>
              <a:srgbClr val="9bc2e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'สรุปงานส่วน Summary'!$B$7:$B$46</c:f>
              <c:strCache>
                <c:ptCount val="40"/>
                <c:pt idx="0">
                  <c:v>งานถมดินและปรับพื้นที่ / Earth Filling &amp; Site Prep</c:v>
                </c:pt>
                <c:pt idx="1">
                  <c:v>งานก่อสร้างอาคาร / Building</c:v>
                </c:pt>
                <c:pt idx="2">
                  <c:v>งานรางระบายน้ำ / Drainage</c:v>
                </c:pt>
                <c:pt idx="3">
                  <c:v>งานถนนและลาน / Roads &amp; Hardscape</c:v>
                </c:pt>
                <c:pt idx="4">
                  <c:v>งานรั้ว / Fence</c:v>
                </c:pt>
                <c:pt idx="5">
                  <c:v>งานโรงจอดรถ / Carport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</c:strCache>
            </c:strRef>
          </c:cat>
          <c:val>
            <c:numRef>
              <c:f>'สรุปงานส่วน Summary'!$I$7:$I$46</c:f>
              <c:numCache>
                <c:formatCode>0.00%;\-0.00%;\-</c:formatCode>
                <c:ptCount val="40"/>
                <c:pt idx="0">
                  <c:v>1</c:v>
                </c:pt>
                <c:pt idx="1">
                  <c:v>0.0848484848484848</c:v>
                </c:pt>
                <c:pt idx="2">
                  <c:v>0.806729939603106</c:v>
                </c:pt>
                <c:pt idx="3">
                  <c:v>0</c:v>
                </c:pt>
                <c:pt idx="4">
                  <c:v>0.272222222222222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'สรุปงานส่วน Summary'!J6</c:f>
              <c:strCache>
                <c:ptCount val="1"/>
                <c:pt idx="0">
                  <c:v>% จริง
Actual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'สรุปงานส่วน Summary'!$B$7:$B$46</c:f>
              <c:strCache>
                <c:ptCount val="40"/>
                <c:pt idx="0">
                  <c:v>งานถมดินและปรับพื้นที่ / Earth Filling &amp; Site Prep</c:v>
                </c:pt>
                <c:pt idx="1">
                  <c:v>งานก่อสร้างอาคาร / Building</c:v>
                </c:pt>
                <c:pt idx="2">
                  <c:v>งานรางระบายน้ำ / Drainage</c:v>
                </c:pt>
                <c:pt idx="3">
                  <c:v>งานถนนและลาน / Roads &amp; Hardscape</c:v>
                </c:pt>
                <c:pt idx="4">
                  <c:v>งานรั้ว / Fence</c:v>
                </c:pt>
                <c:pt idx="5">
                  <c:v>งานโรงจอดรถ / Carport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</c:strCache>
            </c:strRef>
          </c:cat>
          <c:val>
            <c:numRef>
              <c:f>'สรุปงานส่วน Summary'!$J$7:$J$46</c:f>
              <c:numCache>
                <c:formatCode>0.00%;\-0.00%;\-</c:formatCode>
                <c:ptCount val="40"/>
                <c:pt idx="0">
                  <c:v>0.980327868852459</c:v>
                </c:pt>
                <c:pt idx="1">
                  <c:v>0.0477272727272727</c:v>
                </c:pt>
                <c:pt idx="2">
                  <c:v>0.376315789473684</c:v>
                </c:pt>
                <c:pt idx="3">
                  <c:v>0</c:v>
                </c:pt>
                <c:pt idx="4">
                  <c:v>0.13125</c:v>
                </c:pt>
                <c:pt idx="5">
                  <c:v>0</c:v>
                </c:pt>
              </c:numCache>
            </c:numRef>
          </c:val>
        </c:ser>
        <c:gapWidth val="60"/>
        <c:overlap val="-10"/>
        <c:axId val="3927998"/>
        <c:axId val="23935266"/>
      </c:barChart>
      <c:catAx>
        <c:axId val="3927998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35266"/>
        <c:crosses val="autoZero"/>
        <c:auto val="1"/>
        <c:lblAlgn val="ctr"/>
        <c:lblOffset val="100"/>
        <c:noMultiLvlLbl val="0"/>
      </c:catAx>
      <c:valAx>
        <c:axId val="23935266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79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แผน vs จริง รายงานส่วน / Planned vs Actual by Work Package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'สรุปงานส่วน Summary'!I6</c:f>
              <c:strCache>
                <c:ptCount val="1"/>
                <c:pt idx="0">
                  <c:v>% แผน
Planned</c:v>
                </c:pt>
              </c:strCache>
            </c:strRef>
          </c:tx>
          <c:spPr>
            <a:solidFill>
              <a:srgbClr val="9bc2e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'สรุปงานส่วน Summary'!$B$7:$B$46</c:f>
              <c:strCache>
                <c:ptCount val="40"/>
                <c:pt idx="0">
                  <c:v>งานถมดินและปรับพื้นที่ / Earth Filling &amp; Site Prep</c:v>
                </c:pt>
                <c:pt idx="1">
                  <c:v>งานก่อสร้างอาคาร / Building</c:v>
                </c:pt>
                <c:pt idx="2">
                  <c:v>งานรางระบายน้ำ / Drainage</c:v>
                </c:pt>
                <c:pt idx="3">
                  <c:v>งานถนนและลาน / Roads &amp; Hardscape</c:v>
                </c:pt>
                <c:pt idx="4">
                  <c:v>งานรั้ว / Fence</c:v>
                </c:pt>
                <c:pt idx="5">
                  <c:v>งานโรงจอดรถ / Carport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</c:strCache>
            </c:strRef>
          </c:cat>
          <c:val>
            <c:numRef>
              <c:f>'สรุปงานส่วน Summary'!$I$7:$I$46</c:f>
              <c:numCache>
                <c:formatCode>0.00%;\-0.00%;\-</c:formatCode>
                <c:ptCount val="40"/>
                <c:pt idx="0">
                  <c:v>1</c:v>
                </c:pt>
                <c:pt idx="1">
                  <c:v>0.0848484848484848</c:v>
                </c:pt>
                <c:pt idx="2">
                  <c:v>0.806729939603106</c:v>
                </c:pt>
                <c:pt idx="3">
                  <c:v>0</c:v>
                </c:pt>
                <c:pt idx="4">
                  <c:v>0.272222222222222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'สรุปงานส่วน Summary'!J6</c:f>
              <c:strCache>
                <c:ptCount val="1"/>
                <c:pt idx="0">
                  <c:v>% จริง
Actual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'สรุปงานส่วน Summary'!$B$7:$B$46</c:f>
              <c:strCache>
                <c:ptCount val="40"/>
                <c:pt idx="0">
                  <c:v>งานถมดินและปรับพื้นที่ / Earth Filling &amp; Site Prep</c:v>
                </c:pt>
                <c:pt idx="1">
                  <c:v>งานก่อสร้างอาคาร / Building</c:v>
                </c:pt>
                <c:pt idx="2">
                  <c:v>งานรางระบายน้ำ / Drainage</c:v>
                </c:pt>
                <c:pt idx="3">
                  <c:v>งานถนนและลาน / Roads &amp; Hardscape</c:v>
                </c:pt>
                <c:pt idx="4">
                  <c:v>งานรั้ว / Fence</c:v>
                </c:pt>
                <c:pt idx="5">
                  <c:v>งานโรงจอดรถ / Carport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</c:strCache>
            </c:strRef>
          </c:cat>
          <c:val>
            <c:numRef>
              <c:f>'สรุปงานส่วน Summary'!$J$7:$J$46</c:f>
              <c:numCache>
                <c:formatCode>0.00%;\-0.00%;\-</c:formatCode>
                <c:ptCount val="40"/>
                <c:pt idx="0">
                  <c:v>0.980327868852459</c:v>
                </c:pt>
                <c:pt idx="1">
                  <c:v>0.0477272727272727</c:v>
                </c:pt>
                <c:pt idx="2">
                  <c:v>0.376315789473684</c:v>
                </c:pt>
                <c:pt idx="3">
                  <c:v>0</c:v>
                </c:pt>
                <c:pt idx="4">
                  <c:v>0.13125</c:v>
                </c:pt>
                <c:pt idx="5">
                  <c:v>0</c:v>
                </c:pt>
              </c:numCache>
            </c:numRef>
          </c:val>
        </c:ser>
        <c:gapWidth val="60"/>
        <c:overlap val="-10"/>
        <c:axId val="70508360"/>
        <c:axId val="63419210"/>
      </c:barChart>
      <c:catAx>
        <c:axId val="70508360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19210"/>
        <c:crosses val="autoZero"/>
        <c:auto val="1"/>
        <c:lblAlgn val="ctr"/>
        <c:lblOffset val="100"/>
        <c:noMultiLvlLbl val="0"/>
      </c:catAx>
      <c:valAx>
        <c:axId val="63419210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083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'S-Curve'!$Q$6</c:f>
              <c:strCache>
                <c:ptCount val="1"/>
                <c:pt idx="0">
                  <c:v>Baseline แผนเดิม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'S-Curve'!$P$7:$P$86</c:f>
              <c:numCache>
                <c:formatCode>dd\-mmm\-yy</c:formatCode>
                <c:ptCount val="80"/>
                <c:pt idx="0">
                  <c:v>46183</c:v>
                </c:pt>
                <c:pt idx="1">
                  <c:v>46193</c:v>
                </c:pt>
                <c:pt idx="2">
                  <c:v>46203</c:v>
                </c:pt>
                <c:pt idx="3">
                  <c:v>46213</c:v>
                </c:pt>
                <c:pt idx="4">
                  <c:v>46223</c:v>
                </c:pt>
                <c:pt idx="5">
                  <c:v>46234</c:v>
                </c:pt>
                <c:pt idx="6">
                  <c:v>46244</c:v>
                </c:pt>
                <c:pt idx="7">
                  <c:v>46254</c:v>
                </c:pt>
                <c:pt idx="8">
                  <c:v>46265</c:v>
                </c:pt>
                <c:pt idx="9">
                  <c:v>46275</c:v>
                </c:pt>
                <c:pt idx="10">
                  <c:v>46285</c:v>
                </c:pt>
                <c:pt idx="11">
                  <c:v>46295</c:v>
                </c:pt>
                <c:pt idx="12">
                  <c:v>46305</c:v>
                </c:pt>
                <c:pt idx="13">
                  <c:v>46315</c:v>
                </c:pt>
                <c:pt idx="14">
                  <c:v>46326</c:v>
                </c:pt>
                <c:pt idx="15">
                  <c:v>46336</c:v>
                </c:pt>
                <c:pt idx="16">
                  <c:v>46346</c:v>
                </c:pt>
                <c:pt idx="17">
                  <c:v>46356</c:v>
                </c:pt>
                <c:pt idx="18">
                  <c:v>46366</c:v>
                </c:pt>
                <c:pt idx="19">
                  <c:v>46376</c:v>
                </c:pt>
                <c:pt idx="20">
                  <c:v>46387</c:v>
                </c:pt>
                <c:pt idx="21">
                  <c:v>46397</c:v>
                </c:pt>
                <c:pt idx="22">
                  <c:v>46407</c:v>
                </c:pt>
                <c:pt idx="23">
                  <c:v>46418</c:v>
                </c:pt>
                <c:pt idx="24">
                  <c:v>46428</c:v>
                </c:pt>
                <c:pt idx="25">
                  <c:v>46438</c:v>
                </c:pt>
                <c:pt idx="26">
                  <c:v>46446</c:v>
                </c:pt>
                <c:pt idx="27">
                  <c:v>46456</c:v>
                </c:pt>
                <c:pt idx="28">
                  <c:v>46466</c:v>
                </c:pt>
                <c:pt idx="29">
                  <c:v>46477</c:v>
                </c:pt>
                <c:pt idx="30">
                  <c:v>46487</c:v>
                </c:pt>
                <c:pt idx="31">
                  <c:v>46487</c:v>
                </c:pt>
                <c:pt idx="32">
                  <c:v>46487</c:v>
                </c:pt>
                <c:pt idx="33">
                  <c:v>46487</c:v>
                </c:pt>
                <c:pt idx="34">
                  <c:v>46487</c:v>
                </c:pt>
                <c:pt idx="35">
                  <c:v>46487</c:v>
                </c:pt>
                <c:pt idx="36">
                  <c:v>46487</c:v>
                </c:pt>
                <c:pt idx="37">
                  <c:v>46487</c:v>
                </c:pt>
                <c:pt idx="38">
                  <c:v>46487</c:v>
                </c:pt>
                <c:pt idx="39">
                  <c:v>46487</c:v>
                </c:pt>
                <c:pt idx="40">
                  <c:v>46487</c:v>
                </c:pt>
                <c:pt idx="41">
                  <c:v>46487</c:v>
                </c:pt>
                <c:pt idx="42">
                  <c:v>46487</c:v>
                </c:pt>
                <c:pt idx="43">
                  <c:v>46487</c:v>
                </c:pt>
                <c:pt idx="44">
                  <c:v>46487</c:v>
                </c:pt>
                <c:pt idx="45">
                  <c:v>46487</c:v>
                </c:pt>
                <c:pt idx="46">
                  <c:v>46487</c:v>
                </c:pt>
                <c:pt idx="47">
                  <c:v>46487</c:v>
                </c:pt>
                <c:pt idx="48">
                  <c:v>46487</c:v>
                </c:pt>
                <c:pt idx="49">
                  <c:v>46487</c:v>
                </c:pt>
                <c:pt idx="50">
                  <c:v>46487</c:v>
                </c:pt>
                <c:pt idx="51">
                  <c:v>46487</c:v>
                </c:pt>
                <c:pt idx="52">
                  <c:v>46487</c:v>
                </c:pt>
                <c:pt idx="53">
                  <c:v>46487</c:v>
                </c:pt>
                <c:pt idx="54">
                  <c:v>46487</c:v>
                </c:pt>
                <c:pt idx="55">
                  <c:v>46487</c:v>
                </c:pt>
                <c:pt idx="56">
                  <c:v>46487</c:v>
                </c:pt>
                <c:pt idx="57">
                  <c:v>46487</c:v>
                </c:pt>
                <c:pt idx="58">
                  <c:v>46487</c:v>
                </c:pt>
                <c:pt idx="59">
                  <c:v>46487</c:v>
                </c:pt>
                <c:pt idx="60">
                  <c:v>46487</c:v>
                </c:pt>
                <c:pt idx="61">
                  <c:v>46487</c:v>
                </c:pt>
                <c:pt idx="62">
                  <c:v>46487</c:v>
                </c:pt>
                <c:pt idx="63">
                  <c:v>46487</c:v>
                </c:pt>
                <c:pt idx="64">
                  <c:v>46487</c:v>
                </c:pt>
                <c:pt idx="65">
                  <c:v>46487</c:v>
                </c:pt>
                <c:pt idx="66">
                  <c:v>46487</c:v>
                </c:pt>
                <c:pt idx="67">
                  <c:v>46487</c:v>
                </c:pt>
                <c:pt idx="68">
                  <c:v>46487</c:v>
                </c:pt>
                <c:pt idx="69">
                  <c:v>46487</c:v>
                </c:pt>
                <c:pt idx="70">
                  <c:v>46487</c:v>
                </c:pt>
                <c:pt idx="71">
                  <c:v>46487</c:v>
                </c:pt>
                <c:pt idx="72">
                  <c:v>46487</c:v>
                </c:pt>
                <c:pt idx="73">
                  <c:v>46487</c:v>
                </c:pt>
                <c:pt idx="74">
                  <c:v>46487</c:v>
                </c:pt>
                <c:pt idx="75">
                  <c:v>46487</c:v>
                </c:pt>
                <c:pt idx="76">
                  <c:v>46487</c:v>
                </c:pt>
                <c:pt idx="77">
                  <c:v>46487</c:v>
                </c:pt>
                <c:pt idx="78">
                  <c:v>46487</c:v>
                </c:pt>
                <c:pt idx="79">
                  <c:v>46487</c:v>
                </c:pt>
              </c:numCache>
            </c:numRef>
          </c:xVal>
          <c:yVal>
            <c:numRef>
              <c:f>'S-Curve'!$Q$7:$Q$86</c:f>
              <c:numCache>
                <c:formatCode>0.00%</c:formatCode>
                <c:ptCount val="80"/>
                <c:pt idx="0">
                  <c:v>0.00723140495867769</c:v>
                </c:pt>
                <c:pt idx="1">
                  <c:v>0.02406025059984</c:v>
                </c:pt>
                <c:pt idx="2">
                  <c:v>0.0400559850706478</c:v>
                </c:pt>
                <c:pt idx="3">
                  <c:v>0.0560517195414556</c:v>
                </c:pt>
                <c:pt idx="4">
                  <c:v>0.0720474540122634</c:v>
                </c:pt>
                <c:pt idx="5">
                  <c:v>0.089642761930152</c:v>
                </c:pt>
                <c:pt idx="6">
                  <c:v>0.115008377299089</c:v>
                </c:pt>
                <c:pt idx="7">
                  <c:v>0.137447500338708</c:v>
                </c:pt>
                <c:pt idx="8">
                  <c:v>0.153332881723344</c:v>
                </c:pt>
                <c:pt idx="9">
                  <c:v>0.189160607565973</c:v>
                </c:pt>
                <c:pt idx="10">
                  <c:v>0.224988333408602</c:v>
                </c:pt>
                <c:pt idx="11">
                  <c:v>0.260816059251231</c:v>
                </c:pt>
                <c:pt idx="12">
                  <c:v>0.309951934356559</c:v>
                </c:pt>
                <c:pt idx="13">
                  <c:v>0.352605071635865</c:v>
                </c:pt>
                <c:pt idx="14">
                  <c:v>0.38689726001684</c:v>
                </c:pt>
                <c:pt idx="15">
                  <c:v>0.432701532901335</c:v>
                </c:pt>
                <c:pt idx="16">
                  <c:v>0.479382664753657</c:v>
                </c:pt>
                <c:pt idx="17">
                  <c:v>0.515284062506086</c:v>
                </c:pt>
                <c:pt idx="18">
                  <c:v>0.563087048406439</c:v>
                </c:pt>
                <c:pt idx="19">
                  <c:v>0.613334315727006</c:v>
                </c:pt>
                <c:pt idx="20">
                  <c:v>0.66938114374378</c:v>
                </c:pt>
                <c:pt idx="21">
                  <c:v>0.730831162864782</c:v>
                </c:pt>
                <c:pt idx="22">
                  <c:v>0.781332008166477</c:v>
                </c:pt>
                <c:pt idx="23">
                  <c:v>0.820190086466528</c:v>
                </c:pt>
                <c:pt idx="24">
                  <c:v>0.87004427010381</c:v>
                </c:pt>
                <c:pt idx="25">
                  <c:v>0.908906456794594</c:v>
                </c:pt>
                <c:pt idx="26">
                  <c:v>0.938019921562241</c:v>
                </c:pt>
                <c:pt idx="27">
                  <c:v>0.966401023219205</c:v>
                </c:pt>
                <c:pt idx="28">
                  <c:v>0.995179063360882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'S-Curve'!$S$6</c:f>
              <c:strCache>
                <c:ptCount val="1"/>
                <c:pt idx="0">
                  <c:v>Revised แผนเร่งรัด</c:v>
                </c:pt>
              </c:strCache>
            </c:strRef>
          </c:tx>
          <c:spPr>
            <a:solidFill>
              <a:srgbClr val="70ad47"/>
            </a:solidFill>
            <a:ln w="21960">
              <a:solidFill>
                <a:srgbClr val="70ad47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'S-Curve'!$R$7:$R$86</c:f>
              <c:numCache>
                <c:formatCode>dd\-mmm\-yy</c:formatCode>
                <c:ptCount val="80"/>
                <c:pt idx="0">
                  <c:v>46174</c:v>
                </c:pt>
                <c:pt idx="1">
                  <c:v>46174</c:v>
                </c:pt>
                <c:pt idx="2">
                  <c:v>46174</c:v>
                </c:pt>
                <c:pt idx="3">
                  <c:v>46174</c:v>
                </c:pt>
                <c:pt idx="4">
                  <c:v>46174</c:v>
                </c:pt>
                <c:pt idx="5">
                  <c:v>46174</c:v>
                </c:pt>
                <c:pt idx="6">
                  <c:v>46174</c:v>
                </c:pt>
                <c:pt idx="7">
                  <c:v>46174</c:v>
                </c:pt>
                <c:pt idx="8">
                  <c:v>46174</c:v>
                </c:pt>
                <c:pt idx="9">
                  <c:v>46174</c:v>
                </c:pt>
                <c:pt idx="10">
                  <c:v>46174</c:v>
                </c:pt>
                <c:pt idx="11">
                  <c:v>46174</c:v>
                </c:pt>
                <c:pt idx="12">
                  <c:v>46174</c:v>
                </c:pt>
                <c:pt idx="13">
                  <c:v>46174</c:v>
                </c:pt>
                <c:pt idx="14">
                  <c:v>46174</c:v>
                </c:pt>
                <c:pt idx="15">
                  <c:v>46174</c:v>
                </c:pt>
                <c:pt idx="16">
                  <c:v>46174</c:v>
                </c:pt>
                <c:pt idx="17">
                  <c:v>46174</c:v>
                </c:pt>
                <c:pt idx="18">
                  <c:v>46174</c:v>
                </c:pt>
                <c:pt idx="19">
                  <c:v>46174</c:v>
                </c:pt>
                <c:pt idx="20">
                  <c:v>46174</c:v>
                </c:pt>
                <c:pt idx="21">
                  <c:v>46174</c:v>
                </c:pt>
                <c:pt idx="22">
                  <c:v>46174</c:v>
                </c:pt>
                <c:pt idx="23">
                  <c:v>46174</c:v>
                </c:pt>
                <c:pt idx="24">
                  <c:v>46174</c:v>
                </c:pt>
                <c:pt idx="25">
                  <c:v>46174</c:v>
                </c:pt>
                <c:pt idx="26">
                  <c:v>46174</c:v>
                </c:pt>
                <c:pt idx="27">
                  <c:v>46174</c:v>
                </c:pt>
                <c:pt idx="28">
                  <c:v>46174</c:v>
                </c:pt>
                <c:pt idx="29">
                  <c:v>46174</c:v>
                </c:pt>
                <c:pt idx="30">
                  <c:v>46174</c:v>
                </c:pt>
                <c:pt idx="31">
                  <c:v>46174</c:v>
                </c:pt>
                <c:pt idx="32">
                  <c:v>46174</c:v>
                </c:pt>
                <c:pt idx="33">
                  <c:v>46174</c:v>
                </c:pt>
                <c:pt idx="34">
                  <c:v>46174</c:v>
                </c:pt>
                <c:pt idx="35">
                  <c:v>46174</c:v>
                </c:pt>
                <c:pt idx="36">
                  <c:v>46174</c:v>
                </c:pt>
                <c:pt idx="37">
                  <c:v>46174</c:v>
                </c:pt>
                <c:pt idx="38">
                  <c:v>46174</c:v>
                </c:pt>
                <c:pt idx="39">
                  <c:v>46174</c:v>
                </c:pt>
                <c:pt idx="40">
                  <c:v>46174</c:v>
                </c:pt>
                <c:pt idx="41">
                  <c:v>46174</c:v>
                </c:pt>
                <c:pt idx="42">
                  <c:v>46174</c:v>
                </c:pt>
                <c:pt idx="43">
                  <c:v>46174</c:v>
                </c:pt>
                <c:pt idx="44">
                  <c:v>46174</c:v>
                </c:pt>
                <c:pt idx="45">
                  <c:v>46174</c:v>
                </c:pt>
                <c:pt idx="46">
                  <c:v>46174</c:v>
                </c:pt>
                <c:pt idx="47">
                  <c:v>46174</c:v>
                </c:pt>
                <c:pt idx="48">
                  <c:v>46174</c:v>
                </c:pt>
                <c:pt idx="49">
                  <c:v>46174</c:v>
                </c:pt>
                <c:pt idx="50">
                  <c:v>46174</c:v>
                </c:pt>
                <c:pt idx="51">
                  <c:v>46174</c:v>
                </c:pt>
                <c:pt idx="52">
                  <c:v>46174</c:v>
                </c:pt>
                <c:pt idx="53">
                  <c:v>46174</c:v>
                </c:pt>
                <c:pt idx="54">
                  <c:v>46174</c:v>
                </c:pt>
                <c:pt idx="55">
                  <c:v>46174</c:v>
                </c:pt>
                <c:pt idx="56">
                  <c:v>46174</c:v>
                </c:pt>
                <c:pt idx="57">
                  <c:v>46174</c:v>
                </c:pt>
                <c:pt idx="58">
                  <c:v>46174</c:v>
                </c:pt>
                <c:pt idx="59">
                  <c:v>46174</c:v>
                </c:pt>
                <c:pt idx="60">
                  <c:v>46174</c:v>
                </c:pt>
                <c:pt idx="61">
                  <c:v>46174</c:v>
                </c:pt>
                <c:pt idx="62">
                  <c:v>46174</c:v>
                </c:pt>
                <c:pt idx="63">
                  <c:v>46174</c:v>
                </c:pt>
                <c:pt idx="64">
                  <c:v>46174</c:v>
                </c:pt>
                <c:pt idx="65">
                  <c:v>46174</c:v>
                </c:pt>
                <c:pt idx="66">
                  <c:v>46174</c:v>
                </c:pt>
                <c:pt idx="67">
                  <c:v>46174</c:v>
                </c:pt>
                <c:pt idx="68">
                  <c:v>46174</c:v>
                </c:pt>
                <c:pt idx="69">
                  <c:v>46174</c:v>
                </c:pt>
                <c:pt idx="70">
                  <c:v>46174</c:v>
                </c:pt>
                <c:pt idx="71">
                  <c:v>46174</c:v>
                </c:pt>
                <c:pt idx="72">
                  <c:v>46174</c:v>
                </c:pt>
                <c:pt idx="73">
                  <c:v>46174</c:v>
                </c:pt>
                <c:pt idx="74">
                  <c:v>46174</c:v>
                </c:pt>
                <c:pt idx="75">
                  <c:v>46174</c:v>
                </c:pt>
                <c:pt idx="76">
                  <c:v>46174</c:v>
                </c:pt>
                <c:pt idx="77">
                  <c:v>46174</c:v>
                </c:pt>
                <c:pt idx="78">
                  <c:v>46174</c:v>
                </c:pt>
                <c:pt idx="79">
                  <c:v>46174</c:v>
                </c:pt>
              </c:numCache>
            </c:numRef>
          </c:xVal>
          <c:yVal>
            <c:numRef>
              <c:f>'S-Curve'!$S$7:$S$86</c:f>
              <c:numCache>
                <c:formatCode>0.00%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'S-Curve'!$U$6</c:f>
              <c:strCache>
                <c:ptCount val="1"/>
                <c:pt idx="0">
                  <c:v>Actual ผลงานจริง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'S-Curve'!$T$7:$T$86</c:f>
              <c:numCache>
                <c:formatCode>dd\-mmm\-yy</c:formatCode>
                <c:ptCount val="80"/>
                <c:pt idx="0">
                  <c:v>46183</c:v>
                </c:pt>
                <c:pt idx="1">
                  <c:v>46193</c:v>
                </c:pt>
                <c:pt idx="2">
                  <c:v>46203</c:v>
                </c:pt>
                <c:pt idx="3">
                  <c:v>46213</c:v>
                </c:pt>
                <c:pt idx="4">
                  <c:v>46223</c:v>
                </c:pt>
                <c:pt idx="5">
                  <c:v>46234</c:v>
                </c:pt>
                <c:pt idx="6">
                  <c:v>46244</c:v>
                </c:pt>
                <c:pt idx="7">
                  <c:v>46254</c:v>
                </c:pt>
                <c:pt idx="8">
                  <c:v>46265</c:v>
                </c:pt>
                <c:pt idx="9">
                  <c:v>46275</c:v>
                </c:pt>
                <c:pt idx="10">
                  <c:v>46285</c:v>
                </c:pt>
                <c:pt idx="11">
                  <c:v>46295</c:v>
                </c:pt>
                <c:pt idx="12">
                  <c:v>46295</c:v>
                </c:pt>
                <c:pt idx="13">
                  <c:v>46295</c:v>
                </c:pt>
                <c:pt idx="14">
                  <c:v>46295</c:v>
                </c:pt>
                <c:pt idx="15">
                  <c:v>46295</c:v>
                </c:pt>
                <c:pt idx="16">
                  <c:v>46295</c:v>
                </c:pt>
                <c:pt idx="17">
                  <c:v>46295</c:v>
                </c:pt>
                <c:pt idx="18">
                  <c:v>46295</c:v>
                </c:pt>
                <c:pt idx="19">
                  <c:v>46295</c:v>
                </c:pt>
                <c:pt idx="20">
                  <c:v>46295</c:v>
                </c:pt>
                <c:pt idx="21">
                  <c:v>46295</c:v>
                </c:pt>
                <c:pt idx="22">
                  <c:v>46295</c:v>
                </c:pt>
                <c:pt idx="23">
                  <c:v>46295</c:v>
                </c:pt>
                <c:pt idx="24">
                  <c:v>46295</c:v>
                </c:pt>
                <c:pt idx="25">
                  <c:v>46295</c:v>
                </c:pt>
                <c:pt idx="26">
                  <c:v>46295</c:v>
                </c:pt>
                <c:pt idx="27">
                  <c:v>46295</c:v>
                </c:pt>
                <c:pt idx="28">
                  <c:v>46295</c:v>
                </c:pt>
                <c:pt idx="29">
                  <c:v>46295</c:v>
                </c:pt>
                <c:pt idx="30">
                  <c:v>46295</c:v>
                </c:pt>
                <c:pt idx="31">
                  <c:v>46295</c:v>
                </c:pt>
                <c:pt idx="32">
                  <c:v>46295</c:v>
                </c:pt>
                <c:pt idx="33">
                  <c:v>46295</c:v>
                </c:pt>
                <c:pt idx="34">
                  <c:v>46295</c:v>
                </c:pt>
                <c:pt idx="35">
                  <c:v>46295</c:v>
                </c:pt>
                <c:pt idx="36">
                  <c:v>46295</c:v>
                </c:pt>
                <c:pt idx="37">
                  <c:v>46295</c:v>
                </c:pt>
                <c:pt idx="38">
                  <c:v>46295</c:v>
                </c:pt>
                <c:pt idx="39">
                  <c:v>46295</c:v>
                </c:pt>
                <c:pt idx="40">
                  <c:v>46295</c:v>
                </c:pt>
                <c:pt idx="41">
                  <c:v>46295</c:v>
                </c:pt>
                <c:pt idx="42">
                  <c:v>46295</c:v>
                </c:pt>
                <c:pt idx="43">
                  <c:v>46295</c:v>
                </c:pt>
                <c:pt idx="44">
                  <c:v>46295</c:v>
                </c:pt>
                <c:pt idx="45">
                  <c:v>46295</c:v>
                </c:pt>
                <c:pt idx="46">
                  <c:v>46295</c:v>
                </c:pt>
                <c:pt idx="47">
                  <c:v>46295</c:v>
                </c:pt>
                <c:pt idx="48">
                  <c:v>46295</c:v>
                </c:pt>
                <c:pt idx="49">
                  <c:v>46295</c:v>
                </c:pt>
                <c:pt idx="50">
                  <c:v>46295</c:v>
                </c:pt>
                <c:pt idx="51">
                  <c:v>46295</c:v>
                </c:pt>
                <c:pt idx="52">
                  <c:v>46295</c:v>
                </c:pt>
                <c:pt idx="53">
                  <c:v>46295</c:v>
                </c:pt>
                <c:pt idx="54">
                  <c:v>46295</c:v>
                </c:pt>
                <c:pt idx="55">
                  <c:v>46295</c:v>
                </c:pt>
                <c:pt idx="56">
                  <c:v>46295</c:v>
                </c:pt>
                <c:pt idx="57">
                  <c:v>46295</c:v>
                </c:pt>
                <c:pt idx="58">
                  <c:v>46295</c:v>
                </c:pt>
                <c:pt idx="59">
                  <c:v>46295</c:v>
                </c:pt>
                <c:pt idx="60">
                  <c:v>46295</c:v>
                </c:pt>
                <c:pt idx="61">
                  <c:v>46295</c:v>
                </c:pt>
                <c:pt idx="62">
                  <c:v>46295</c:v>
                </c:pt>
                <c:pt idx="63">
                  <c:v>46295</c:v>
                </c:pt>
                <c:pt idx="64">
                  <c:v>46295</c:v>
                </c:pt>
                <c:pt idx="65">
                  <c:v>46295</c:v>
                </c:pt>
                <c:pt idx="66">
                  <c:v>46295</c:v>
                </c:pt>
                <c:pt idx="67">
                  <c:v>46295</c:v>
                </c:pt>
                <c:pt idx="68">
                  <c:v>46295</c:v>
                </c:pt>
                <c:pt idx="69">
                  <c:v>46295</c:v>
                </c:pt>
                <c:pt idx="70">
                  <c:v>46295</c:v>
                </c:pt>
                <c:pt idx="71">
                  <c:v>46295</c:v>
                </c:pt>
                <c:pt idx="72">
                  <c:v>46295</c:v>
                </c:pt>
                <c:pt idx="73">
                  <c:v>46295</c:v>
                </c:pt>
                <c:pt idx="74">
                  <c:v>46295</c:v>
                </c:pt>
                <c:pt idx="75">
                  <c:v>46295</c:v>
                </c:pt>
                <c:pt idx="76">
                  <c:v>46295</c:v>
                </c:pt>
                <c:pt idx="77">
                  <c:v>46295</c:v>
                </c:pt>
                <c:pt idx="78">
                  <c:v>46295</c:v>
                </c:pt>
                <c:pt idx="79">
                  <c:v>46295</c:v>
                </c:pt>
              </c:numCache>
            </c:numRef>
          </c:xVal>
          <c:yVal>
            <c:numRef>
              <c:f>'S-Curve'!$U$7:$U$86</c:f>
              <c:numCache>
                <c:formatCode>0.00%</c:formatCode>
                <c:ptCount val="80"/>
                <c:pt idx="0">
                  <c:v>0.0061</c:v>
                </c:pt>
                <c:pt idx="1">
                  <c:v>0.0212</c:v>
                </c:pt>
                <c:pt idx="2">
                  <c:v>0.0361</c:v>
                </c:pt>
                <c:pt idx="3">
                  <c:v>0.0504</c:v>
                </c:pt>
                <c:pt idx="4">
                  <c:v>0.0634</c:v>
                </c:pt>
                <c:pt idx="5">
                  <c:v>0.0771</c:v>
                </c:pt>
                <c:pt idx="6">
                  <c:v>0.0966</c:v>
                </c:pt>
                <c:pt idx="7">
                  <c:v>0.1127</c:v>
                </c:pt>
                <c:pt idx="8">
                  <c:v>0.1227</c:v>
                </c:pt>
                <c:pt idx="9">
                  <c:v>0.1475</c:v>
                </c:pt>
                <c:pt idx="10">
                  <c:v>0.171</c:v>
                </c:pt>
                <c:pt idx="11">
                  <c:v>0.1878</c:v>
                </c:pt>
                <c:pt idx="12">
                  <c:v>0.1878</c:v>
                </c:pt>
                <c:pt idx="13">
                  <c:v>0.1878</c:v>
                </c:pt>
                <c:pt idx="14">
                  <c:v>0.1878</c:v>
                </c:pt>
                <c:pt idx="15">
                  <c:v>0.1878</c:v>
                </c:pt>
                <c:pt idx="16">
                  <c:v>0.1878</c:v>
                </c:pt>
                <c:pt idx="17">
                  <c:v>0.1878</c:v>
                </c:pt>
                <c:pt idx="18">
                  <c:v>0.1878</c:v>
                </c:pt>
                <c:pt idx="19">
                  <c:v>0.1878</c:v>
                </c:pt>
                <c:pt idx="20">
                  <c:v>0.1878</c:v>
                </c:pt>
                <c:pt idx="21">
                  <c:v>0.1878</c:v>
                </c:pt>
                <c:pt idx="22">
                  <c:v>0.1878</c:v>
                </c:pt>
                <c:pt idx="23">
                  <c:v>0.1878</c:v>
                </c:pt>
                <c:pt idx="24">
                  <c:v>0.1878</c:v>
                </c:pt>
                <c:pt idx="25">
                  <c:v>0.1878</c:v>
                </c:pt>
                <c:pt idx="26">
                  <c:v>0.1878</c:v>
                </c:pt>
                <c:pt idx="27">
                  <c:v>0.1878</c:v>
                </c:pt>
                <c:pt idx="28">
                  <c:v>0.1878</c:v>
                </c:pt>
                <c:pt idx="29">
                  <c:v>0.1878</c:v>
                </c:pt>
                <c:pt idx="30">
                  <c:v>0.1878</c:v>
                </c:pt>
                <c:pt idx="31">
                  <c:v>0.1878</c:v>
                </c:pt>
                <c:pt idx="32">
                  <c:v>0.1878</c:v>
                </c:pt>
                <c:pt idx="33">
                  <c:v>0.1878</c:v>
                </c:pt>
                <c:pt idx="34">
                  <c:v>0.1878</c:v>
                </c:pt>
                <c:pt idx="35">
                  <c:v>0.1878</c:v>
                </c:pt>
                <c:pt idx="36">
                  <c:v>0.1878</c:v>
                </c:pt>
                <c:pt idx="37">
                  <c:v>0.1878</c:v>
                </c:pt>
                <c:pt idx="38">
                  <c:v>0.1878</c:v>
                </c:pt>
                <c:pt idx="39">
                  <c:v>0.1878</c:v>
                </c:pt>
                <c:pt idx="40">
                  <c:v>0.1878</c:v>
                </c:pt>
                <c:pt idx="41">
                  <c:v>0.1878</c:v>
                </c:pt>
                <c:pt idx="42">
                  <c:v>0.1878</c:v>
                </c:pt>
                <c:pt idx="43">
                  <c:v>0.1878</c:v>
                </c:pt>
                <c:pt idx="44">
                  <c:v>0.1878</c:v>
                </c:pt>
                <c:pt idx="45">
                  <c:v>0.1878</c:v>
                </c:pt>
                <c:pt idx="46">
                  <c:v>0.1878</c:v>
                </c:pt>
                <c:pt idx="47">
                  <c:v>0.1878</c:v>
                </c:pt>
                <c:pt idx="48">
                  <c:v>0.1878</c:v>
                </c:pt>
                <c:pt idx="49">
                  <c:v>0.1878</c:v>
                </c:pt>
                <c:pt idx="50">
                  <c:v>0.1878</c:v>
                </c:pt>
                <c:pt idx="51">
                  <c:v>0.1878</c:v>
                </c:pt>
                <c:pt idx="52">
                  <c:v>0.1878</c:v>
                </c:pt>
                <c:pt idx="53">
                  <c:v>0.1878</c:v>
                </c:pt>
                <c:pt idx="54">
                  <c:v>0.1878</c:v>
                </c:pt>
                <c:pt idx="55">
                  <c:v>0.1878</c:v>
                </c:pt>
                <c:pt idx="56">
                  <c:v>0.1878</c:v>
                </c:pt>
                <c:pt idx="57">
                  <c:v>0.1878</c:v>
                </c:pt>
                <c:pt idx="58">
                  <c:v>0.1878</c:v>
                </c:pt>
                <c:pt idx="59">
                  <c:v>0.1878</c:v>
                </c:pt>
                <c:pt idx="60">
                  <c:v>0.1878</c:v>
                </c:pt>
                <c:pt idx="61">
                  <c:v>0.1878</c:v>
                </c:pt>
                <c:pt idx="62">
                  <c:v>0.1878</c:v>
                </c:pt>
                <c:pt idx="63">
                  <c:v>0.1878</c:v>
                </c:pt>
                <c:pt idx="64">
                  <c:v>0.1878</c:v>
                </c:pt>
                <c:pt idx="65">
                  <c:v>0.1878</c:v>
                </c:pt>
                <c:pt idx="66">
                  <c:v>0.1878</c:v>
                </c:pt>
                <c:pt idx="67">
                  <c:v>0.1878</c:v>
                </c:pt>
                <c:pt idx="68">
                  <c:v>0.1878</c:v>
                </c:pt>
                <c:pt idx="69">
                  <c:v>0.1878</c:v>
                </c:pt>
                <c:pt idx="70">
                  <c:v>0.1878</c:v>
                </c:pt>
                <c:pt idx="71">
                  <c:v>0.1878</c:v>
                </c:pt>
                <c:pt idx="72">
                  <c:v>0.1878</c:v>
                </c:pt>
                <c:pt idx="73">
                  <c:v>0.1878</c:v>
                </c:pt>
                <c:pt idx="74">
                  <c:v>0.1878</c:v>
                </c:pt>
                <c:pt idx="75">
                  <c:v>0.1878</c:v>
                </c:pt>
                <c:pt idx="76">
                  <c:v>0.1878</c:v>
                </c:pt>
                <c:pt idx="77">
                  <c:v>0.1878</c:v>
                </c:pt>
                <c:pt idx="78">
                  <c:v>0.1878</c:v>
                </c:pt>
                <c:pt idx="79">
                  <c:v>0.1878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'S-Curve'!$W$6</c:f>
              <c:strCache>
                <c:ptCount val="1"/>
                <c:pt idx="0">
                  <c:v>Forecast คาดการณ์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'S-Curve'!$V$7:$V$86</c:f>
              <c:numCache>
                <c:formatCode>dd\-mmm\-yy</c:formatCode>
                <c:ptCount val="80"/>
                <c:pt idx="0">
                  <c:v>46293</c:v>
                </c:pt>
                <c:pt idx="1">
                  <c:v>46293</c:v>
                </c:pt>
                <c:pt idx="2">
                  <c:v>46293</c:v>
                </c:pt>
                <c:pt idx="3">
                  <c:v>46293</c:v>
                </c:pt>
                <c:pt idx="4">
                  <c:v>46293</c:v>
                </c:pt>
                <c:pt idx="5">
                  <c:v>46293</c:v>
                </c:pt>
                <c:pt idx="6">
                  <c:v>46293</c:v>
                </c:pt>
                <c:pt idx="7">
                  <c:v>46293</c:v>
                </c:pt>
                <c:pt idx="8">
                  <c:v>46293</c:v>
                </c:pt>
                <c:pt idx="9">
                  <c:v>46293</c:v>
                </c:pt>
                <c:pt idx="10">
                  <c:v>46293</c:v>
                </c:pt>
                <c:pt idx="11">
                  <c:v>46295</c:v>
                </c:pt>
                <c:pt idx="12">
                  <c:v>46305</c:v>
                </c:pt>
                <c:pt idx="13">
                  <c:v>46315</c:v>
                </c:pt>
                <c:pt idx="14">
                  <c:v>46326</c:v>
                </c:pt>
                <c:pt idx="15">
                  <c:v>46336</c:v>
                </c:pt>
                <c:pt idx="16">
                  <c:v>46346</c:v>
                </c:pt>
                <c:pt idx="17">
                  <c:v>46356</c:v>
                </c:pt>
                <c:pt idx="18">
                  <c:v>46366</c:v>
                </c:pt>
                <c:pt idx="19">
                  <c:v>46376</c:v>
                </c:pt>
                <c:pt idx="20">
                  <c:v>46387</c:v>
                </c:pt>
                <c:pt idx="21">
                  <c:v>46397</c:v>
                </c:pt>
                <c:pt idx="22">
                  <c:v>46407</c:v>
                </c:pt>
                <c:pt idx="23">
                  <c:v>46418</c:v>
                </c:pt>
                <c:pt idx="24">
                  <c:v>46428</c:v>
                </c:pt>
                <c:pt idx="25">
                  <c:v>46438</c:v>
                </c:pt>
                <c:pt idx="26">
                  <c:v>46446</c:v>
                </c:pt>
                <c:pt idx="27">
                  <c:v>46456</c:v>
                </c:pt>
                <c:pt idx="28">
                  <c:v>46466</c:v>
                </c:pt>
                <c:pt idx="29">
                  <c:v>46477</c:v>
                </c:pt>
                <c:pt idx="30">
                  <c:v>46487</c:v>
                </c:pt>
                <c:pt idx="31">
                  <c:v>46487</c:v>
                </c:pt>
                <c:pt idx="32">
                  <c:v>46487</c:v>
                </c:pt>
                <c:pt idx="33">
                  <c:v>46487</c:v>
                </c:pt>
                <c:pt idx="34">
                  <c:v>46487</c:v>
                </c:pt>
                <c:pt idx="35">
                  <c:v>46487</c:v>
                </c:pt>
                <c:pt idx="36">
                  <c:v>46487</c:v>
                </c:pt>
                <c:pt idx="37">
                  <c:v>46487</c:v>
                </c:pt>
                <c:pt idx="38">
                  <c:v>46487</c:v>
                </c:pt>
                <c:pt idx="39">
                  <c:v>46487</c:v>
                </c:pt>
                <c:pt idx="40">
                  <c:v>46487</c:v>
                </c:pt>
                <c:pt idx="41">
                  <c:v>46487</c:v>
                </c:pt>
                <c:pt idx="42">
                  <c:v>46487</c:v>
                </c:pt>
                <c:pt idx="43">
                  <c:v>46487</c:v>
                </c:pt>
                <c:pt idx="44">
                  <c:v>46487</c:v>
                </c:pt>
                <c:pt idx="45">
                  <c:v>46487</c:v>
                </c:pt>
                <c:pt idx="46">
                  <c:v>46487</c:v>
                </c:pt>
                <c:pt idx="47">
                  <c:v>46487</c:v>
                </c:pt>
                <c:pt idx="48">
                  <c:v>46487</c:v>
                </c:pt>
                <c:pt idx="49">
                  <c:v>46487</c:v>
                </c:pt>
                <c:pt idx="50">
                  <c:v>46487</c:v>
                </c:pt>
                <c:pt idx="51">
                  <c:v>46487</c:v>
                </c:pt>
                <c:pt idx="52">
                  <c:v>46487</c:v>
                </c:pt>
                <c:pt idx="53">
                  <c:v>46487</c:v>
                </c:pt>
                <c:pt idx="54">
                  <c:v>46487</c:v>
                </c:pt>
                <c:pt idx="55">
                  <c:v>46487</c:v>
                </c:pt>
                <c:pt idx="56">
                  <c:v>46487</c:v>
                </c:pt>
                <c:pt idx="57">
                  <c:v>46487</c:v>
                </c:pt>
                <c:pt idx="58">
                  <c:v>46487</c:v>
                </c:pt>
                <c:pt idx="59">
                  <c:v>46487</c:v>
                </c:pt>
                <c:pt idx="60">
                  <c:v>46487</c:v>
                </c:pt>
                <c:pt idx="61">
                  <c:v>46487</c:v>
                </c:pt>
                <c:pt idx="62">
                  <c:v>46487</c:v>
                </c:pt>
                <c:pt idx="63">
                  <c:v>46487</c:v>
                </c:pt>
                <c:pt idx="64">
                  <c:v>46487</c:v>
                </c:pt>
                <c:pt idx="65">
                  <c:v>46487</c:v>
                </c:pt>
                <c:pt idx="66">
                  <c:v>46487</c:v>
                </c:pt>
                <c:pt idx="67">
                  <c:v>46487</c:v>
                </c:pt>
                <c:pt idx="68">
                  <c:v>46487</c:v>
                </c:pt>
                <c:pt idx="69">
                  <c:v>46487</c:v>
                </c:pt>
                <c:pt idx="70">
                  <c:v>46487</c:v>
                </c:pt>
                <c:pt idx="71">
                  <c:v>46487</c:v>
                </c:pt>
                <c:pt idx="72">
                  <c:v>46487</c:v>
                </c:pt>
                <c:pt idx="73">
                  <c:v>46487</c:v>
                </c:pt>
                <c:pt idx="74">
                  <c:v>46487</c:v>
                </c:pt>
                <c:pt idx="75">
                  <c:v>46487</c:v>
                </c:pt>
                <c:pt idx="76">
                  <c:v>46487</c:v>
                </c:pt>
                <c:pt idx="77">
                  <c:v>46487</c:v>
                </c:pt>
                <c:pt idx="78">
                  <c:v>46487</c:v>
                </c:pt>
                <c:pt idx="79">
                  <c:v>46487</c:v>
                </c:pt>
              </c:numCache>
            </c:numRef>
          </c:xVal>
          <c:yVal>
            <c:numRef>
              <c:f>'S-Curve'!$W$7:$W$86</c:f>
              <c:numCache>
                <c:formatCode>0.00%</c:formatCode>
                <c:ptCount val="80"/>
                <c:pt idx="0">
                  <c:v>0.187809917355372</c:v>
                </c:pt>
                <c:pt idx="1">
                  <c:v>0.187809917355372</c:v>
                </c:pt>
                <c:pt idx="2">
                  <c:v>0.187809917355372</c:v>
                </c:pt>
                <c:pt idx="3">
                  <c:v>0.187809917355372</c:v>
                </c:pt>
                <c:pt idx="4">
                  <c:v>0.187809917355372</c:v>
                </c:pt>
                <c:pt idx="5">
                  <c:v>0.187809917355372</c:v>
                </c:pt>
                <c:pt idx="6">
                  <c:v>0.187809917355372</c:v>
                </c:pt>
                <c:pt idx="7">
                  <c:v>0.187809917355372</c:v>
                </c:pt>
                <c:pt idx="8">
                  <c:v>0.187809917355372</c:v>
                </c:pt>
                <c:pt idx="9">
                  <c:v>0.187809917355372</c:v>
                </c:pt>
                <c:pt idx="10">
                  <c:v>0.187809917355372</c:v>
                </c:pt>
                <c:pt idx="11">
                  <c:v>0.196834251606979</c:v>
                </c:pt>
                <c:pt idx="12">
                  <c:v>0.241955922865014</c:v>
                </c:pt>
                <c:pt idx="13">
                  <c:v>0.287077594123049</c:v>
                </c:pt>
                <c:pt idx="14">
                  <c:v>0.336711432506887</c:v>
                </c:pt>
                <c:pt idx="15">
                  <c:v>0.381833103764922</c:v>
                </c:pt>
                <c:pt idx="16">
                  <c:v>0.426954775022957</c:v>
                </c:pt>
                <c:pt idx="17">
                  <c:v>0.472076446280992</c:v>
                </c:pt>
                <c:pt idx="18">
                  <c:v>0.517198117539027</c:v>
                </c:pt>
                <c:pt idx="19">
                  <c:v>0.562319788797062</c:v>
                </c:pt>
                <c:pt idx="20">
                  <c:v>0.6119536271809</c:v>
                </c:pt>
                <c:pt idx="21">
                  <c:v>0.657075298438935</c:v>
                </c:pt>
                <c:pt idx="22">
                  <c:v>0.70219696969697</c:v>
                </c:pt>
                <c:pt idx="23">
                  <c:v>0.751830808080808</c:v>
                </c:pt>
                <c:pt idx="24">
                  <c:v>0.796952479338843</c:v>
                </c:pt>
                <c:pt idx="25">
                  <c:v>0.842074150596878</c:v>
                </c:pt>
                <c:pt idx="26">
                  <c:v>0.878171487603306</c:v>
                </c:pt>
                <c:pt idx="27">
                  <c:v>0.923293158861341</c:v>
                </c:pt>
                <c:pt idx="28">
                  <c:v>0.968414830119376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'S-Curve'!$AC$6</c:f>
              <c:strCache>
                <c:ptCount val="1"/>
                <c:pt idx="0">
                  <c:v>Status Date</c:v>
                </c:pt>
              </c:strCache>
            </c:strRef>
          </c:tx>
          <c:spPr>
            <a:solidFill>
              <a:srgbClr val="7f7f7f"/>
            </a:solidFill>
            <a:ln w="4752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'S-Curve'!$AC$7:$AC$8</c:f>
              <c:numCache>
                <c:formatCode>dd\-mmm\-yy</c:formatCode>
                <c:ptCount val="2"/>
                <c:pt idx="0">
                  <c:v>46293</c:v>
                </c:pt>
                <c:pt idx="1">
                  <c:v>46293</c:v>
                </c:pt>
              </c:numCache>
            </c:numRef>
          </c:xVal>
          <c:yVal>
            <c:numRef>
              <c:f>'S-Curve'!$AD$7:$AD$8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axId val="89376944"/>
        <c:axId val="80441297"/>
      </c:scatterChart>
      <c:valAx>
        <c:axId val="8937694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41297"/>
        <c:crosses val="autoZero"/>
        <c:crossBetween val="midCat"/>
        <c:majorUnit val="30"/>
      </c:valAx>
      <c:valAx>
        <c:axId val="8044129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สะสม / Cumulative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76944"/>
        <c:crosses val="autoZero"/>
        <c:crossBetween val="midCat"/>
        <c:majorUnit val="0.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'S-Curve'!$Q$6</c:f>
              <c:strCache>
                <c:ptCount val="1"/>
                <c:pt idx="0">
                  <c:v>Baseline แผนเดิม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'S-Curve'!$P$7:$P$86</c:f>
              <c:numCache>
                <c:formatCode>dd\-mmm\-yy</c:formatCode>
                <c:ptCount val="80"/>
                <c:pt idx="0">
                  <c:v>46183</c:v>
                </c:pt>
                <c:pt idx="1">
                  <c:v>46193</c:v>
                </c:pt>
                <c:pt idx="2">
                  <c:v>46203</c:v>
                </c:pt>
                <c:pt idx="3">
                  <c:v>46213</c:v>
                </c:pt>
                <c:pt idx="4">
                  <c:v>46223</c:v>
                </c:pt>
                <c:pt idx="5">
                  <c:v>46234</c:v>
                </c:pt>
                <c:pt idx="6">
                  <c:v>46244</c:v>
                </c:pt>
                <c:pt idx="7">
                  <c:v>46254</c:v>
                </c:pt>
                <c:pt idx="8">
                  <c:v>46265</c:v>
                </c:pt>
                <c:pt idx="9">
                  <c:v>46275</c:v>
                </c:pt>
                <c:pt idx="10">
                  <c:v>46285</c:v>
                </c:pt>
                <c:pt idx="11">
                  <c:v>46295</c:v>
                </c:pt>
                <c:pt idx="12">
                  <c:v>46305</c:v>
                </c:pt>
                <c:pt idx="13">
                  <c:v>46315</c:v>
                </c:pt>
                <c:pt idx="14">
                  <c:v>46326</c:v>
                </c:pt>
                <c:pt idx="15">
                  <c:v>46336</c:v>
                </c:pt>
                <c:pt idx="16">
                  <c:v>46346</c:v>
                </c:pt>
                <c:pt idx="17">
                  <c:v>46356</c:v>
                </c:pt>
                <c:pt idx="18">
                  <c:v>46366</c:v>
                </c:pt>
                <c:pt idx="19">
                  <c:v>46376</c:v>
                </c:pt>
                <c:pt idx="20">
                  <c:v>46387</c:v>
                </c:pt>
                <c:pt idx="21">
                  <c:v>46397</c:v>
                </c:pt>
                <c:pt idx="22">
                  <c:v>46407</c:v>
                </c:pt>
                <c:pt idx="23">
                  <c:v>46418</c:v>
                </c:pt>
                <c:pt idx="24">
                  <c:v>46428</c:v>
                </c:pt>
                <c:pt idx="25">
                  <c:v>46438</c:v>
                </c:pt>
                <c:pt idx="26">
                  <c:v>46446</c:v>
                </c:pt>
                <c:pt idx="27">
                  <c:v>46456</c:v>
                </c:pt>
                <c:pt idx="28">
                  <c:v>46466</c:v>
                </c:pt>
                <c:pt idx="29">
                  <c:v>46477</c:v>
                </c:pt>
                <c:pt idx="30">
                  <c:v>46487</c:v>
                </c:pt>
                <c:pt idx="31">
                  <c:v>46487</c:v>
                </c:pt>
                <c:pt idx="32">
                  <c:v>46487</c:v>
                </c:pt>
                <c:pt idx="33">
                  <c:v>46487</c:v>
                </c:pt>
                <c:pt idx="34">
                  <c:v>46487</c:v>
                </c:pt>
                <c:pt idx="35">
                  <c:v>46487</c:v>
                </c:pt>
                <c:pt idx="36">
                  <c:v>46487</c:v>
                </c:pt>
                <c:pt idx="37">
                  <c:v>46487</c:v>
                </c:pt>
                <c:pt idx="38">
                  <c:v>46487</c:v>
                </c:pt>
                <c:pt idx="39">
                  <c:v>46487</c:v>
                </c:pt>
                <c:pt idx="40">
                  <c:v>46487</c:v>
                </c:pt>
                <c:pt idx="41">
                  <c:v>46487</c:v>
                </c:pt>
                <c:pt idx="42">
                  <c:v>46487</c:v>
                </c:pt>
                <c:pt idx="43">
                  <c:v>46487</c:v>
                </c:pt>
                <c:pt idx="44">
                  <c:v>46487</c:v>
                </c:pt>
                <c:pt idx="45">
                  <c:v>46487</c:v>
                </c:pt>
                <c:pt idx="46">
                  <c:v>46487</c:v>
                </c:pt>
                <c:pt idx="47">
                  <c:v>46487</c:v>
                </c:pt>
                <c:pt idx="48">
                  <c:v>46487</c:v>
                </c:pt>
                <c:pt idx="49">
                  <c:v>46487</c:v>
                </c:pt>
                <c:pt idx="50">
                  <c:v>46487</c:v>
                </c:pt>
                <c:pt idx="51">
                  <c:v>46487</c:v>
                </c:pt>
                <c:pt idx="52">
                  <c:v>46487</c:v>
                </c:pt>
                <c:pt idx="53">
                  <c:v>46487</c:v>
                </c:pt>
                <c:pt idx="54">
                  <c:v>46487</c:v>
                </c:pt>
                <c:pt idx="55">
                  <c:v>46487</c:v>
                </c:pt>
                <c:pt idx="56">
                  <c:v>46487</c:v>
                </c:pt>
                <c:pt idx="57">
                  <c:v>46487</c:v>
                </c:pt>
                <c:pt idx="58">
                  <c:v>46487</c:v>
                </c:pt>
                <c:pt idx="59">
                  <c:v>46487</c:v>
                </c:pt>
                <c:pt idx="60">
                  <c:v>46487</c:v>
                </c:pt>
                <c:pt idx="61">
                  <c:v>46487</c:v>
                </c:pt>
                <c:pt idx="62">
                  <c:v>46487</c:v>
                </c:pt>
                <c:pt idx="63">
                  <c:v>46487</c:v>
                </c:pt>
                <c:pt idx="64">
                  <c:v>46487</c:v>
                </c:pt>
                <c:pt idx="65">
                  <c:v>46487</c:v>
                </c:pt>
                <c:pt idx="66">
                  <c:v>46487</c:v>
                </c:pt>
                <c:pt idx="67">
                  <c:v>46487</c:v>
                </c:pt>
                <c:pt idx="68">
                  <c:v>46487</c:v>
                </c:pt>
                <c:pt idx="69">
                  <c:v>46487</c:v>
                </c:pt>
                <c:pt idx="70">
                  <c:v>46487</c:v>
                </c:pt>
                <c:pt idx="71">
                  <c:v>46487</c:v>
                </c:pt>
                <c:pt idx="72">
                  <c:v>46487</c:v>
                </c:pt>
                <c:pt idx="73">
                  <c:v>46487</c:v>
                </c:pt>
                <c:pt idx="74">
                  <c:v>46487</c:v>
                </c:pt>
                <c:pt idx="75">
                  <c:v>46487</c:v>
                </c:pt>
                <c:pt idx="76">
                  <c:v>46487</c:v>
                </c:pt>
                <c:pt idx="77">
                  <c:v>46487</c:v>
                </c:pt>
                <c:pt idx="78">
                  <c:v>46487</c:v>
                </c:pt>
                <c:pt idx="79">
                  <c:v>46487</c:v>
                </c:pt>
              </c:numCache>
            </c:numRef>
          </c:xVal>
          <c:yVal>
            <c:numRef>
              <c:f>'S-Curve'!$Q$7:$Q$86</c:f>
              <c:numCache>
                <c:formatCode>0.00%</c:formatCode>
                <c:ptCount val="80"/>
                <c:pt idx="0">
                  <c:v>0.00723140495867769</c:v>
                </c:pt>
                <c:pt idx="1">
                  <c:v>0.02406025059984</c:v>
                </c:pt>
                <c:pt idx="2">
                  <c:v>0.0400559850706478</c:v>
                </c:pt>
                <c:pt idx="3">
                  <c:v>0.0560517195414556</c:v>
                </c:pt>
                <c:pt idx="4">
                  <c:v>0.0720474540122634</c:v>
                </c:pt>
                <c:pt idx="5">
                  <c:v>0.089642761930152</c:v>
                </c:pt>
                <c:pt idx="6">
                  <c:v>0.115008377299089</c:v>
                </c:pt>
                <c:pt idx="7">
                  <c:v>0.137447500338708</c:v>
                </c:pt>
                <c:pt idx="8">
                  <c:v>0.153332881723344</c:v>
                </c:pt>
                <c:pt idx="9">
                  <c:v>0.189160607565973</c:v>
                </c:pt>
                <c:pt idx="10">
                  <c:v>0.224988333408602</c:v>
                </c:pt>
                <c:pt idx="11">
                  <c:v>0.260816059251231</c:v>
                </c:pt>
                <c:pt idx="12">
                  <c:v>0.309951934356559</c:v>
                </c:pt>
                <c:pt idx="13">
                  <c:v>0.352605071635865</c:v>
                </c:pt>
                <c:pt idx="14">
                  <c:v>0.38689726001684</c:v>
                </c:pt>
                <c:pt idx="15">
                  <c:v>0.432701532901335</c:v>
                </c:pt>
                <c:pt idx="16">
                  <c:v>0.479382664753657</c:v>
                </c:pt>
                <c:pt idx="17">
                  <c:v>0.515284062506086</c:v>
                </c:pt>
                <c:pt idx="18">
                  <c:v>0.563087048406439</c:v>
                </c:pt>
                <c:pt idx="19">
                  <c:v>0.613334315727006</c:v>
                </c:pt>
                <c:pt idx="20">
                  <c:v>0.66938114374378</c:v>
                </c:pt>
                <c:pt idx="21">
                  <c:v>0.730831162864782</c:v>
                </c:pt>
                <c:pt idx="22">
                  <c:v>0.781332008166477</c:v>
                </c:pt>
                <c:pt idx="23">
                  <c:v>0.820190086466528</c:v>
                </c:pt>
                <c:pt idx="24">
                  <c:v>0.87004427010381</c:v>
                </c:pt>
                <c:pt idx="25">
                  <c:v>0.908906456794594</c:v>
                </c:pt>
                <c:pt idx="26">
                  <c:v>0.938019921562241</c:v>
                </c:pt>
                <c:pt idx="27">
                  <c:v>0.966401023219205</c:v>
                </c:pt>
                <c:pt idx="28">
                  <c:v>0.995179063360882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'S-Curve'!$S$6</c:f>
              <c:strCache>
                <c:ptCount val="1"/>
                <c:pt idx="0">
                  <c:v>Revised แผนเร่งรัด</c:v>
                </c:pt>
              </c:strCache>
            </c:strRef>
          </c:tx>
          <c:spPr>
            <a:solidFill>
              <a:srgbClr val="70ad47"/>
            </a:solidFill>
            <a:ln w="21960">
              <a:solidFill>
                <a:srgbClr val="70ad47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'S-Curve'!$R$7:$R$86</c:f>
              <c:numCache>
                <c:formatCode>dd\-mmm\-yy</c:formatCode>
                <c:ptCount val="80"/>
                <c:pt idx="0">
                  <c:v>46174</c:v>
                </c:pt>
                <c:pt idx="1">
                  <c:v>46174</c:v>
                </c:pt>
                <c:pt idx="2">
                  <c:v>46174</c:v>
                </c:pt>
                <c:pt idx="3">
                  <c:v>46174</c:v>
                </c:pt>
                <c:pt idx="4">
                  <c:v>46174</c:v>
                </c:pt>
                <c:pt idx="5">
                  <c:v>46174</c:v>
                </c:pt>
                <c:pt idx="6">
                  <c:v>46174</c:v>
                </c:pt>
                <c:pt idx="7">
                  <c:v>46174</c:v>
                </c:pt>
                <c:pt idx="8">
                  <c:v>46174</c:v>
                </c:pt>
                <c:pt idx="9">
                  <c:v>46174</c:v>
                </c:pt>
                <c:pt idx="10">
                  <c:v>46174</c:v>
                </c:pt>
                <c:pt idx="11">
                  <c:v>46174</c:v>
                </c:pt>
                <c:pt idx="12">
                  <c:v>46174</c:v>
                </c:pt>
                <c:pt idx="13">
                  <c:v>46174</c:v>
                </c:pt>
                <c:pt idx="14">
                  <c:v>46174</c:v>
                </c:pt>
                <c:pt idx="15">
                  <c:v>46174</c:v>
                </c:pt>
                <c:pt idx="16">
                  <c:v>46174</c:v>
                </c:pt>
                <c:pt idx="17">
                  <c:v>46174</c:v>
                </c:pt>
                <c:pt idx="18">
                  <c:v>46174</c:v>
                </c:pt>
                <c:pt idx="19">
                  <c:v>46174</c:v>
                </c:pt>
                <c:pt idx="20">
                  <c:v>46174</c:v>
                </c:pt>
                <c:pt idx="21">
                  <c:v>46174</c:v>
                </c:pt>
                <c:pt idx="22">
                  <c:v>46174</c:v>
                </c:pt>
                <c:pt idx="23">
                  <c:v>46174</c:v>
                </c:pt>
                <c:pt idx="24">
                  <c:v>46174</c:v>
                </c:pt>
                <c:pt idx="25">
                  <c:v>46174</c:v>
                </c:pt>
                <c:pt idx="26">
                  <c:v>46174</c:v>
                </c:pt>
                <c:pt idx="27">
                  <c:v>46174</c:v>
                </c:pt>
                <c:pt idx="28">
                  <c:v>46174</c:v>
                </c:pt>
                <c:pt idx="29">
                  <c:v>46174</c:v>
                </c:pt>
                <c:pt idx="30">
                  <c:v>46174</c:v>
                </c:pt>
                <c:pt idx="31">
                  <c:v>46174</c:v>
                </c:pt>
                <c:pt idx="32">
                  <c:v>46174</c:v>
                </c:pt>
                <c:pt idx="33">
                  <c:v>46174</c:v>
                </c:pt>
                <c:pt idx="34">
                  <c:v>46174</c:v>
                </c:pt>
                <c:pt idx="35">
                  <c:v>46174</c:v>
                </c:pt>
                <c:pt idx="36">
                  <c:v>46174</c:v>
                </c:pt>
                <c:pt idx="37">
                  <c:v>46174</c:v>
                </c:pt>
                <c:pt idx="38">
                  <c:v>46174</c:v>
                </c:pt>
                <c:pt idx="39">
                  <c:v>46174</c:v>
                </c:pt>
                <c:pt idx="40">
                  <c:v>46174</c:v>
                </c:pt>
                <c:pt idx="41">
                  <c:v>46174</c:v>
                </c:pt>
                <c:pt idx="42">
                  <c:v>46174</c:v>
                </c:pt>
                <c:pt idx="43">
                  <c:v>46174</c:v>
                </c:pt>
                <c:pt idx="44">
                  <c:v>46174</c:v>
                </c:pt>
                <c:pt idx="45">
                  <c:v>46174</c:v>
                </c:pt>
                <c:pt idx="46">
                  <c:v>46174</c:v>
                </c:pt>
                <c:pt idx="47">
                  <c:v>46174</c:v>
                </c:pt>
                <c:pt idx="48">
                  <c:v>46174</c:v>
                </c:pt>
                <c:pt idx="49">
                  <c:v>46174</c:v>
                </c:pt>
                <c:pt idx="50">
                  <c:v>46174</c:v>
                </c:pt>
                <c:pt idx="51">
                  <c:v>46174</c:v>
                </c:pt>
                <c:pt idx="52">
                  <c:v>46174</c:v>
                </c:pt>
                <c:pt idx="53">
                  <c:v>46174</c:v>
                </c:pt>
                <c:pt idx="54">
                  <c:v>46174</c:v>
                </c:pt>
                <c:pt idx="55">
                  <c:v>46174</c:v>
                </c:pt>
                <c:pt idx="56">
                  <c:v>46174</c:v>
                </c:pt>
                <c:pt idx="57">
                  <c:v>46174</c:v>
                </c:pt>
                <c:pt idx="58">
                  <c:v>46174</c:v>
                </c:pt>
                <c:pt idx="59">
                  <c:v>46174</c:v>
                </c:pt>
                <c:pt idx="60">
                  <c:v>46174</c:v>
                </c:pt>
                <c:pt idx="61">
                  <c:v>46174</c:v>
                </c:pt>
                <c:pt idx="62">
                  <c:v>46174</c:v>
                </c:pt>
                <c:pt idx="63">
                  <c:v>46174</c:v>
                </c:pt>
                <c:pt idx="64">
                  <c:v>46174</c:v>
                </c:pt>
                <c:pt idx="65">
                  <c:v>46174</c:v>
                </c:pt>
                <c:pt idx="66">
                  <c:v>46174</c:v>
                </c:pt>
                <c:pt idx="67">
                  <c:v>46174</c:v>
                </c:pt>
                <c:pt idx="68">
                  <c:v>46174</c:v>
                </c:pt>
                <c:pt idx="69">
                  <c:v>46174</c:v>
                </c:pt>
                <c:pt idx="70">
                  <c:v>46174</c:v>
                </c:pt>
                <c:pt idx="71">
                  <c:v>46174</c:v>
                </c:pt>
                <c:pt idx="72">
                  <c:v>46174</c:v>
                </c:pt>
                <c:pt idx="73">
                  <c:v>46174</c:v>
                </c:pt>
                <c:pt idx="74">
                  <c:v>46174</c:v>
                </c:pt>
                <c:pt idx="75">
                  <c:v>46174</c:v>
                </c:pt>
                <c:pt idx="76">
                  <c:v>46174</c:v>
                </c:pt>
                <c:pt idx="77">
                  <c:v>46174</c:v>
                </c:pt>
                <c:pt idx="78">
                  <c:v>46174</c:v>
                </c:pt>
                <c:pt idx="79">
                  <c:v>46174</c:v>
                </c:pt>
              </c:numCache>
            </c:numRef>
          </c:xVal>
          <c:yVal>
            <c:numRef>
              <c:f>'S-Curve'!$S$7:$S$86</c:f>
              <c:numCache>
                <c:formatCode>0.00%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'S-Curve'!$U$6</c:f>
              <c:strCache>
                <c:ptCount val="1"/>
                <c:pt idx="0">
                  <c:v>Actual ผลงานจริง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circle"/>
            <c:size val="4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'S-Curve'!$T$7:$T$86</c:f>
              <c:numCache>
                <c:formatCode>dd\-mmm\-yy</c:formatCode>
                <c:ptCount val="80"/>
                <c:pt idx="0">
                  <c:v>46183</c:v>
                </c:pt>
                <c:pt idx="1">
                  <c:v>46193</c:v>
                </c:pt>
                <c:pt idx="2">
                  <c:v>46203</c:v>
                </c:pt>
                <c:pt idx="3">
                  <c:v>46213</c:v>
                </c:pt>
                <c:pt idx="4">
                  <c:v>46223</c:v>
                </c:pt>
                <c:pt idx="5">
                  <c:v>46234</c:v>
                </c:pt>
                <c:pt idx="6">
                  <c:v>46244</c:v>
                </c:pt>
                <c:pt idx="7">
                  <c:v>46254</c:v>
                </c:pt>
                <c:pt idx="8">
                  <c:v>46265</c:v>
                </c:pt>
                <c:pt idx="9">
                  <c:v>46275</c:v>
                </c:pt>
                <c:pt idx="10">
                  <c:v>46285</c:v>
                </c:pt>
                <c:pt idx="11">
                  <c:v>46295</c:v>
                </c:pt>
                <c:pt idx="12">
                  <c:v>46295</c:v>
                </c:pt>
                <c:pt idx="13">
                  <c:v>46295</c:v>
                </c:pt>
                <c:pt idx="14">
                  <c:v>46295</c:v>
                </c:pt>
                <c:pt idx="15">
                  <c:v>46295</c:v>
                </c:pt>
                <c:pt idx="16">
                  <c:v>46295</c:v>
                </c:pt>
                <c:pt idx="17">
                  <c:v>46295</c:v>
                </c:pt>
                <c:pt idx="18">
                  <c:v>46295</c:v>
                </c:pt>
                <c:pt idx="19">
                  <c:v>46295</c:v>
                </c:pt>
                <c:pt idx="20">
                  <c:v>46295</c:v>
                </c:pt>
                <c:pt idx="21">
                  <c:v>46295</c:v>
                </c:pt>
                <c:pt idx="22">
                  <c:v>46295</c:v>
                </c:pt>
                <c:pt idx="23">
                  <c:v>46295</c:v>
                </c:pt>
                <c:pt idx="24">
                  <c:v>46295</c:v>
                </c:pt>
                <c:pt idx="25">
                  <c:v>46295</c:v>
                </c:pt>
                <c:pt idx="26">
                  <c:v>46295</c:v>
                </c:pt>
                <c:pt idx="27">
                  <c:v>46295</c:v>
                </c:pt>
                <c:pt idx="28">
                  <c:v>46295</c:v>
                </c:pt>
                <c:pt idx="29">
                  <c:v>46295</c:v>
                </c:pt>
                <c:pt idx="30">
                  <c:v>46295</c:v>
                </c:pt>
                <c:pt idx="31">
                  <c:v>46295</c:v>
                </c:pt>
                <c:pt idx="32">
                  <c:v>46295</c:v>
                </c:pt>
                <c:pt idx="33">
                  <c:v>46295</c:v>
                </c:pt>
                <c:pt idx="34">
                  <c:v>46295</c:v>
                </c:pt>
                <c:pt idx="35">
                  <c:v>46295</c:v>
                </c:pt>
                <c:pt idx="36">
                  <c:v>46295</c:v>
                </c:pt>
                <c:pt idx="37">
                  <c:v>46295</c:v>
                </c:pt>
                <c:pt idx="38">
                  <c:v>46295</c:v>
                </c:pt>
                <c:pt idx="39">
                  <c:v>46295</c:v>
                </c:pt>
                <c:pt idx="40">
                  <c:v>46295</c:v>
                </c:pt>
                <c:pt idx="41">
                  <c:v>46295</c:v>
                </c:pt>
                <c:pt idx="42">
                  <c:v>46295</c:v>
                </c:pt>
                <c:pt idx="43">
                  <c:v>46295</c:v>
                </c:pt>
                <c:pt idx="44">
                  <c:v>46295</c:v>
                </c:pt>
                <c:pt idx="45">
                  <c:v>46295</c:v>
                </c:pt>
                <c:pt idx="46">
                  <c:v>46295</c:v>
                </c:pt>
                <c:pt idx="47">
                  <c:v>46295</c:v>
                </c:pt>
                <c:pt idx="48">
                  <c:v>46295</c:v>
                </c:pt>
                <c:pt idx="49">
                  <c:v>46295</c:v>
                </c:pt>
                <c:pt idx="50">
                  <c:v>46295</c:v>
                </c:pt>
                <c:pt idx="51">
                  <c:v>46295</c:v>
                </c:pt>
                <c:pt idx="52">
                  <c:v>46295</c:v>
                </c:pt>
                <c:pt idx="53">
                  <c:v>46295</c:v>
                </c:pt>
                <c:pt idx="54">
                  <c:v>46295</c:v>
                </c:pt>
                <c:pt idx="55">
                  <c:v>46295</c:v>
                </c:pt>
                <c:pt idx="56">
                  <c:v>46295</c:v>
                </c:pt>
                <c:pt idx="57">
                  <c:v>46295</c:v>
                </c:pt>
                <c:pt idx="58">
                  <c:v>46295</c:v>
                </c:pt>
                <c:pt idx="59">
                  <c:v>46295</c:v>
                </c:pt>
                <c:pt idx="60">
                  <c:v>46295</c:v>
                </c:pt>
                <c:pt idx="61">
                  <c:v>46295</c:v>
                </c:pt>
                <c:pt idx="62">
                  <c:v>46295</c:v>
                </c:pt>
                <c:pt idx="63">
                  <c:v>46295</c:v>
                </c:pt>
                <c:pt idx="64">
                  <c:v>46295</c:v>
                </c:pt>
                <c:pt idx="65">
                  <c:v>46295</c:v>
                </c:pt>
                <c:pt idx="66">
                  <c:v>46295</c:v>
                </c:pt>
                <c:pt idx="67">
                  <c:v>46295</c:v>
                </c:pt>
                <c:pt idx="68">
                  <c:v>46295</c:v>
                </c:pt>
                <c:pt idx="69">
                  <c:v>46295</c:v>
                </c:pt>
                <c:pt idx="70">
                  <c:v>46295</c:v>
                </c:pt>
                <c:pt idx="71">
                  <c:v>46295</c:v>
                </c:pt>
                <c:pt idx="72">
                  <c:v>46295</c:v>
                </c:pt>
                <c:pt idx="73">
                  <c:v>46295</c:v>
                </c:pt>
                <c:pt idx="74">
                  <c:v>46295</c:v>
                </c:pt>
                <c:pt idx="75">
                  <c:v>46295</c:v>
                </c:pt>
                <c:pt idx="76">
                  <c:v>46295</c:v>
                </c:pt>
                <c:pt idx="77">
                  <c:v>46295</c:v>
                </c:pt>
                <c:pt idx="78">
                  <c:v>46295</c:v>
                </c:pt>
                <c:pt idx="79">
                  <c:v>46295</c:v>
                </c:pt>
              </c:numCache>
            </c:numRef>
          </c:xVal>
          <c:yVal>
            <c:numRef>
              <c:f>'S-Curve'!$U$7:$U$86</c:f>
              <c:numCache>
                <c:formatCode>0.00%</c:formatCode>
                <c:ptCount val="80"/>
                <c:pt idx="0">
                  <c:v>0.0061</c:v>
                </c:pt>
                <c:pt idx="1">
                  <c:v>0.0212</c:v>
                </c:pt>
                <c:pt idx="2">
                  <c:v>0.0361</c:v>
                </c:pt>
                <c:pt idx="3">
                  <c:v>0.0504</c:v>
                </c:pt>
                <c:pt idx="4">
                  <c:v>0.0634</c:v>
                </c:pt>
                <c:pt idx="5">
                  <c:v>0.0771</c:v>
                </c:pt>
                <c:pt idx="6">
                  <c:v>0.0966</c:v>
                </c:pt>
                <c:pt idx="7">
                  <c:v>0.1127</c:v>
                </c:pt>
                <c:pt idx="8">
                  <c:v>0.1227</c:v>
                </c:pt>
                <c:pt idx="9">
                  <c:v>0.1475</c:v>
                </c:pt>
                <c:pt idx="10">
                  <c:v>0.171</c:v>
                </c:pt>
                <c:pt idx="11">
                  <c:v>0.1878</c:v>
                </c:pt>
                <c:pt idx="12">
                  <c:v>0.1878</c:v>
                </c:pt>
                <c:pt idx="13">
                  <c:v>0.1878</c:v>
                </c:pt>
                <c:pt idx="14">
                  <c:v>0.1878</c:v>
                </c:pt>
                <c:pt idx="15">
                  <c:v>0.1878</c:v>
                </c:pt>
                <c:pt idx="16">
                  <c:v>0.1878</c:v>
                </c:pt>
                <c:pt idx="17">
                  <c:v>0.1878</c:v>
                </c:pt>
                <c:pt idx="18">
                  <c:v>0.1878</c:v>
                </c:pt>
                <c:pt idx="19">
                  <c:v>0.1878</c:v>
                </c:pt>
                <c:pt idx="20">
                  <c:v>0.1878</c:v>
                </c:pt>
                <c:pt idx="21">
                  <c:v>0.1878</c:v>
                </c:pt>
                <c:pt idx="22">
                  <c:v>0.1878</c:v>
                </c:pt>
                <c:pt idx="23">
                  <c:v>0.1878</c:v>
                </c:pt>
                <c:pt idx="24">
                  <c:v>0.1878</c:v>
                </c:pt>
                <c:pt idx="25">
                  <c:v>0.1878</c:v>
                </c:pt>
                <c:pt idx="26">
                  <c:v>0.1878</c:v>
                </c:pt>
                <c:pt idx="27">
                  <c:v>0.1878</c:v>
                </c:pt>
                <c:pt idx="28">
                  <c:v>0.1878</c:v>
                </c:pt>
                <c:pt idx="29">
                  <c:v>0.1878</c:v>
                </c:pt>
                <c:pt idx="30">
                  <c:v>0.1878</c:v>
                </c:pt>
                <c:pt idx="31">
                  <c:v>0.1878</c:v>
                </c:pt>
                <c:pt idx="32">
                  <c:v>0.1878</c:v>
                </c:pt>
                <c:pt idx="33">
                  <c:v>0.1878</c:v>
                </c:pt>
                <c:pt idx="34">
                  <c:v>0.1878</c:v>
                </c:pt>
                <c:pt idx="35">
                  <c:v>0.1878</c:v>
                </c:pt>
                <c:pt idx="36">
                  <c:v>0.1878</c:v>
                </c:pt>
                <c:pt idx="37">
                  <c:v>0.1878</c:v>
                </c:pt>
                <c:pt idx="38">
                  <c:v>0.1878</c:v>
                </c:pt>
                <c:pt idx="39">
                  <c:v>0.1878</c:v>
                </c:pt>
                <c:pt idx="40">
                  <c:v>0.1878</c:v>
                </c:pt>
                <c:pt idx="41">
                  <c:v>0.1878</c:v>
                </c:pt>
                <c:pt idx="42">
                  <c:v>0.1878</c:v>
                </c:pt>
                <c:pt idx="43">
                  <c:v>0.1878</c:v>
                </c:pt>
                <c:pt idx="44">
                  <c:v>0.1878</c:v>
                </c:pt>
                <c:pt idx="45">
                  <c:v>0.1878</c:v>
                </c:pt>
                <c:pt idx="46">
                  <c:v>0.1878</c:v>
                </c:pt>
                <c:pt idx="47">
                  <c:v>0.1878</c:v>
                </c:pt>
                <c:pt idx="48">
                  <c:v>0.1878</c:v>
                </c:pt>
                <c:pt idx="49">
                  <c:v>0.1878</c:v>
                </c:pt>
                <c:pt idx="50">
                  <c:v>0.1878</c:v>
                </c:pt>
                <c:pt idx="51">
                  <c:v>0.1878</c:v>
                </c:pt>
                <c:pt idx="52">
                  <c:v>0.1878</c:v>
                </c:pt>
                <c:pt idx="53">
                  <c:v>0.1878</c:v>
                </c:pt>
                <c:pt idx="54">
                  <c:v>0.1878</c:v>
                </c:pt>
                <c:pt idx="55">
                  <c:v>0.1878</c:v>
                </c:pt>
                <c:pt idx="56">
                  <c:v>0.1878</c:v>
                </c:pt>
                <c:pt idx="57">
                  <c:v>0.1878</c:v>
                </c:pt>
                <c:pt idx="58">
                  <c:v>0.1878</c:v>
                </c:pt>
                <c:pt idx="59">
                  <c:v>0.1878</c:v>
                </c:pt>
                <c:pt idx="60">
                  <c:v>0.1878</c:v>
                </c:pt>
                <c:pt idx="61">
                  <c:v>0.1878</c:v>
                </c:pt>
                <c:pt idx="62">
                  <c:v>0.1878</c:v>
                </c:pt>
                <c:pt idx="63">
                  <c:v>0.1878</c:v>
                </c:pt>
                <c:pt idx="64">
                  <c:v>0.1878</c:v>
                </c:pt>
                <c:pt idx="65">
                  <c:v>0.1878</c:v>
                </c:pt>
                <c:pt idx="66">
                  <c:v>0.1878</c:v>
                </c:pt>
                <c:pt idx="67">
                  <c:v>0.1878</c:v>
                </c:pt>
                <c:pt idx="68">
                  <c:v>0.1878</c:v>
                </c:pt>
                <c:pt idx="69">
                  <c:v>0.1878</c:v>
                </c:pt>
                <c:pt idx="70">
                  <c:v>0.1878</c:v>
                </c:pt>
                <c:pt idx="71">
                  <c:v>0.1878</c:v>
                </c:pt>
                <c:pt idx="72">
                  <c:v>0.1878</c:v>
                </c:pt>
                <c:pt idx="73">
                  <c:v>0.1878</c:v>
                </c:pt>
                <c:pt idx="74">
                  <c:v>0.1878</c:v>
                </c:pt>
                <c:pt idx="75">
                  <c:v>0.1878</c:v>
                </c:pt>
                <c:pt idx="76">
                  <c:v>0.1878</c:v>
                </c:pt>
                <c:pt idx="77">
                  <c:v>0.1878</c:v>
                </c:pt>
                <c:pt idx="78">
                  <c:v>0.1878</c:v>
                </c:pt>
                <c:pt idx="79">
                  <c:v>0.1878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'S-Curve'!$W$6</c:f>
              <c:strCache>
                <c:ptCount val="1"/>
                <c:pt idx="0">
                  <c:v>Forecast คาดการณ์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'S-Curve'!$V$7:$V$86</c:f>
              <c:numCache>
                <c:formatCode>dd\-mmm\-yy</c:formatCode>
                <c:ptCount val="80"/>
                <c:pt idx="0">
                  <c:v>46293</c:v>
                </c:pt>
                <c:pt idx="1">
                  <c:v>46293</c:v>
                </c:pt>
                <c:pt idx="2">
                  <c:v>46293</c:v>
                </c:pt>
                <c:pt idx="3">
                  <c:v>46293</c:v>
                </c:pt>
                <c:pt idx="4">
                  <c:v>46293</c:v>
                </c:pt>
                <c:pt idx="5">
                  <c:v>46293</c:v>
                </c:pt>
                <c:pt idx="6">
                  <c:v>46293</c:v>
                </c:pt>
                <c:pt idx="7">
                  <c:v>46293</c:v>
                </c:pt>
                <c:pt idx="8">
                  <c:v>46293</c:v>
                </c:pt>
                <c:pt idx="9">
                  <c:v>46293</c:v>
                </c:pt>
                <c:pt idx="10">
                  <c:v>46293</c:v>
                </c:pt>
                <c:pt idx="11">
                  <c:v>46295</c:v>
                </c:pt>
                <c:pt idx="12">
                  <c:v>46305</c:v>
                </c:pt>
                <c:pt idx="13">
                  <c:v>46315</c:v>
                </c:pt>
                <c:pt idx="14">
                  <c:v>46326</c:v>
                </c:pt>
                <c:pt idx="15">
                  <c:v>46336</c:v>
                </c:pt>
                <c:pt idx="16">
                  <c:v>46346</c:v>
                </c:pt>
                <c:pt idx="17">
                  <c:v>46356</c:v>
                </c:pt>
                <c:pt idx="18">
                  <c:v>46366</c:v>
                </c:pt>
                <c:pt idx="19">
                  <c:v>46376</c:v>
                </c:pt>
                <c:pt idx="20">
                  <c:v>46387</c:v>
                </c:pt>
                <c:pt idx="21">
                  <c:v>46397</c:v>
                </c:pt>
                <c:pt idx="22">
                  <c:v>46407</c:v>
                </c:pt>
                <c:pt idx="23">
                  <c:v>46418</c:v>
                </c:pt>
                <c:pt idx="24">
                  <c:v>46428</c:v>
                </c:pt>
                <c:pt idx="25">
                  <c:v>46438</c:v>
                </c:pt>
                <c:pt idx="26">
                  <c:v>46446</c:v>
                </c:pt>
                <c:pt idx="27">
                  <c:v>46456</c:v>
                </c:pt>
                <c:pt idx="28">
                  <c:v>46466</c:v>
                </c:pt>
                <c:pt idx="29">
                  <c:v>46477</c:v>
                </c:pt>
                <c:pt idx="30">
                  <c:v>46487</c:v>
                </c:pt>
                <c:pt idx="31">
                  <c:v>46487</c:v>
                </c:pt>
                <c:pt idx="32">
                  <c:v>46487</c:v>
                </c:pt>
                <c:pt idx="33">
                  <c:v>46487</c:v>
                </c:pt>
                <c:pt idx="34">
                  <c:v>46487</c:v>
                </c:pt>
                <c:pt idx="35">
                  <c:v>46487</c:v>
                </c:pt>
                <c:pt idx="36">
                  <c:v>46487</c:v>
                </c:pt>
                <c:pt idx="37">
                  <c:v>46487</c:v>
                </c:pt>
                <c:pt idx="38">
                  <c:v>46487</c:v>
                </c:pt>
                <c:pt idx="39">
                  <c:v>46487</c:v>
                </c:pt>
                <c:pt idx="40">
                  <c:v>46487</c:v>
                </c:pt>
                <c:pt idx="41">
                  <c:v>46487</c:v>
                </c:pt>
                <c:pt idx="42">
                  <c:v>46487</c:v>
                </c:pt>
                <c:pt idx="43">
                  <c:v>46487</c:v>
                </c:pt>
                <c:pt idx="44">
                  <c:v>46487</c:v>
                </c:pt>
                <c:pt idx="45">
                  <c:v>46487</c:v>
                </c:pt>
                <c:pt idx="46">
                  <c:v>46487</c:v>
                </c:pt>
                <c:pt idx="47">
                  <c:v>46487</c:v>
                </c:pt>
                <c:pt idx="48">
                  <c:v>46487</c:v>
                </c:pt>
                <c:pt idx="49">
                  <c:v>46487</c:v>
                </c:pt>
                <c:pt idx="50">
                  <c:v>46487</c:v>
                </c:pt>
                <c:pt idx="51">
                  <c:v>46487</c:v>
                </c:pt>
                <c:pt idx="52">
                  <c:v>46487</c:v>
                </c:pt>
                <c:pt idx="53">
                  <c:v>46487</c:v>
                </c:pt>
                <c:pt idx="54">
                  <c:v>46487</c:v>
                </c:pt>
                <c:pt idx="55">
                  <c:v>46487</c:v>
                </c:pt>
                <c:pt idx="56">
                  <c:v>46487</c:v>
                </c:pt>
                <c:pt idx="57">
                  <c:v>46487</c:v>
                </c:pt>
                <c:pt idx="58">
                  <c:v>46487</c:v>
                </c:pt>
                <c:pt idx="59">
                  <c:v>46487</c:v>
                </c:pt>
                <c:pt idx="60">
                  <c:v>46487</c:v>
                </c:pt>
                <c:pt idx="61">
                  <c:v>46487</c:v>
                </c:pt>
                <c:pt idx="62">
                  <c:v>46487</c:v>
                </c:pt>
                <c:pt idx="63">
                  <c:v>46487</c:v>
                </c:pt>
                <c:pt idx="64">
                  <c:v>46487</c:v>
                </c:pt>
                <c:pt idx="65">
                  <c:v>46487</c:v>
                </c:pt>
                <c:pt idx="66">
                  <c:v>46487</c:v>
                </c:pt>
                <c:pt idx="67">
                  <c:v>46487</c:v>
                </c:pt>
                <c:pt idx="68">
                  <c:v>46487</c:v>
                </c:pt>
                <c:pt idx="69">
                  <c:v>46487</c:v>
                </c:pt>
                <c:pt idx="70">
                  <c:v>46487</c:v>
                </c:pt>
                <c:pt idx="71">
                  <c:v>46487</c:v>
                </c:pt>
                <c:pt idx="72">
                  <c:v>46487</c:v>
                </c:pt>
                <c:pt idx="73">
                  <c:v>46487</c:v>
                </c:pt>
                <c:pt idx="74">
                  <c:v>46487</c:v>
                </c:pt>
                <c:pt idx="75">
                  <c:v>46487</c:v>
                </c:pt>
                <c:pt idx="76">
                  <c:v>46487</c:v>
                </c:pt>
                <c:pt idx="77">
                  <c:v>46487</c:v>
                </c:pt>
                <c:pt idx="78">
                  <c:v>46487</c:v>
                </c:pt>
                <c:pt idx="79">
                  <c:v>46487</c:v>
                </c:pt>
              </c:numCache>
            </c:numRef>
          </c:xVal>
          <c:yVal>
            <c:numRef>
              <c:f>'S-Curve'!$W$7:$W$86</c:f>
              <c:numCache>
                <c:formatCode>0.00%</c:formatCode>
                <c:ptCount val="80"/>
                <c:pt idx="0">
                  <c:v>0.187809917355372</c:v>
                </c:pt>
                <c:pt idx="1">
                  <c:v>0.187809917355372</c:v>
                </c:pt>
                <c:pt idx="2">
                  <c:v>0.187809917355372</c:v>
                </c:pt>
                <c:pt idx="3">
                  <c:v>0.187809917355372</c:v>
                </c:pt>
                <c:pt idx="4">
                  <c:v>0.187809917355372</c:v>
                </c:pt>
                <c:pt idx="5">
                  <c:v>0.187809917355372</c:v>
                </c:pt>
                <c:pt idx="6">
                  <c:v>0.187809917355372</c:v>
                </c:pt>
                <c:pt idx="7">
                  <c:v>0.187809917355372</c:v>
                </c:pt>
                <c:pt idx="8">
                  <c:v>0.187809917355372</c:v>
                </c:pt>
                <c:pt idx="9">
                  <c:v>0.187809917355372</c:v>
                </c:pt>
                <c:pt idx="10">
                  <c:v>0.187809917355372</c:v>
                </c:pt>
                <c:pt idx="11">
                  <c:v>0.196834251606979</c:v>
                </c:pt>
                <c:pt idx="12">
                  <c:v>0.241955922865014</c:v>
                </c:pt>
                <c:pt idx="13">
                  <c:v>0.287077594123049</c:v>
                </c:pt>
                <c:pt idx="14">
                  <c:v>0.336711432506887</c:v>
                </c:pt>
                <c:pt idx="15">
                  <c:v>0.381833103764922</c:v>
                </c:pt>
                <c:pt idx="16">
                  <c:v>0.426954775022957</c:v>
                </c:pt>
                <c:pt idx="17">
                  <c:v>0.472076446280992</c:v>
                </c:pt>
                <c:pt idx="18">
                  <c:v>0.517198117539027</c:v>
                </c:pt>
                <c:pt idx="19">
                  <c:v>0.562319788797062</c:v>
                </c:pt>
                <c:pt idx="20">
                  <c:v>0.6119536271809</c:v>
                </c:pt>
                <c:pt idx="21">
                  <c:v>0.657075298438935</c:v>
                </c:pt>
                <c:pt idx="22">
                  <c:v>0.70219696969697</c:v>
                </c:pt>
                <c:pt idx="23">
                  <c:v>0.751830808080808</c:v>
                </c:pt>
                <c:pt idx="24">
                  <c:v>0.796952479338843</c:v>
                </c:pt>
                <c:pt idx="25">
                  <c:v>0.842074150596878</c:v>
                </c:pt>
                <c:pt idx="26">
                  <c:v>0.878171487603306</c:v>
                </c:pt>
                <c:pt idx="27">
                  <c:v>0.923293158861341</c:v>
                </c:pt>
                <c:pt idx="28">
                  <c:v>0.968414830119376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'S-Curve'!$AC$6</c:f>
              <c:strCache>
                <c:ptCount val="1"/>
                <c:pt idx="0">
                  <c:v>Status Date</c:v>
                </c:pt>
              </c:strCache>
            </c:strRef>
          </c:tx>
          <c:spPr>
            <a:solidFill>
              <a:srgbClr val="7f7f7f"/>
            </a:solidFill>
            <a:ln w="4752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'S-Curve'!$AC$7:$AC$8</c:f>
              <c:numCache>
                <c:formatCode>dd\-mmm\-yy</c:formatCode>
                <c:ptCount val="2"/>
                <c:pt idx="0">
                  <c:v>46293</c:v>
                </c:pt>
                <c:pt idx="1">
                  <c:v>46293</c:v>
                </c:pt>
              </c:numCache>
            </c:numRef>
          </c:xVal>
          <c:yVal>
            <c:numRef>
              <c:f>'S-Curve'!$AD$7:$AD$8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</c:ser>
        <c:axId val="46760018"/>
        <c:axId val="84918905"/>
      </c:scatterChart>
      <c:valAx>
        <c:axId val="467600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18905"/>
        <c:crosses val="autoZero"/>
        <c:crossBetween val="midCat"/>
        <c:majorUnit val="30"/>
      </c:valAx>
      <c:valAx>
        <c:axId val="8491890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สะสม / Cumulative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60018"/>
        <c:crosses val="autoZero"/>
        <c:crossBetween val="midCat"/>
        <c:majorUnit val="0.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125640</xdr:rowOff>
    </xdr:from>
    <xdr:to>
      <xdr:col>17</xdr:col>
      <xdr:colOff>581040</xdr:colOff>
      <xdr:row>22</xdr:row>
      <xdr:rowOff>84240</xdr:rowOff>
    </xdr:to>
    <xdr:graphicFrame>
      <xdr:nvGraphicFramePr>
        <xdr:cNvPr id="0" name="Chart 1"/>
        <xdr:cNvGraphicFramePr/>
      </xdr:nvGraphicFramePr>
      <xdr:xfrm>
        <a:off x="8740080" y="380880"/>
        <a:ext cx="791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24</xdr:row>
      <xdr:rowOff>125640</xdr:rowOff>
    </xdr:from>
    <xdr:to>
      <xdr:col>17</xdr:col>
      <xdr:colOff>581040</xdr:colOff>
      <xdr:row>41</xdr:row>
      <xdr:rowOff>126360</xdr:rowOff>
    </xdr:to>
    <xdr:graphicFrame>
      <xdr:nvGraphicFramePr>
        <xdr:cNvPr id="1" name="Chart 2"/>
        <xdr:cNvGraphicFramePr/>
      </xdr:nvGraphicFramePr>
      <xdr:xfrm>
        <a:off x="8740080" y="4762440"/>
        <a:ext cx="79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43</xdr:row>
      <xdr:rowOff>125640</xdr:rowOff>
    </xdr:from>
    <xdr:to>
      <xdr:col>17</xdr:col>
      <xdr:colOff>581040</xdr:colOff>
      <xdr:row>59</xdr:row>
      <xdr:rowOff>126360</xdr:rowOff>
    </xdr:to>
    <xdr:graphicFrame>
      <xdr:nvGraphicFramePr>
        <xdr:cNvPr id="2" name="Chart 3"/>
        <xdr:cNvGraphicFramePr/>
      </xdr:nvGraphicFramePr>
      <xdr:xfrm>
        <a:off x="8740080" y="8381880"/>
        <a:ext cx="791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48</xdr:row>
      <xdr:rowOff>134640</xdr:rowOff>
    </xdr:from>
    <xdr:to>
      <xdr:col>11</xdr:col>
      <xdr:colOff>181080</xdr:colOff>
      <xdr:row>66</xdr:row>
      <xdr:rowOff>124920</xdr:rowOff>
    </xdr:to>
    <xdr:graphicFrame>
      <xdr:nvGraphicFramePr>
        <xdr:cNvPr id="3" name="Chart 1"/>
        <xdr:cNvGraphicFramePr/>
      </xdr:nvGraphicFramePr>
      <xdr:xfrm>
        <a:off x="352440" y="14229720"/>
        <a:ext cx="8639280" cy="34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6</xdr:row>
      <xdr:rowOff>0</xdr:rowOff>
    </xdr:from>
    <xdr:to>
      <xdr:col>12</xdr:col>
      <xdr:colOff>159480</xdr:colOff>
      <xdr:row>20</xdr:row>
      <xdr:rowOff>68400</xdr:rowOff>
    </xdr:to>
    <xdr:graphicFrame>
      <xdr:nvGraphicFramePr>
        <xdr:cNvPr id="4" name="Chart 1"/>
        <xdr:cNvGraphicFramePr/>
      </xdr:nvGraphicFramePr>
      <xdr:xfrm>
        <a:off x="4793040" y="1390680"/>
        <a:ext cx="5939280" cy="273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8</xdr:row>
      <xdr:rowOff>0</xdr:rowOff>
    </xdr:from>
    <xdr:to>
      <xdr:col>10</xdr:col>
      <xdr:colOff>109800</xdr:colOff>
      <xdr:row>16</xdr:row>
      <xdr:rowOff>186480</xdr:rowOff>
    </xdr:to>
    <xdr:graphicFrame>
      <xdr:nvGraphicFramePr>
        <xdr:cNvPr id="5" name="Chart 1"/>
        <xdr:cNvGraphicFramePr/>
      </xdr:nvGraphicFramePr>
      <xdr:xfrm>
        <a:off x="4088160" y="3048120"/>
        <a:ext cx="5255280" cy="201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1:D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62"/>
    <col collapsed="false" customWidth="true" hidden="false" outlineLevel="0" max="4" min="4" style="1" width="52"/>
  </cols>
  <sheetData>
    <row r="1" customFormat="false" ht="20.1" hidden="false" customHeight="false" outlineLevel="0" collapsed="false">
      <c r="B1" s="2" t="s">
        <v>0</v>
      </c>
    </row>
    <row r="3" customFormat="false" ht="21.75" hidden="false" customHeight="true" outlineLevel="0" collapsed="false">
      <c r="B3" s="3" t="s">
        <v>1</v>
      </c>
      <c r="C3" s="3"/>
      <c r="D3" s="3"/>
    </row>
    <row r="4" customFormat="false" ht="25.5" hidden="false" customHeight="true" outlineLevel="0" collapsed="false">
      <c r="B4" s="4" t="s">
        <v>2</v>
      </c>
      <c r="C4" s="4"/>
      <c r="D4" s="4"/>
    </row>
    <row r="5" customFormat="false" ht="15" hidden="false" customHeight="true" outlineLevel="0" collapsed="false">
      <c r="B5" s="5" t="s">
        <v>3</v>
      </c>
      <c r="C5" s="5"/>
      <c r="D5" s="5"/>
    </row>
    <row r="6" customFormat="false" ht="15" hidden="false" customHeight="false" outlineLevel="0" collapsed="false">
      <c r="B6" s="6" t="s">
        <v>4</v>
      </c>
      <c r="C6" s="6" t="s">
        <v>5</v>
      </c>
      <c r="D6" s="6" t="s">
        <v>6</v>
      </c>
    </row>
    <row r="7" customFormat="false" ht="25.5" hidden="false" customHeight="true" outlineLevel="0" collapsed="false">
      <c r="B7" s="7" t="s">
        <v>7</v>
      </c>
      <c r="C7" s="8" t="s">
        <v>8</v>
      </c>
      <c r="D7" s="8" t="s">
        <v>9</v>
      </c>
    </row>
    <row r="8" customFormat="false" ht="25.5" hidden="false" customHeight="true" outlineLevel="0" collapsed="false">
      <c r="B8" s="9" t="s">
        <v>10</v>
      </c>
      <c r="C8" s="8" t="s">
        <v>11</v>
      </c>
      <c r="D8" s="8" t="s">
        <v>12</v>
      </c>
    </row>
    <row r="9" customFormat="false" ht="25.5" hidden="false" customHeight="true" outlineLevel="0" collapsed="false">
      <c r="B9" s="7" t="s">
        <v>13</v>
      </c>
      <c r="C9" s="8" t="s">
        <v>14</v>
      </c>
      <c r="D9" s="8" t="s">
        <v>12</v>
      </c>
    </row>
    <row r="10" customFormat="false" ht="25.5" hidden="false" customHeight="true" outlineLevel="0" collapsed="false">
      <c r="B10" s="7" t="s">
        <v>15</v>
      </c>
      <c r="C10" s="8" t="s">
        <v>16</v>
      </c>
      <c r="D10" s="8" t="s">
        <v>17</v>
      </c>
    </row>
    <row r="11" customFormat="false" ht="25.5" hidden="false" customHeight="true" outlineLevel="0" collapsed="false">
      <c r="B11" s="7" t="s">
        <v>18</v>
      </c>
      <c r="C11" s="8" t="s">
        <v>19</v>
      </c>
      <c r="D11" s="8" t="s">
        <v>20</v>
      </c>
    </row>
    <row r="12" customFormat="false" ht="25.5" hidden="false" customHeight="true" outlineLevel="0" collapsed="false">
      <c r="B12" s="9" t="s">
        <v>21</v>
      </c>
      <c r="C12" s="8" t="s">
        <v>22</v>
      </c>
      <c r="D12" s="8" t="s">
        <v>23</v>
      </c>
    </row>
    <row r="13" customFormat="false" ht="15" hidden="false" customHeight="true" outlineLevel="0" collapsed="false">
      <c r="B13" s="7" t="s">
        <v>24</v>
      </c>
      <c r="C13" s="8" t="s">
        <v>25</v>
      </c>
      <c r="D13" s="8" t="s">
        <v>26</v>
      </c>
    </row>
    <row r="15" customFormat="false" ht="21.75" hidden="false" customHeight="true" outlineLevel="0" collapsed="false">
      <c r="B15" s="3" t="s">
        <v>27</v>
      </c>
      <c r="C15" s="3"/>
      <c r="D15" s="3"/>
    </row>
    <row r="16" customFormat="false" ht="15" hidden="false" customHeight="false" outlineLevel="0" collapsed="false">
      <c r="B16" s="6" t="s">
        <v>28</v>
      </c>
      <c r="C16" s="6" t="s">
        <v>29</v>
      </c>
      <c r="D16" s="6" t="s">
        <v>30</v>
      </c>
    </row>
    <row r="17" customFormat="false" ht="25.5" hidden="false" customHeight="true" outlineLevel="0" collapsed="false">
      <c r="B17" s="7" t="s">
        <v>31</v>
      </c>
      <c r="C17" s="8" t="s">
        <v>32</v>
      </c>
      <c r="D17" s="8" t="s">
        <v>33</v>
      </c>
    </row>
    <row r="18" customFormat="false" ht="25.5" hidden="false" customHeight="true" outlineLevel="0" collapsed="false">
      <c r="B18" s="7" t="s">
        <v>34</v>
      </c>
      <c r="C18" s="8" t="s">
        <v>35</v>
      </c>
      <c r="D18" s="8" t="s">
        <v>36</v>
      </c>
    </row>
    <row r="19" customFormat="false" ht="25.5" hidden="false" customHeight="true" outlineLevel="0" collapsed="false">
      <c r="B19" s="7" t="s">
        <v>37</v>
      </c>
      <c r="C19" s="8" t="s">
        <v>38</v>
      </c>
      <c r="D19" s="8" t="s">
        <v>39</v>
      </c>
    </row>
    <row r="20" customFormat="false" ht="15" hidden="false" customHeight="true" outlineLevel="0" collapsed="false">
      <c r="B20" s="7" t="s">
        <v>40</v>
      </c>
      <c r="C20" s="8" t="s">
        <v>41</v>
      </c>
      <c r="D20" s="10" t="s">
        <v>42</v>
      </c>
    </row>
    <row r="22" customFormat="false" ht="21.75" hidden="false" customHeight="true" outlineLevel="0" collapsed="false">
      <c r="B22" s="3" t="s">
        <v>43</v>
      </c>
      <c r="C22" s="3"/>
      <c r="D22" s="3"/>
    </row>
    <row r="23" customFormat="false" ht="25.5" hidden="false" customHeight="true" outlineLevel="0" collapsed="false">
      <c r="B23" s="4" t="s">
        <v>44</v>
      </c>
      <c r="C23" s="4"/>
      <c r="D23" s="4"/>
    </row>
    <row r="24" customFormat="false" ht="15" hidden="false" customHeight="true" outlineLevel="0" collapsed="false">
      <c r="B24" s="4" t="s">
        <v>45</v>
      </c>
      <c r="C24" s="4"/>
      <c r="D24" s="4"/>
    </row>
    <row r="25" customFormat="false" ht="15" hidden="false" customHeight="true" outlineLevel="0" collapsed="false">
      <c r="B25" s="11" t="s">
        <v>46</v>
      </c>
      <c r="C25" s="11"/>
      <c r="D25" s="11"/>
    </row>
    <row r="26" customFormat="false" ht="25.5" hidden="false" customHeight="true" outlineLevel="0" collapsed="false">
      <c r="B26" s="4" t="s">
        <v>47</v>
      </c>
      <c r="C26" s="4"/>
      <c r="D26" s="4"/>
    </row>
    <row r="27" customFormat="false" ht="15" hidden="false" customHeight="true" outlineLevel="0" collapsed="false">
      <c r="B27" s="4" t="s">
        <v>48</v>
      </c>
      <c r="C27" s="4"/>
      <c r="D27" s="4"/>
    </row>
    <row r="29" customFormat="false" ht="21.75" hidden="false" customHeight="true" outlineLevel="0" collapsed="false">
      <c r="B29" s="3" t="s">
        <v>49</v>
      </c>
      <c r="C29" s="3"/>
      <c r="D29" s="3"/>
    </row>
    <row r="30" customFormat="false" ht="15" hidden="false" customHeight="true" outlineLevel="0" collapsed="false">
      <c r="B30" s="11" t="s">
        <v>50</v>
      </c>
      <c r="C30" s="11"/>
      <c r="D30" s="11"/>
    </row>
    <row r="31" customFormat="false" ht="15" hidden="false" customHeight="true" outlineLevel="0" collapsed="false">
      <c r="B31" s="11" t="s">
        <v>51</v>
      </c>
      <c r="C31" s="11"/>
      <c r="D31" s="11"/>
    </row>
    <row r="32" customFormat="false" ht="15" hidden="false" customHeight="true" outlineLevel="0" collapsed="false">
      <c r="B32" s="11" t="s">
        <v>52</v>
      </c>
      <c r="C32" s="11"/>
      <c r="D32" s="11"/>
    </row>
    <row r="33" customFormat="false" ht="15" hidden="false" customHeight="true" outlineLevel="0" collapsed="false">
      <c r="B33" s="11" t="s">
        <v>53</v>
      </c>
      <c r="C33" s="11"/>
      <c r="D33" s="11"/>
    </row>
    <row r="35" customFormat="false" ht="21.75" hidden="false" customHeight="true" outlineLevel="0" collapsed="false">
      <c r="B35" s="3" t="s">
        <v>54</v>
      </c>
      <c r="C35" s="3"/>
      <c r="D35" s="3"/>
    </row>
    <row r="36" customFormat="false" ht="15" hidden="false" customHeight="true" outlineLevel="0" collapsed="false">
      <c r="B36" s="11" t="s">
        <v>55</v>
      </c>
      <c r="C36" s="11"/>
      <c r="D36" s="11"/>
    </row>
    <row r="37" customFormat="false" ht="15" hidden="false" customHeight="true" outlineLevel="0" collapsed="false">
      <c r="B37" s="11" t="s">
        <v>56</v>
      </c>
      <c r="C37" s="11"/>
      <c r="D37" s="11"/>
    </row>
    <row r="38" customFormat="false" ht="15" hidden="false" customHeight="true" outlineLevel="0" collapsed="false">
      <c r="B38" s="11" t="s">
        <v>57</v>
      </c>
      <c r="C38" s="11"/>
      <c r="D38" s="11"/>
    </row>
    <row r="39" customFormat="false" ht="15" hidden="false" customHeight="true" outlineLevel="0" collapsed="false">
      <c r="B39" s="11" t="s">
        <v>58</v>
      </c>
      <c r="C39" s="11"/>
      <c r="D39" s="11"/>
    </row>
    <row r="40" customFormat="false" ht="15" hidden="false" customHeight="true" outlineLevel="0" collapsed="false">
      <c r="B40" s="11" t="s">
        <v>59</v>
      </c>
      <c r="C40" s="11"/>
      <c r="D40" s="11"/>
    </row>
    <row r="42" customFormat="false" ht="21.75" hidden="false" customHeight="true" outlineLevel="0" collapsed="false">
      <c r="B42" s="3" t="s">
        <v>60</v>
      </c>
      <c r="C42" s="3"/>
      <c r="D42" s="3"/>
    </row>
    <row r="43" customFormat="false" ht="15" hidden="false" customHeight="true" outlineLevel="0" collapsed="false">
      <c r="B43" s="7" t="s">
        <v>61</v>
      </c>
      <c r="C43" s="8" t="s">
        <v>62</v>
      </c>
      <c r="D43" s="8" t="s">
        <v>63</v>
      </c>
    </row>
    <row r="44" customFormat="false" ht="25.5" hidden="false" customHeight="true" outlineLevel="0" collapsed="false">
      <c r="B44" s="7" t="s">
        <v>64</v>
      </c>
      <c r="C44" s="8" t="s">
        <v>65</v>
      </c>
      <c r="D44" s="8" t="s">
        <v>66</v>
      </c>
    </row>
    <row r="45" customFormat="false" ht="15" hidden="false" customHeight="true" outlineLevel="0" collapsed="false">
      <c r="B45" s="9" t="s">
        <v>67</v>
      </c>
      <c r="C45" s="8" t="s">
        <v>68</v>
      </c>
      <c r="D45" s="8" t="s">
        <v>69</v>
      </c>
    </row>
    <row r="46" customFormat="false" ht="15" hidden="false" customHeight="true" outlineLevel="0" collapsed="false">
      <c r="B46" s="7" t="s">
        <v>70</v>
      </c>
      <c r="C46" s="8" t="s">
        <v>71</v>
      </c>
      <c r="D46" s="8" t="s">
        <v>72</v>
      </c>
    </row>
    <row r="48" customFormat="false" ht="21.75" hidden="false" customHeight="true" outlineLevel="0" collapsed="false">
      <c r="B48" s="3" t="s">
        <v>73</v>
      </c>
      <c r="C48" s="3"/>
      <c r="D48" s="3"/>
    </row>
    <row r="49" customFormat="false" ht="15" hidden="false" customHeight="true" outlineLevel="0" collapsed="false">
      <c r="B49" s="12" t="s">
        <v>74</v>
      </c>
      <c r="C49" s="8" t="s">
        <v>75</v>
      </c>
      <c r="D49" s="8"/>
    </row>
    <row r="50" customFormat="false" ht="25.5" hidden="false" customHeight="true" outlineLevel="0" collapsed="false">
      <c r="B50" s="7" t="s">
        <v>76</v>
      </c>
      <c r="C50" s="8" t="s">
        <v>77</v>
      </c>
      <c r="D50" s="8"/>
    </row>
    <row r="51" customFormat="false" ht="15" hidden="false" customHeight="true" outlineLevel="0" collapsed="false">
      <c r="B51" s="13" t="s">
        <v>78</v>
      </c>
      <c r="C51" s="8" t="s">
        <v>79</v>
      </c>
      <c r="D51" s="8"/>
    </row>
    <row r="52" customFormat="false" ht="15" hidden="false" customHeight="true" outlineLevel="0" collapsed="false">
      <c r="B52" s="14" t="s">
        <v>80</v>
      </c>
      <c r="C52" s="8" t="s">
        <v>81</v>
      </c>
      <c r="D52" s="8"/>
    </row>
    <row r="53" customFormat="false" ht="15" hidden="false" customHeight="true" outlineLevel="0" collapsed="false">
      <c r="B53" s="7" t="s">
        <v>82</v>
      </c>
      <c r="C53" s="8" t="s">
        <v>83</v>
      </c>
      <c r="D53" s="8"/>
    </row>
    <row r="55" customFormat="false" ht="21.75" hidden="false" customHeight="true" outlineLevel="0" collapsed="false">
      <c r="B55" s="3" t="s">
        <v>84</v>
      </c>
      <c r="C55" s="3"/>
      <c r="D55" s="3"/>
    </row>
    <row r="56" customFormat="false" ht="15" hidden="false" customHeight="false" outlineLevel="0" collapsed="false">
      <c r="B56" s="6" t="s">
        <v>85</v>
      </c>
      <c r="C56" s="6" t="s">
        <v>29</v>
      </c>
      <c r="D56" s="6" t="s">
        <v>86</v>
      </c>
    </row>
    <row r="57" customFormat="false" ht="25.5" hidden="false" customHeight="true" outlineLevel="0" collapsed="false">
      <c r="B57" s="9" t="s">
        <v>21</v>
      </c>
      <c r="C57" s="8" t="s">
        <v>87</v>
      </c>
      <c r="D57" s="8" t="s">
        <v>88</v>
      </c>
    </row>
    <row r="58" customFormat="false" ht="25.5" hidden="false" customHeight="true" outlineLevel="0" collapsed="false">
      <c r="B58" s="9" t="s">
        <v>89</v>
      </c>
      <c r="C58" s="8" t="s">
        <v>90</v>
      </c>
      <c r="D58" s="10" t="s">
        <v>91</v>
      </c>
    </row>
    <row r="59" customFormat="false" ht="15" hidden="false" customHeight="true" outlineLevel="0" collapsed="false">
      <c r="B59" s="9" t="s">
        <v>92</v>
      </c>
      <c r="C59" s="8" t="s">
        <v>93</v>
      </c>
      <c r="D59" s="8" t="s">
        <v>94</v>
      </c>
    </row>
    <row r="60" customFormat="false" ht="25.5" hidden="false" customHeight="true" outlineLevel="0" collapsed="false">
      <c r="B60" s="9" t="s">
        <v>95</v>
      </c>
      <c r="C60" s="8" t="s">
        <v>96</v>
      </c>
      <c r="D60" s="10" t="s">
        <v>97</v>
      </c>
    </row>
    <row r="61" customFormat="false" ht="15" hidden="false" customHeight="true" outlineLevel="0" collapsed="false">
      <c r="B61" s="9" t="s">
        <v>98</v>
      </c>
      <c r="C61" s="8" t="s">
        <v>99</v>
      </c>
      <c r="D61" s="10" t="s">
        <v>100</v>
      </c>
    </row>
    <row r="62" customFormat="false" ht="25.5" hidden="false" customHeight="true" outlineLevel="0" collapsed="false">
      <c r="B62" s="9" t="s">
        <v>101</v>
      </c>
      <c r="C62" s="8" t="s">
        <v>102</v>
      </c>
      <c r="D62" s="10" t="s">
        <v>103</v>
      </c>
    </row>
    <row r="63" customFormat="false" ht="15" hidden="false" customHeight="true" outlineLevel="0" collapsed="false">
      <c r="B63" s="9" t="s">
        <v>104</v>
      </c>
      <c r="C63" s="8" t="s">
        <v>105</v>
      </c>
      <c r="D63" s="10" t="s">
        <v>106</v>
      </c>
    </row>
    <row r="64" customFormat="false" ht="25.5" hidden="false" customHeight="true" outlineLevel="0" collapsed="false">
      <c r="B64" s="9" t="s">
        <v>107</v>
      </c>
      <c r="C64" s="8" t="s">
        <v>108</v>
      </c>
      <c r="D64" s="10" t="s">
        <v>109</v>
      </c>
    </row>
    <row r="65" customFormat="false" ht="15" hidden="false" customHeight="true" outlineLevel="0" collapsed="false">
      <c r="B65" s="9" t="s">
        <v>110</v>
      </c>
      <c r="C65" s="8" t="s">
        <v>111</v>
      </c>
      <c r="D65" s="10" t="s">
        <v>112</v>
      </c>
    </row>
    <row r="66" customFormat="false" ht="25.5" hidden="false" customHeight="true" outlineLevel="0" collapsed="false">
      <c r="B66" s="9" t="s">
        <v>113</v>
      </c>
      <c r="C66" s="10" t="s">
        <v>114</v>
      </c>
      <c r="D66" s="10" t="s">
        <v>115</v>
      </c>
    </row>
    <row r="67" customFormat="false" ht="25.5" hidden="false" customHeight="true" outlineLevel="0" collapsed="false">
      <c r="B67" s="9" t="s">
        <v>116</v>
      </c>
      <c r="C67" s="8" t="s">
        <v>117</v>
      </c>
      <c r="D67" s="8" t="s">
        <v>118</v>
      </c>
    </row>
    <row r="68" customFormat="false" ht="15" hidden="false" customHeight="true" outlineLevel="0" collapsed="false">
      <c r="B68" s="9" t="s">
        <v>119</v>
      </c>
      <c r="C68" s="8" t="s">
        <v>120</v>
      </c>
      <c r="D68" s="10" t="s">
        <v>121</v>
      </c>
    </row>
    <row r="69" customFormat="false" ht="25.5" hidden="false" customHeight="true" outlineLevel="0" collapsed="false">
      <c r="B69" s="9" t="s">
        <v>122</v>
      </c>
      <c r="C69" s="8" t="s">
        <v>123</v>
      </c>
      <c r="D69" s="8" t="s">
        <v>124</v>
      </c>
    </row>
    <row r="70" customFormat="false" ht="15" hidden="false" customHeight="true" outlineLevel="0" collapsed="false">
      <c r="B70" s="9" t="s">
        <v>125</v>
      </c>
      <c r="C70" s="8" t="s">
        <v>126</v>
      </c>
      <c r="D70" s="10" t="s">
        <v>127</v>
      </c>
    </row>
    <row r="71" customFormat="false" ht="25.5" hidden="false" customHeight="true" outlineLevel="0" collapsed="false">
      <c r="B71" s="9" t="s">
        <v>128</v>
      </c>
      <c r="C71" s="8" t="s">
        <v>129</v>
      </c>
      <c r="D71" s="10" t="s">
        <v>130</v>
      </c>
    </row>
    <row r="73" customFormat="false" ht="21.75" hidden="false" customHeight="true" outlineLevel="0" collapsed="false">
      <c r="B73" s="3" t="s">
        <v>131</v>
      </c>
      <c r="C73" s="3"/>
      <c r="D73" s="3"/>
    </row>
    <row r="74" customFormat="false" ht="15" hidden="false" customHeight="true" outlineLevel="0" collapsed="false">
      <c r="B74" s="4" t="s">
        <v>132</v>
      </c>
      <c r="C74" s="4"/>
      <c r="D74" s="4"/>
    </row>
    <row r="75" customFormat="false" ht="15" hidden="false" customHeight="true" outlineLevel="0" collapsed="false">
      <c r="B75" s="4" t="s">
        <v>133</v>
      </c>
      <c r="C75" s="4"/>
      <c r="D75" s="4"/>
    </row>
    <row r="76" customFormat="false" ht="15" hidden="false" customHeight="true" outlineLevel="0" collapsed="false">
      <c r="B76" s="11" t="s">
        <v>134</v>
      </c>
      <c r="C76" s="11"/>
      <c r="D76" s="11"/>
    </row>
    <row r="77" customFormat="false" ht="15" hidden="false" customHeight="true" outlineLevel="0" collapsed="false">
      <c r="B77" s="4" t="s">
        <v>135</v>
      </c>
      <c r="C77" s="4"/>
      <c r="D77" s="4"/>
    </row>
    <row r="79" customFormat="false" ht="21.75" hidden="false" customHeight="true" outlineLevel="0" collapsed="false">
      <c r="B79" s="15" t="s">
        <v>136</v>
      </c>
      <c r="C79" s="15"/>
      <c r="D79" s="15"/>
    </row>
    <row r="80" customFormat="false" ht="15" hidden="false" customHeight="true" outlineLevel="0" collapsed="false">
      <c r="B80" s="4" t="s">
        <v>137</v>
      </c>
      <c r="C80" s="4"/>
      <c r="D80" s="4"/>
    </row>
    <row r="81" customFormat="false" ht="15" hidden="false" customHeight="true" outlineLevel="0" collapsed="false">
      <c r="B81" s="4" t="s">
        <v>138</v>
      </c>
      <c r="C81" s="4"/>
      <c r="D81" s="4"/>
    </row>
    <row r="82" customFormat="false" ht="15" hidden="false" customHeight="true" outlineLevel="0" collapsed="false">
      <c r="B82" s="11" t="s">
        <v>139</v>
      </c>
      <c r="C82" s="11"/>
      <c r="D82" s="11"/>
    </row>
    <row r="83" customFormat="false" ht="25.5" hidden="false" customHeight="true" outlineLevel="0" collapsed="false">
      <c r="B83" s="4" t="s">
        <v>140</v>
      </c>
      <c r="C83" s="4"/>
      <c r="D83" s="4"/>
    </row>
    <row r="84" customFormat="false" ht="15" hidden="false" customHeight="true" outlineLevel="0" collapsed="false">
      <c r="B84" s="11" t="s">
        <v>141</v>
      </c>
      <c r="C84" s="11"/>
      <c r="D84" s="11"/>
    </row>
    <row r="85" customFormat="false" ht="15" hidden="false" customHeight="true" outlineLevel="0" collapsed="false">
      <c r="B85" s="11" t="s">
        <v>142</v>
      </c>
      <c r="C85" s="11"/>
      <c r="D85" s="11"/>
    </row>
    <row r="86" customFormat="false" ht="25.5" hidden="false" customHeight="true" outlineLevel="0" collapsed="false">
      <c r="B86" s="4" t="s">
        <v>143</v>
      </c>
      <c r="C86" s="4"/>
      <c r="D86" s="4"/>
    </row>
    <row r="87" customFormat="false" ht="15" hidden="false" customHeight="true" outlineLevel="0" collapsed="false">
      <c r="B87" s="11" t="s">
        <v>144</v>
      </c>
      <c r="C87" s="11"/>
      <c r="D87" s="11"/>
    </row>
    <row r="88" customFormat="false" ht="25.5" hidden="false" customHeight="true" outlineLevel="0" collapsed="false">
      <c r="B88" s="4" t="s">
        <v>145</v>
      </c>
      <c r="C88" s="4"/>
      <c r="D88" s="4"/>
    </row>
    <row r="90" customFormat="false" ht="21.75" hidden="false" customHeight="true" outlineLevel="0" collapsed="false">
      <c r="B90" s="16" t="s">
        <v>146</v>
      </c>
      <c r="C90" s="16"/>
      <c r="D90" s="16"/>
    </row>
    <row r="91" customFormat="false" ht="25.5" hidden="false" customHeight="true" outlineLevel="0" collapsed="false">
      <c r="B91" s="4" t="s">
        <v>147</v>
      </c>
      <c r="C91" s="4"/>
      <c r="D91" s="4"/>
    </row>
    <row r="92" customFormat="false" ht="25.5" hidden="false" customHeight="true" outlineLevel="0" collapsed="false">
      <c r="B92" s="4" t="s">
        <v>148</v>
      </c>
      <c r="C92" s="4"/>
      <c r="D92" s="4"/>
    </row>
    <row r="93" customFormat="false" ht="15" hidden="false" customHeight="true" outlineLevel="0" collapsed="false">
      <c r="B93" s="4" t="s">
        <v>149</v>
      </c>
      <c r="C93" s="4"/>
      <c r="D93" s="4"/>
    </row>
    <row r="94" customFormat="false" ht="25.5" hidden="false" customHeight="true" outlineLevel="0" collapsed="false">
      <c r="B94" s="4" t="s">
        <v>150</v>
      </c>
      <c r="C94" s="4"/>
      <c r="D94" s="4"/>
    </row>
    <row r="95" customFormat="false" ht="15" hidden="false" customHeight="true" outlineLevel="0" collapsed="false">
      <c r="B95" s="4" t="s">
        <v>151</v>
      </c>
      <c r="C95" s="4"/>
      <c r="D95" s="4"/>
    </row>
    <row r="96" customFormat="false" ht="25.5" hidden="false" customHeight="true" outlineLevel="0" collapsed="false">
      <c r="B96" s="4" t="s">
        <v>152</v>
      </c>
      <c r="C96" s="4"/>
      <c r="D96" s="4"/>
    </row>
    <row r="97" customFormat="false" ht="25.5" hidden="false" customHeight="true" outlineLevel="0" collapsed="false">
      <c r="B97" s="4" t="s">
        <v>153</v>
      </c>
      <c r="C97" s="4"/>
      <c r="D97" s="4"/>
    </row>
  </sheetData>
  <mergeCells count="47">
    <mergeCell ref="B3:D3"/>
    <mergeCell ref="B4:D4"/>
    <mergeCell ref="B5:D5"/>
    <mergeCell ref="B15:D15"/>
    <mergeCell ref="B22:D22"/>
    <mergeCell ref="B23:D23"/>
    <mergeCell ref="B24:D24"/>
    <mergeCell ref="B25:D25"/>
    <mergeCell ref="B26:D26"/>
    <mergeCell ref="B27:D27"/>
    <mergeCell ref="B29:D29"/>
    <mergeCell ref="B30:D30"/>
    <mergeCell ref="B31:D31"/>
    <mergeCell ref="B32:D32"/>
    <mergeCell ref="B33:D33"/>
    <mergeCell ref="B35:D35"/>
    <mergeCell ref="B36:D36"/>
    <mergeCell ref="B37:D37"/>
    <mergeCell ref="B38:D38"/>
    <mergeCell ref="B39:D39"/>
    <mergeCell ref="B40:D40"/>
    <mergeCell ref="B42:D42"/>
    <mergeCell ref="B48:D48"/>
    <mergeCell ref="B55:D55"/>
    <mergeCell ref="B73:D73"/>
    <mergeCell ref="B74:D74"/>
    <mergeCell ref="B75:D75"/>
    <mergeCell ref="B76:D76"/>
    <mergeCell ref="B77:D77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90:D90"/>
    <mergeCell ref="B91:D91"/>
    <mergeCell ref="B92:D92"/>
    <mergeCell ref="B93:D93"/>
    <mergeCell ref="B94:D94"/>
    <mergeCell ref="B95:D95"/>
    <mergeCell ref="B96:D96"/>
    <mergeCell ref="B97:D9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44"/>
    <col collapsed="false" customWidth="true" hidden="false" outlineLevel="0" max="4" min="4" style="1" width="60"/>
  </cols>
  <sheetData>
    <row r="1" customFormat="false" ht="20.1" hidden="false" customHeight="false" outlineLevel="0" collapsed="false">
      <c r="B1" s="2" t="s">
        <v>154</v>
      </c>
    </row>
    <row r="2" customFormat="false" ht="15" hidden="false" customHeight="false" outlineLevel="0" collapsed="false">
      <c r="B2" s="17" t="s">
        <v>155</v>
      </c>
    </row>
    <row r="3" customFormat="false" ht="15" hidden="false" customHeight="false" outlineLevel="0" collapsed="false">
      <c r="B3" s="18" t="s">
        <v>156</v>
      </c>
      <c r="C3" s="18" t="s">
        <v>157</v>
      </c>
      <c r="D3" s="18" t="s">
        <v>158</v>
      </c>
    </row>
    <row r="4" customFormat="false" ht="15" hidden="false" customHeight="false" outlineLevel="0" collapsed="false">
      <c r="B4" s="19" t="s">
        <v>159</v>
      </c>
      <c r="C4" s="20" t="s">
        <v>160</v>
      </c>
      <c r="D4" s="21" t="s">
        <v>161</v>
      </c>
    </row>
    <row r="5" customFormat="false" ht="15" hidden="false" customHeight="false" outlineLevel="0" collapsed="false">
      <c r="B5" s="19" t="s">
        <v>162</v>
      </c>
      <c r="C5" s="22" t="s">
        <v>163</v>
      </c>
      <c r="D5" s="21"/>
    </row>
    <row r="6" customFormat="false" ht="15" hidden="false" customHeight="false" outlineLevel="0" collapsed="false">
      <c r="B6" s="19" t="s">
        <v>164</v>
      </c>
      <c r="C6" s="20"/>
      <c r="D6" s="21"/>
    </row>
    <row r="7" customFormat="false" ht="15" hidden="false" customHeight="false" outlineLevel="0" collapsed="false">
      <c r="B7" s="19" t="s">
        <v>165</v>
      </c>
      <c r="C7" s="20"/>
      <c r="D7" s="21"/>
    </row>
    <row r="8" customFormat="false" ht="15" hidden="false" customHeight="false" outlineLevel="0" collapsed="false">
      <c r="B8" s="19" t="s">
        <v>166</v>
      </c>
      <c r="C8" s="20"/>
      <c r="D8" s="21"/>
    </row>
    <row r="9" customFormat="false" ht="15" hidden="false" customHeight="false" outlineLevel="0" collapsed="false">
      <c r="B9" s="19" t="s">
        <v>167</v>
      </c>
      <c r="C9" s="23" t="n">
        <v>24200000</v>
      </c>
      <c r="D9" s="21" t="s">
        <v>168</v>
      </c>
    </row>
    <row r="10" customFormat="false" ht="15" hidden="false" customHeight="false" outlineLevel="0" collapsed="false">
      <c r="B10" s="19" t="s">
        <v>169</v>
      </c>
      <c r="C10" s="24" t="n">
        <v>46174</v>
      </c>
      <c r="D10" s="21"/>
    </row>
    <row r="11" customFormat="false" ht="15" hidden="false" customHeight="false" outlineLevel="0" collapsed="false">
      <c r="B11" s="19" t="s">
        <v>170</v>
      </c>
      <c r="C11" s="25" t="n">
        <v>300</v>
      </c>
      <c r="D11" s="21"/>
    </row>
    <row r="12" customFormat="false" ht="15" hidden="false" customHeight="false" outlineLevel="0" collapsed="false">
      <c r="B12" s="19" t="s">
        <v>171</v>
      </c>
      <c r="C12" s="26" t="n">
        <f aca="false">C10+C11-1</f>
        <v>46473</v>
      </c>
      <c r="D12" s="21" t="s">
        <v>172</v>
      </c>
    </row>
    <row r="13" customFormat="false" ht="15" hidden="false" customHeight="false" outlineLevel="0" collapsed="false">
      <c r="B13" s="19" t="s">
        <v>173</v>
      </c>
      <c r="C13" s="27" t="n">
        <f aca="false">SUM('ขยายเวลา EOT'!$J$8:$J$57)</f>
        <v>8</v>
      </c>
      <c r="D13" s="21" t="s">
        <v>174</v>
      </c>
    </row>
    <row r="14" customFormat="false" ht="15" hidden="false" customHeight="false" outlineLevel="0" collapsed="false">
      <c r="B14" s="19" t="s">
        <v>175</v>
      </c>
      <c r="C14" s="28" t="n">
        <f aca="false">C12+C13</f>
        <v>46481</v>
      </c>
      <c r="D14" s="21"/>
    </row>
    <row r="15" customFormat="false" ht="15" hidden="false" customHeight="false" outlineLevel="0" collapsed="false">
      <c r="B15" s="19" t="s">
        <v>176</v>
      </c>
      <c r="C15" s="24" t="n">
        <v>46293</v>
      </c>
      <c r="D15" s="21" t="s">
        <v>177</v>
      </c>
    </row>
    <row r="16" customFormat="false" ht="15" hidden="false" customHeight="false" outlineLevel="0" collapsed="false">
      <c r="B16" s="19" t="s">
        <v>178</v>
      </c>
      <c r="C16" s="20" t="s">
        <v>179</v>
      </c>
      <c r="D16" s="21" t="s">
        <v>180</v>
      </c>
    </row>
    <row r="17" customFormat="false" ht="15" hidden="false" customHeight="false" outlineLevel="0" collapsed="false">
      <c r="B17" s="19" t="s">
        <v>181</v>
      </c>
      <c r="C17" s="29" t="n">
        <v>0.001</v>
      </c>
      <c r="D17" s="21" t="s">
        <v>182</v>
      </c>
    </row>
    <row r="18" customFormat="false" ht="15" hidden="false" customHeight="false" outlineLevel="0" collapsed="false">
      <c r="B18" s="19" t="s">
        <v>183</v>
      </c>
      <c r="C18" s="23" t="n">
        <v>100</v>
      </c>
      <c r="D18" s="21" t="s">
        <v>184</v>
      </c>
    </row>
    <row r="19" customFormat="false" ht="15" hidden="false" customHeight="false" outlineLevel="0" collapsed="false">
      <c r="B19" s="19" t="s">
        <v>185</v>
      </c>
      <c r="C19" s="30" t="n">
        <v>0.1</v>
      </c>
      <c r="D19" s="21" t="s">
        <v>186</v>
      </c>
    </row>
    <row r="20" customFormat="false" ht="15" hidden="false" customHeight="false" outlineLevel="0" collapsed="false">
      <c r="B20" s="19" t="s">
        <v>187</v>
      </c>
      <c r="C20" s="25" t="n">
        <v>30</v>
      </c>
      <c r="D20" s="21" t="s">
        <v>188</v>
      </c>
    </row>
    <row r="21" customFormat="false" ht="15" hidden="false" customHeight="false" outlineLevel="0" collapsed="false">
      <c r="B21" s="19" t="s">
        <v>189</v>
      </c>
      <c r="C21" s="31" t="n">
        <v>1</v>
      </c>
      <c r="D21" s="21"/>
    </row>
    <row r="22" customFormat="false" ht="15" hidden="false" customHeight="false" outlineLevel="0" collapsed="false">
      <c r="B22" s="19" t="s">
        <v>190</v>
      </c>
      <c r="C22" s="20"/>
      <c r="D22" s="21"/>
    </row>
    <row r="24" customFormat="false" ht="15" hidden="false" customHeight="false" outlineLevel="0" collapsed="false">
      <c r="B24" s="18" t="s">
        <v>191</v>
      </c>
      <c r="C24" s="18" t="s">
        <v>192</v>
      </c>
      <c r="D24" s="18" t="s">
        <v>193</v>
      </c>
    </row>
    <row r="25" customFormat="false" ht="15" hidden="false" customHeight="false" outlineLevel="0" collapsed="false">
      <c r="B25" s="17" t="s">
        <v>194</v>
      </c>
    </row>
    <row r="26" customFormat="false" ht="15" hidden="false" customHeight="false" outlineLevel="0" collapsed="false">
      <c r="B26" s="19" t="s">
        <v>195</v>
      </c>
      <c r="C26" s="32" t="s">
        <v>196</v>
      </c>
      <c r="D26" s="33"/>
    </row>
    <row r="27" customFormat="false" ht="15" hidden="false" customHeight="false" outlineLevel="0" collapsed="false">
      <c r="B27" s="19" t="s">
        <v>197</v>
      </c>
      <c r="C27" s="32" t="s">
        <v>198</v>
      </c>
      <c r="D27" s="33"/>
    </row>
    <row r="28" customFormat="false" ht="15" hidden="false" customHeight="false" outlineLevel="0" collapsed="false">
      <c r="B28" s="19" t="s">
        <v>199</v>
      </c>
      <c r="C28" s="32" t="s">
        <v>200</v>
      </c>
      <c r="D28" s="33"/>
    </row>
    <row r="29" customFormat="false" ht="15" hidden="false" customHeight="false" outlineLevel="0" collapsed="false">
      <c r="B29" s="19" t="s">
        <v>201</v>
      </c>
      <c r="C29" s="32" t="s">
        <v>202</v>
      </c>
      <c r="D29" s="33"/>
    </row>
    <row r="30" customFormat="false" ht="15" hidden="false" customHeight="false" outlineLevel="0" collapsed="false">
      <c r="B30" s="19" t="s">
        <v>203</v>
      </c>
      <c r="C30" s="32" t="s">
        <v>204</v>
      </c>
      <c r="D30" s="33"/>
    </row>
    <row r="31" customFormat="false" ht="15" hidden="false" customHeight="false" outlineLevel="0" collapsed="false">
      <c r="B31" s="19" t="s">
        <v>205</v>
      </c>
      <c r="C31" s="32" t="s">
        <v>206</v>
      </c>
      <c r="D31" s="33"/>
    </row>
    <row r="32" customFormat="false" ht="15" hidden="false" customHeight="false" outlineLevel="0" collapsed="false">
      <c r="B32" s="19" t="s">
        <v>207</v>
      </c>
      <c r="C32" s="32"/>
      <c r="D32" s="33"/>
    </row>
    <row r="33" customFormat="false" ht="15" hidden="false" customHeight="false" outlineLevel="0" collapsed="false">
      <c r="B33" s="19" t="s">
        <v>208</v>
      </c>
      <c r="C33" s="32"/>
      <c r="D33" s="33"/>
    </row>
    <row r="34" customFormat="false" ht="15" hidden="false" customHeight="false" outlineLevel="0" collapsed="false">
      <c r="B34" s="19" t="s">
        <v>209</v>
      </c>
      <c r="C34" s="32"/>
      <c r="D34" s="33"/>
    </row>
    <row r="35" customFormat="false" ht="15" hidden="false" customHeight="true" outlineLevel="0" collapsed="false">
      <c r="B35" s="19" t="s">
        <v>210</v>
      </c>
      <c r="C35" s="32"/>
      <c r="D35" s="33"/>
    </row>
    <row r="36" customFormat="false" ht="15" hidden="false" customHeight="true" outlineLevel="0" collapsed="false">
      <c r="B36" s="19" t="s">
        <v>211</v>
      </c>
      <c r="C36" s="32"/>
      <c r="D36" s="33"/>
    </row>
    <row r="37" customFormat="false" ht="15" hidden="false" customHeight="true" outlineLevel="0" collapsed="false">
      <c r="B37" s="19" t="s">
        <v>212</v>
      </c>
      <c r="C37" s="32"/>
      <c r="D37" s="33"/>
    </row>
    <row r="38" customFormat="false" ht="15" hidden="false" customHeight="true" outlineLevel="0" collapsed="false">
      <c r="B38" s="19" t="s">
        <v>213</v>
      </c>
      <c r="C38" s="32"/>
      <c r="D38" s="33"/>
    </row>
    <row r="39" customFormat="false" ht="15" hidden="false" customHeight="true" outlineLevel="0" collapsed="false">
      <c r="B39" s="19" t="s">
        <v>214</v>
      </c>
      <c r="C39" s="32"/>
      <c r="D39" s="33"/>
    </row>
    <row r="40" customFormat="false" ht="15" hidden="false" customHeight="true" outlineLevel="0" collapsed="false">
      <c r="B40" s="19" t="s">
        <v>215</v>
      </c>
      <c r="C40" s="32"/>
      <c r="D40" s="33"/>
    </row>
    <row r="41" customFormat="false" ht="15" hidden="false" customHeight="true" outlineLevel="0" collapsed="false">
      <c r="B41" s="19" t="s">
        <v>216</v>
      </c>
      <c r="C41" s="32"/>
      <c r="D41" s="33"/>
    </row>
    <row r="42" customFormat="false" ht="15" hidden="false" customHeight="true" outlineLevel="0" collapsed="false">
      <c r="B42" s="19" t="s">
        <v>217</v>
      </c>
      <c r="C42" s="32"/>
      <c r="D42" s="33"/>
    </row>
    <row r="43" customFormat="false" ht="15" hidden="false" customHeight="true" outlineLevel="0" collapsed="false">
      <c r="B43" s="19" t="s">
        <v>218</v>
      </c>
      <c r="C43" s="32"/>
      <c r="D43" s="33"/>
    </row>
    <row r="44" customFormat="false" ht="15" hidden="false" customHeight="true" outlineLevel="0" collapsed="false">
      <c r="B44" s="19" t="s">
        <v>219</v>
      </c>
      <c r="C44" s="32"/>
      <c r="D44" s="33"/>
    </row>
    <row r="45" customFormat="false" ht="15" hidden="false" customHeight="true" outlineLevel="0" collapsed="false">
      <c r="B45" s="19" t="s">
        <v>220</v>
      </c>
      <c r="C45" s="32"/>
      <c r="D45" s="33"/>
    </row>
    <row r="46" customFormat="false" ht="15" hidden="false" customHeight="true" outlineLevel="0" collapsed="false">
      <c r="B46" s="19" t="s">
        <v>221</v>
      </c>
      <c r="C46" s="32"/>
      <c r="D46" s="33"/>
    </row>
    <row r="47" customFormat="false" ht="15" hidden="false" customHeight="true" outlineLevel="0" collapsed="false">
      <c r="B47" s="19" t="s">
        <v>222</v>
      </c>
      <c r="C47" s="32"/>
      <c r="D47" s="33"/>
    </row>
    <row r="48" customFormat="false" ht="15" hidden="false" customHeight="true" outlineLevel="0" collapsed="false">
      <c r="B48" s="19" t="s">
        <v>223</v>
      </c>
      <c r="C48" s="32"/>
      <c r="D48" s="33"/>
    </row>
    <row r="49" customFormat="false" ht="15" hidden="false" customHeight="true" outlineLevel="0" collapsed="false">
      <c r="B49" s="19" t="s">
        <v>224</v>
      </c>
      <c r="C49" s="32"/>
      <c r="D49" s="33"/>
    </row>
    <row r="50" customFormat="false" ht="15" hidden="false" customHeight="true" outlineLevel="0" collapsed="false">
      <c r="B50" s="19" t="s">
        <v>225</v>
      </c>
      <c r="C50" s="32"/>
      <c r="D50" s="33"/>
    </row>
    <row r="51" customFormat="false" ht="15" hidden="false" customHeight="true" outlineLevel="0" collapsed="false">
      <c r="B51" s="19" t="s">
        <v>226</v>
      </c>
      <c r="C51" s="32"/>
      <c r="D51" s="33"/>
    </row>
    <row r="52" customFormat="false" ht="15" hidden="false" customHeight="true" outlineLevel="0" collapsed="false">
      <c r="B52" s="19" t="s">
        <v>227</v>
      </c>
      <c r="C52" s="32"/>
      <c r="D52" s="33"/>
    </row>
    <row r="53" customFormat="false" ht="15" hidden="false" customHeight="true" outlineLevel="0" collapsed="false">
      <c r="B53" s="19" t="s">
        <v>228</v>
      </c>
      <c r="C53" s="32"/>
      <c r="D53" s="33"/>
    </row>
    <row r="54" customFormat="false" ht="15" hidden="false" customHeight="true" outlineLevel="0" collapsed="false">
      <c r="B54" s="19" t="s">
        <v>229</v>
      </c>
      <c r="C54" s="32"/>
      <c r="D54" s="33"/>
    </row>
    <row r="55" customFormat="false" ht="15" hidden="false" customHeight="true" outlineLevel="0" collapsed="false">
      <c r="B55" s="19" t="s">
        <v>230</v>
      </c>
      <c r="C55" s="32"/>
      <c r="D55" s="33"/>
    </row>
    <row r="56" customFormat="false" ht="15" hidden="false" customHeight="true" outlineLevel="0" collapsed="false">
      <c r="B56" s="19" t="s">
        <v>231</v>
      </c>
      <c r="C56" s="32"/>
      <c r="D56" s="33"/>
    </row>
    <row r="57" customFormat="false" ht="15" hidden="false" customHeight="true" outlineLevel="0" collapsed="false">
      <c r="B57" s="19" t="s">
        <v>232</v>
      </c>
      <c r="C57" s="32"/>
      <c r="D57" s="33"/>
    </row>
    <row r="58" customFormat="false" ht="15" hidden="false" customHeight="true" outlineLevel="0" collapsed="false">
      <c r="B58" s="19" t="s">
        <v>233</v>
      </c>
      <c r="C58" s="32"/>
      <c r="D58" s="33"/>
    </row>
    <row r="59" customFormat="false" ht="15" hidden="false" customHeight="true" outlineLevel="0" collapsed="false">
      <c r="B59" s="19" t="s">
        <v>234</v>
      </c>
      <c r="C59" s="32"/>
      <c r="D59" s="33"/>
    </row>
    <row r="60" customFormat="false" ht="15" hidden="false" customHeight="true" outlineLevel="0" collapsed="false">
      <c r="B60" s="19" t="s">
        <v>235</v>
      </c>
      <c r="C60" s="32"/>
      <c r="D60" s="33"/>
    </row>
    <row r="61" customFormat="false" ht="15" hidden="false" customHeight="true" outlineLevel="0" collapsed="false">
      <c r="B61" s="19" t="s">
        <v>236</v>
      </c>
      <c r="C61" s="32"/>
      <c r="D61" s="33"/>
    </row>
    <row r="62" customFormat="false" ht="15" hidden="false" customHeight="true" outlineLevel="0" collapsed="false">
      <c r="B62" s="19" t="s">
        <v>237</v>
      </c>
      <c r="C62" s="32"/>
      <c r="D62" s="33"/>
    </row>
    <row r="63" customFormat="false" ht="15" hidden="false" customHeight="true" outlineLevel="0" collapsed="false">
      <c r="B63" s="19" t="s">
        <v>238</v>
      </c>
      <c r="C63" s="32"/>
      <c r="D63" s="33"/>
    </row>
    <row r="64" customFormat="false" ht="15" hidden="false" customHeight="true" outlineLevel="0" collapsed="false">
      <c r="B64" s="19" t="s">
        <v>239</v>
      </c>
      <c r="C64" s="32"/>
      <c r="D64" s="33"/>
    </row>
    <row r="65" customFormat="false" ht="15" hidden="false" customHeight="false" outlineLevel="0" collapsed="false">
      <c r="B65" s="19" t="s">
        <v>240</v>
      </c>
      <c r="C65" s="32"/>
      <c r="D65" s="33"/>
    </row>
    <row r="66" customFormat="false" ht="15" hidden="false" customHeight="false" outlineLevel="0" collapsed="false">
      <c r="B66" s="18" t="s">
        <v>241</v>
      </c>
      <c r="C66" s="18" t="s">
        <v>192</v>
      </c>
      <c r="D66" s="18" t="s">
        <v>193</v>
      </c>
    </row>
    <row r="67" customFormat="false" ht="15" hidden="false" customHeight="false" outlineLevel="0" collapsed="false">
      <c r="B67" s="17" t="s">
        <v>242</v>
      </c>
    </row>
    <row r="68" customFormat="false" ht="15" hidden="false" customHeight="false" outlineLevel="0" collapsed="false">
      <c r="B68" s="19" t="s">
        <v>243</v>
      </c>
      <c r="C68" s="32" t="s">
        <v>244</v>
      </c>
      <c r="D68" s="33"/>
    </row>
    <row r="69" customFormat="false" ht="15" hidden="false" customHeight="false" outlineLevel="0" collapsed="false">
      <c r="B69" s="19" t="s">
        <v>245</v>
      </c>
      <c r="C69" s="32" t="s">
        <v>246</v>
      </c>
      <c r="D69" s="33"/>
    </row>
    <row r="70" customFormat="false" ht="15" hidden="false" customHeight="false" outlineLevel="0" collapsed="false">
      <c r="B70" s="19" t="s">
        <v>247</v>
      </c>
      <c r="C70" s="32" t="s">
        <v>248</v>
      </c>
      <c r="D70" s="33"/>
    </row>
    <row r="71" customFormat="false" ht="15" hidden="false" customHeight="false" outlineLevel="0" collapsed="false">
      <c r="B71" s="19" t="s">
        <v>249</v>
      </c>
      <c r="C71" s="32" t="s">
        <v>250</v>
      </c>
      <c r="D71" s="33"/>
    </row>
    <row r="72" customFormat="false" ht="15" hidden="false" customHeight="false" outlineLevel="0" collapsed="false">
      <c r="B72" s="19" t="s">
        <v>251</v>
      </c>
      <c r="C72" s="32" t="s">
        <v>252</v>
      </c>
      <c r="D72" s="33"/>
    </row>
    <row r="73" customFormat="false" ht="15" hidden="false" customHeight="false" outlineLevel="0" collapsed="false">
      <c r="B73" s="19" t="s">
        <v>253</v>
      </c>
      <c r="C73" s="32" t="s">
        <v>254</v>
      </c>
      <c r="D73" s="33"/>
    </row>
    <row r="74" customFormat="false" ht="15" hidden="false" customHeight="false" outlineLevel="0" collapsed="false">
      <c r="B74" s="19" t="s">
        <v>255</v>
      </c>
      <c r="C74" s="32"/>
      <c r="D74" s="33"/>
    </row>
    <row r="75" customFormat="false" ht="15" hidden="false" customHeight="false" outlineLevel="0" collapsed="false">
      <c r="B75" s="19" t="s">
        <v>256</v>
      </c>
      <c r="C75" s="32"/>
      <c r="D75" s="33"/>
    </row>
    <row r="76" customFormat="false" ht="15" hidden="false" customHeight="false" outlineLevel="0" collapsed="false">
      <c r="B76" s="19" t="s">
        <v>257</v>
      </c>
      <c r="C76" s="32"/>
      <c r="D76" s="33"/>
    </row>
    <row r="77" customFormat="false" ht="15" hidden="false" customHeight="true" outlineLevel="0" collapsed="false">
      <c r="B77" s="19" t="s">
        <v>258</v>
      </c>
      <c r="C77" s="32"/>
      <c r="D77" s="33"/>
    </row>
    <row r="78" customFormat="false" ht="15" hidden="false" customHeight="true" outlineLevel="0" collapsed="false">
      <c r="B78" s="19" t="s">
        <v>259</v>
      </c>
      <c r="C78" s="32"/>
      <c r="D78" s="33"/>
    </row>
    <row r="79" customFormat="false" ht="15" hidden="false" customHeight="true" outlineLevel="0" collapsed="false">
      <c r="B79" s="19" t="s">
        <v>260</v>
      </c>
      <c r="C79" s="32"/>
      <c r="D79" s="33"/>
    </row>
    <row r="80" customFormat="false" ht="15" hidden="false" customHeight="true" outlineLevel="0" collapsed="false">
      <c r="B80" s="19" t="s">
        <v>261</v>
      </c>
      <c r="C80" s="32"/>
      <c r="D80" s="33"/>
    </row>
    <row r="81" customFormat="false" ht="15" hidden="false" customHeight="true" outlineLevel="0" collapsed="false">
      <c r="B81" s="19" t="s">
        <v>262</v>
      </c>
      <c r="C81" s="32"/>
      <c r="D81" s="33"/>
    </row>
    <row r="82" customFormat="false" ht="15" hidden="false" customHeight="true" outlineLevel="0" collapsed="false">
      <c r="B82" s="19" t="s">
        <v>263</v>
      </c>
      <c r="C82" s="32"/>
      <c r="D82" s="33"/>
    </row>
    <row r="83" customFormat="false" ht="15" hidden="false" customHeight="true" outlineLevel="0" collapsed="false">
      <c r="B83" s="19" t="s">
        <v>264</v>
      </c>
      <c r="C83" s="32"/>
      <c r="D83" s="33"/>
    </row>
    <row r="84" customFormat="false" ht="15" hidden="false" customHeight="true" outlineLevel="0" collapsed="false">
      <c r="B84" s="19" t="s">
        <v>265</v>
      </c>
      <c r="C84" s="32"/>
      <c r="D84" s="33"/>
    </row>
    <row r="85" customFormat="false" ht="15" hidden="false" customHeight="true" outlineLevel="0" collapsed="false">
      <c r="B85" s="19" t="s">
        <v>266</v>
      </c>
      <c r="C85" s="32"/>
      <c r="D85" s="33"/>
    </row>
    <row r="86" customFormat="false" ht="15" hidden="false" customHeight="true" outlineLevel="0" collapsed="false">
      <c r="B86" s="19" t="s">
        <v>267</v>
      </c>
      <c r="C86" s="32"/>
      <c r="D86" s="33"/>
    </row>
    <row r="87" customFormat="false" ht="15" hidden="false" customHeight="true" outlineLevel="0" collapsed="false">
      <c r="B87" s="19" t="s">
        <v>268</v>
      </c>
      <c r="C87" s="32"/>
      <c r="D87" s="33"/>
    </row>
    <row r="88" customFormat="false" ht="15" hidden="false" customHeight="true" outlineLevel="0" collapsed="false">
      <c r="B88" s="19" t="s">
        <v>269</v>
      </c>
      <c r="C88" s="32"/>
      <c r="D88" s="33"/>
    </row>
    <row r="89" customFormat="false" ht="15" hidden="false" customHeight="true" outlineLevel="0" collapsed="false">
      <c r="B89" s="19" t="s">
        <v>270</v>
      </c>
      <c r="C89" s="32"/>
      <c r="D89" s="33"/>
    </row>
    <row r="90" customFormat="false" ht="15" hidden="false" customHeight="true" outlineLevel="0" collapsed="false">
      <c r="B90" s="19" t="s">
        <v>271</v>
      </c>
      <c r="C90" s="32"/>
      <c r="D90" s="33"/>
    </row>
    <row r="91" customFormat="false" ht="15" hidden="false" customHeight="true" outlineLevel="0" collapsed="false">
      <c r="B91" s="19" t="s">
        <v>272</v>
      </c>
      <c r="C91" s="32"/>
      <c r="D91" s="33"/>
    </row>
    <row r="92" customFormat="false" ht="15" hidden="false" customHeight="true" outlineLevel="0" collapsed="false">
      <c r="B92" s="19" t="s">
        <v>273</v>
      </c>
      <c r="C92" s="32"/>
      <c r="D92" s="33"/>
    </row>
    <row r="93" customFormat="false" ht="15" hidden="false" customHeight="true" outlineLevel="0" collapsed="false">
      <c r="B93" s="19" t="s">
        <v>274</v>
      </c>
      <c r="C93" s="32"/>
      <c r="D93" s="33"/>
    </row>
    <row r="94" customFormat="false" ht="15" hidden="false" customHeight="true" outlineLevel="0" collapsed="false">
      <c r="B94" s="19" t="s">
        <v>275</v>
      </c>
      <c r="C94" s="32"/>
      <c r="D94" s="33"/>
    </row>
    <row r="95" customFormat="false" ht="15" hidden="false" customHeight="true" outlineLevel="0" collapsed="false">
      <c r="B95" s="19" t="s">
        <v>276</v>
      </c>
      <c r="C95" s="32"/>
      <c r="D95" s="33"/>
    </row>
    <row r="96" customFormat="false" ht="15" hidden="false" customHeight="true" outlineLevel="0" collapsed="false">
      <c r="B96" s="19" t="s">
        <v>277</v>
      </c>
      <c r="C96" s="32"/>
      <c r="D96" s="33"/>
    </row>
    <row r="97" customFormat="false" ht="15" hidden="false" customHeight="true" outlineLevel="0" collapsed="false">
      <c r="B97" s="19" t="s">
        <v>278</v>
      </c>
      <c r="C97" s="32"/>
      <c r="D97" s="33"/>
    </row>
    <row r="98" customFormat="false" ht="15" hidden="false" customHeight="true" outlineLevel="0" collapsed="false">
      <c r="B98" s="19" t="s">
        <v>279</v>
      </c>
      <c r="C98" s="32"/>
      <c r="D98" s="33"/>
    </row>
    <row r="99" customFormat="false" ht="15" hidden="false" customHeight="true" outlineLevel="0" collapsed="false">
      <c r="B99" s="19" t="s">
        <v>280</v>
      </c>
      <c r="C99" s="32"/>
      <c r="D99" s="33"/>
    </row>
    <row r="100" customFormat="false" ht="15" hidden="false" customHeight="true" outlineLevel="0" collapsed="false">
      <c r="B100" s="19" t="s">
        <v>281</v>
      </c>
      <c r="C100" s="32"/>
      <c r="D100" s="33"/>
    </row>
    <row r="101" customFormat="false" ht="15" hidden="false" customHeight="true" outlineLevel="0" collapsed="false">
      <c r="B101" s="19" t="s">
        <v>282</v>
      </c>
      <c r="C101" s="32"/>
      <c r="D101" s="33"/>
    </row>
    <row r="102" customFormat="false" ht="15" hidden="false" customHeight="true" outlineLevel="0" collapsed="false">
      <c r="B102" s="19" t="s">
        <v>283</v>
      </c>
      <c r="C102" s="32"/>
      <c r="D102" s="33"/>
    </row>
    <row r="103" customFormat="false" ht="15" hidden="false" customHeight="true" outlineLevel="0" collapsed="false">
      <c r="B103" s="19" t="s">
        <v>284</v>
      </c>
      <c r="C103" s="32"/>
      <c r="D103" s="33"/>
    </row>
    <row r="104" customFormat="false" ht="15" hidden="false" customHeight="true" outlineLevel="0" collapsed="false">
      <c r="B104" s="19" t="s">
        <v>285</v>
      </c>
      <c r="C104" s="32"/>
      <c r="D104" s="33"/>
    </row>
    <row r="105" customFormat="false" ht="15" hidden="false" customHeight="true" outlineLevel="0" collapsed="false">
      <c r="B105" s="19" t="s">
        <v>286</v>
      </c>
      <c r="C105" s="32"/>
      <c r="D105" s="33"/>
    </row>
    <row r="106" customFormat="false" ht="15" hidden="false" customHeight="true" outlineLevel="0" collapsed="false">
      <c r="B106" s="19" t="s">
        <v>287</v>
      </c>
      <c r="C106" s="32"/>
      <c r="D106" s="33"/>
    </row>
    <row r="107" customFormat="false" ht="15" hidden="false" customHeight="false" outlineLevel="0" collapsed="false">
      <c r="B107" s="19" t="s">
        <v>288</v>
      </c>
      <c r="C107" s="32"/>
      <c r="D107" s="33"/>
    </row>
    <row r="109" customFormat="false" ht="15" hidden="false" customHeight="false" outlineLevel="0" collapsed="false">
      <c r="B109" s="34" t="s">
        <v>289</v>
      </c>
    </row>
    <row r="110" customFormat="false" ht="15" hidden="false" customHeight="false" outlineLevel="0" collapsed="false">
      <c r="B110" s="35" t="s">
        <v>290</v>
      </c>
      <c r="C110" s="36" t="n">
        <f aca="false">MIN(C10,IF(COUNT('แผนงาน Schedule'!$I$7:$I$156)&gt;0,MIN('แผนงาน Schedule'!$I$7:$I$156),C10),IF(COUNT('แผนงาน Schedule'!$L$7:$L$156)&gt;0,MIN('แผนงาน Schedule'!$L$7:$L$156),C10),IF(COUNT('แผนงาน Schedule'!$N$7:$N$156)&gt;0,MIN('แผนงาน Schedule'!$N$7:$N$156),C10))</f>
        <v>46174</v>
      </c>
    </row>
    <row r="111" customFormat="false" ht="15" hidden="false" customHeight="false" outlineLevel="0" collapsed="false">
      <c r="B111" s="35" t="s">
        <v>291</v>
      </c>
      <c r="C111" s="36" t="n">
        <f aca="false">MAX(C14,C15,MAX('แผนงาน Schedule'!$J$7:$J$156),MAX('แผนงาน Schedule'!$M$7:$M$156),MAX('แผนงาน Schedule'!$O$7:$O$156),MAX('แผนงาน Schedule'!$W$7:$W$156))</f>
        <v>46481</v>
      </c>
    </row>
  </sheetData>
  <sheetProtection sheet="true" formatCells="false" formatColumns="false" formatRows="false"/>
  <dataValidations count="1">
    <dataValidation allowBlank="false" errorStyle="stop" operator="between" showDropDown="false" showErrorMessage="false" showInputMessage="false" sqref="C16" type="list">
      <formula1>"ทุก 10 วัน / 10-day,รายสัปดาห์ / Weekly,รายเดือน / Monthly"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26"/>
    <col collapsed="false" customWidth="true" hidden="false" outlineLevel="0" max="4" min="4" style="1" width="48"/>
    <col collapsed="false" customWidth="true" hidden="false" outlineLevel="0" max="5" min="5" style="1" width="2"/>
  </cols>
  <sheetData>
    <row r="1" customFormat="false" ht="20.1" hidden="false" customHeight="false" outlineLevel="0" collapsed="false">
      <c r="B1" s="2" t="s">
        <v>292</v>
      </c>
    </row>
    <row r="2" customFormat="false" ht="15" hidden="false" customHeight="false" outlineLevel="0" collapsed="false">
      <c r="B2" s="17" t="s">
        <v>293</v>
      </c>
    </row>
    <row r="3" customFormat="false" ht="15" hidden="false" customHeight="false" outlineLevel="0" collapsed="false">
      <c r="B3" s="18" t="s">
        <v>294</v>
      </c>
      <c r="C3" s="18" t="s">
        <v>157</v>
      </c>
      <c r="D3" s="18" t="s">
        <v>295</v>
      </c>
    </row>
    <row r="4" customFormat="false" ht="15" hidden="false" customHeight="false" outlineLevel="0" collapsed="false">
      <c r="B4" s="19" t="s">
        <v>296</v>
      </c>
      <c r="C4" s="37" t="str">
        <f aca="false">'ตั้งค่า Setup'!C4</f>
        <v>โครงการตัวอย่าง: ก่อสร้างอาคารพร้อมงานภายนอก</v>
      </c>
      <c r="D4" s="38"/>
    </row>
    <row r="5" customFormat="false" ht="15" hidden="false" customHeight="false" outlineLevel="0" collapsed="false">
      <c r="B5" s="19" t="s">
        <v>297</v>
      </c>
      <c r="C5" s="28" t="n">
        <f aca="false">'ตั้งค่า Setup'!$C$15</f>
        <v>46293</v>
      </c>
      <c r="D5" s="38"/>
    </row>
    <row r="6" customFormat="false" ht="15" hidden="false" customHeight="false" outlineLevel="0" collapsed="false">
      <c r="B6" s="19" t="s">
        <v>298</v>
      </c>
      <c r="C6" s="37" t="str">
        <f aca="false">IF(COUNT('แผนงาน Schedule'!$P$7:$P$156)&gt;0,"ชีตแผนงาน (รายรายการ)","ชีต S-Curve (ค่าสะสมล่าสุด)")</f>
        <v>ชีตแผนงาน (รายรายการ)</v>
      </c>
      <c r="D6" s="39" t="s">
        <v>299</v>
      </c>
    </row>
    <row r="7" customFormat="false" ht="15" hidden="false" customHeight="false" outlineLevel="0" collapsed="false">
      <c r="B7" s="19" t="s">
        <v>300</v>
      </c>
      <c r="C7" s="28" t="n">
        <f aca="false">IF(COUNT('แผนงาน Schedule'!$P$7:$P$156)&gt;0,'ตั้งค่า Setup'!$C$15,IFERROR(INDEX('S-Curve'!$C$7:$C$86,MATCH(9.99E+307,'S-Curve'!$F$7:$F$86)),'ตั้งค่า Setup'!$C$15))</f>
        <v>46293</v>
      </c>
      <c r="D7" s="39" t="s">
        <v>301</v>
      </c>
    </row>
    <row r="8" customFormat="false" ht="15" hidden="false" customHeight="false" outlineLevel="0" collapsed="false">
      <c r="B8" s="18" t="s">
        <v>302</v>
      </c>
      <c r="C8" s="18" t="s">
        <v>157</v>
      </c>
      <c r="D8" s="18" t="s">
        <v>295</v>
      </c>
    </row>
    <row r="9" customFormat="false" ht="15" hidden="false" customHeight="false" outlineLevel="0" collapsed="false">
      <c r="B9" s="19" t="s">
        <v>303</v>
      </c>
      <c r="C9" s="28" t="n">
        <f aca="false">'ตั้งค่า Setup'!$C$10</f>
        <v>46174</v>
      </c>
      <c r="D9" s="39"/>
    </row>
    <row r="10" customFormat="false" ht="15" hidden="false" customHeight="false" outlineLevel="0" collapsed="false">
      <c r="B10" s="19" t="s">
        <v>304</v>
      </c>
      <c r="C10" s="28" t="n">
        <f aca="false">'ตั้งค่า Setup'!C12</f>
        <v>46473</v>
      </c>
      <c r="D10" s="39"/>
    </row>
    <row r="11" customFormat="false" ht="15" hidden="false" customHeight="false" outlineLevel="0" collapsed="false">
      <c r="B11" s="19" t="s">
        <v>305</v>
      </c>
      <c r="C11" s="27" t="n">
        <f aca="false">'ตั้งค่า Setup'!C13</f>
        <v>8</v>
      </c>
      <c r="D11" s="39" t="s">
        <v>306</v>
      </c>
    </row>
    <row r="12" customFormat="false" ht="15" hidden="false" customHeight="false" outlineLevel="0" collapsed="false">
      <c r="B12" s="19" t="s">
        <v>175</v>
      </c>
      <c r="C12" s="28" t="n">
        <f aca="false">'ตั้งค่า Setup'!$C$14</f>
        <v>46481</v>
      </c>
      <c r="D12" s="39"/>
    </row>
    <row r="13" customFormat="false" ht="15" hidden="false" customHeight="false" outlineLevel="0" collapsed="false">
      <c r="B13" s="19" t="s">
        <v>307</v>
      </c>
      <c r="C13" s="27" t="n">
        <f aca="false">'ตั้งค่า Setup'!$C$15-'ตั้งค่า Setup'!$C$10+1</f>
        <v>120</v>
      </c>
      <c r="D13" s="39" t="s">
        <v>308</v>
      </c>
    </row>
    <row r="14" customFormat="false" ht="15" hidden="false" customHeight="false" outlineLevel="0" collapsed="false">
      <c r="B14" s="40" t="s">
        <v>309</v>
      </c>
      <c r="C14" s="41" t="n">
        <f aca="false">IFERROR(C13/(C12-C9+1),0)</f>
        <v>0.38961038961039</v>
      </c>
      <c r="D14" s="39" t="s">
        <v>310</v>
      </c>
    </row>
    <row r="15" customFormat="false" ht="15" hidden="false" customHeight="false" outlineLevel="0" collapsed="false">
      <c r="B15" s="19" t="s">
        <v>311</v>
      </c>
      <c r="C15" s="42" t="n">
        <f aca="false">C12-C5</f>
        <v>188</v>
      </c>
      <c r="D15" s="39" t="s">
        <v>312</v>
      </c>
    </row>
    <row r="16" customFormat="false" ht="15" hidden="false" customHeight="false" outlineLevel="0" collapsed="false">
      <c r="B16" s="40" t="s">
        <v>313</v>
      </c>
      <c r="C16" s="41" t="n">
        <f aca="false">SUMPRODUCT('แผนงาน Schedule'!$G$7:$G$156,('แผนงาน Schedule'!$J$7:$J$156&lt;=C7)+('แผนงาน Schedule'!$I$7:$I$156&lt;=C7)*('แผนงาน Schedule'!$J$7:$J$156&gt;C7)*(C7-'แผนงาน Schedule'!$I$7:$I$156+1)/('แผนงาน Schedule'!$J$7:$J$156-'แผนงาน Schedule'!$I$7:$I$156+1))</f>
        <v>0.253650514082705</v>
      </c>
      <c r="D16" s="39" t="s">
        <v>314</v>
      </c>
    </row>
    <row r="17" customFormat="false" ht="15" hidden="false" customHeight="false" outlineLevel="0" collapsed="false">
      <c r="B17" s="40" t="s">
        <v>315</v>
      </c>
      <c r="C17" s="41" t="n">
        <f aca="false">IF(C63,SUMPRODUCT('แผนงาน Schedule'!$G$7:$G$156,('แผนงาน Schedule'!$AB$7:$AB$156&lt;=C7)+('แผนงาน Schedule'!$AA$7:$AA$156&lt;=C7)*('แผนงาน Schedule'!$AB$7:$AB$156&gt;C7)*(C7-'แผนงาน Schedule'!$AA$7:$AA$156+1)/('แผนงาน Schedule'!$AB$7:$AB$156-'แผนงาน Schedule'!$AA$7:$AA$156+1)),C16)</f>
        <v>0.253650514082705</v>
      </c>
      <c r="D17" s="39" t="s">
        <v>316</v>
      </c>
    </row>
    <row r="18" customFormat="false" ht="15" hidden="false" customHeight="false" outlineLevel="0" collapsed="false">
      <c r="B18" s="19" t="s">
        <v>317</v>
      </c>
      <c r="C18" s="43" t="n">
        <f aca="false">C19-C17</f>
        <v>-0.065840596727333</v>
      </c>
      <c r="D18" s="39" t="s">
        <v>318</v>
      </c>
    </row>
    <row r="19" customFormat="false" ht="15" hidden="false" customHeight="false" outlineLevel="0" collapsed="false">
      <c r="B19" s="40" t="s">
        <v>319</v>
      </c>
      <c r="C19" s="41" t="n">
        <f aca="false">IF(COUNT('แผนงาน Schedule'!$P$7:$P$156)&gt;0,'แผนงาน Schedule'!$P$157,IFERROR(INDEX('S-Curve'!$F$7:$F$86,MATCH(9.99E+307,'S-Curve'!$F$7:$F$86)),0))</f>
        <v>0.187809917355372</v>
      </c>
      <c r="D19" s="39"/>
    </row>
    <row r="20" customFormat="false" ht="15" hidden="false" customHeight="false" outlineLevel="0" collapsed="false">
      <c r="B20" s="19" t="s">
        <v>320</v>
      </c>
      <c r="C20" s="43" t="n">
        <f aca="false">C19-C16</f>
        <v>-0.065840596727333</v>
      </c>
      <c r="D20" s="39" t="s">
        <v>321</v>
      </c>
    </row>
    <row r="21" customFormat="false" ht="15" hidden="false" customHeight="false" outlineLevel="0" collapsed="false">
      <c r="B21" s="19" t="s">
        <v>322</v>
      </c>
      <c r="C21" s="42" t="n">
        <f aca="false">C20*C69</f>
        <v>-19.7521790181999</v>
      </c>
      <c r="D21" s="39" t="s">
        <v>323</v>
      </c>
    </row>
    <row r="22" customFormat="false" ht="15" hidden="false" customHeight="false" outlineLevel="0" collapsed="false">
      <c r="B22" s="40" t="s">
        <v>324</v>
      </c>
      <c r="C22" s="44" t="n">
        <f aca="false">IFERROR(C37/C36,0)</f>
        <v>0.740427899523732</v>
      </c>
      <c r="D22" s="38" t="s">
        <v>325</v>
      </c>
    </row>
    <row r="23" customFormat="false" ht="15" hidden="false" customHeight="false" outlineLevel="0" collapsed="false">
      <c r="B23" s="40" t="s">
        <v>326</v>
      </c>
      <c r="C23" s="45" t="n">
        <f aca="false">C68</f>
        <v>101.623004201683</v>
      </c>
      <c r="D23" s="39" t="s">
        <v>327</v>
      </c>
    </row>
    <row r="24" customFormat="false" ht="15" hidden="false" customHeight="false" outlineLevel="0" collapsed="false">
      <c r="B24" s="40" t="s">
        <v>328</v>
      </c>
      <c r="C24" s="27" t="n">
        <f aca="false">C7-C9+1</f>
        <v>120</v>
      </c>
      <c r="D24" s="39" t="s">
        <v>329</v>
      </c>
    </row>
    <row r="25" customFormat="false" ht="15" hidden="false" customHeight="false" outlineLevel="0" collapsed="false">
      <c r="B25" s="40" t="s">
        <v>330</v>
      </c>
      <c r="C25" s="46" t="n">
        <f aca="false">C23-C24</f>
        <v>-18.3769957983168</v>
      </c>
      <c r="D25" s="39" t="s">
        <v>331</v>
      </c>
    </row>
    <row r="26" customFormat="false" ht="15" hidden="false" customHeight="false" outlineLevel="0" collapsed="false">
      <c r="B26" s="40" t="s">
        <v>332</v>
      </c>
      <c r="C26" s="44" t="n">
        <f aca="false">IFERROR(C23/C24,0)</f>
        <v>0.84685836834736</v>
      </c>
      <c r="D26" s="38" t="s">
        <v>333</v>
      </c>
    </row>
    <row r="27" customFormat="false" ht="15" hidden="false" customHeight="false" outlineLevel="0" collapsed="false">
      <c r="B27" s="19" t="s">
        <v>334</v>
      </c>
      <c r="C27" s="28" t="n">
        <f aca="false">IF(C19&gt;=1,C7,IF(COUNT('แผนงาน Schedule'!$P$7:$P$156)&gt;0,MAX('แผนงาน Schedule'!$W$7:$W$156),IFERROR(C9+ROUND(C69/C26,0)-1,"-")))</f>
        <v>46473</v>
      </c>
      <c r="D27" s="39" t="s">
        <v>335</v>
      </c>
    </row>
    <row r="28" customFormat="false" ht="15" hidden="false" customHeight="false" outlineLevel="0" collapsed="false">
      <c r="B28" s="19" t="s">
        <v>336</v>
      </c>
      <c r="C28" s="42" t="n">
        <f aca="false">IFERROR(MAX(0,C27-C12),"-")</f>
        <v>0</v>
      </c>
      <c r="D28" s="39" t="s">
        <v>337</v>
      </c>
    </row>
    <row r="29" customFormat="false" ht="15" hidden="false" customHeight="false" outlineLevel="0" collapsed="false">
      <c r="B29" s="19" t="s">
        <v>338</v>
      </c>
      <c r="C29" s="47" t="n">
        <f aca="false">IFERROR(C19/C24,0)</f>
        <v>0.0015650826446281</v>
      </c>
      <c r="D29" s="39"/>
    </row>
    <row r="30" customFormat="false" ht="15" hidden="false" customHeight="false" outlineLevel="0" collapsed="false">
      <c r="B30" s="19" t="s">
        <v>339</v>
      </c>
      <c r="C30" s="47" t="n">
        <f aca="false">IF(C19&gt;=1,0,IF(C12-C7&gt;0,(1-C19)/(C12-C7),"เลยกำหนดแล้ว"))</f>
        <v>0.00432016001406717</v>
      </c>
      <c r="D30" s="39" t="s">
        <v>340</v>
      </c>
    </row>
    <row r="31" customFormat="false" ht="15" hidden="false" customHeight="false" outlineLevel="0" collapsed="false">
      <c r="B31" s="19" t="s">
        <v>341</v>
      </c>
      <c r="C31" s="48" t="n">
        <f aca="false">IFERROR(C30/C29,"-")</f>
        <v>2.76033986377361</v>
      </c>
      <c r="D31" s="39" t="s">
        <v>342</v>
      </c>
    </row>
    <row r="32" customFormat="false" ht="15" hidden="false" customHeight="false" outlineLevel="0" collapsed="false">
      <c r="B32" s="19" t="s">
        <v>343</v>
      </c>
      <c r="C32" s="37" t="str">
        <f aca="false">IF(C19&gt;=1,"แล้วเสร็จ / Completed",IF(C22&gt;=1,"ตามแผน / On Track",IF(C22&gt;=0.9,"เฝ้าระวัง / At Risk","ล่าช้ามาก / Critical Delay")))</f>
        <v>ล่าช้ามาก / Critical Delay</v>
      </c>
      <c r="D32" s="39"/>
    </row>
    <row r="33" customFormat="false" ht="15" hidden="false" customHeight="false" outlineLevel="0" collapsed="false">
      <c r="B33" s="19" t="s">
        <v>344</v>
      </c>
      <c r="C33" s="27" t="n">
        <f aca="false">COUNTIF('แผนงาน Schedule'!$Y$7:$Y$156,"*ล่าช้า*")+COUNTIF('แผนงาน Schedule'!$Y$7:$Y$156,"*เกินกำหนด*")</f>
        <v>5</v>
      </c>
      <c r="D33" s="39" t="s">
        <v>345</v>
      </c>
    </row>
    <row r="34" customFormat="false" ht="15" hidden="false" customHeight="false" outlineLevel="0" collapsed="false">
      <c r="B34" s="18" t="s">
        <v>346</v>
      </c>
      <c r="C34" s="18" t="s">
        <v>157</v>
      </c>
      <c r="D34" s="18" t="s">
        <v>295</v>
      </c>
    </row>
    <row r="35" customFormat="false" ht="15" hidden="false" customHeight="false" outlineLevel="0" collapsed="false">
      <c r="B35" s="40" t="s">
        <v>347</v>
      </c>
      <c r="C35" s="49" t="n">
        <f aca="false">'ตั้งค่า Setup'!$C$9</f>
        <v>24200000</v>
      </c>
      <c r="D35" s="39" t="s">
        <v>348</v>
      </c>
    </row>
    <row r="36" customFormat="false" ht="15" hidden="false" customHeight="false" outlineLevel="0" collapsed="false">
      <c r="B36" s="40" t="s">
        <v>349</v>
      </c>
      <c r="C36" s="49" t="n">
        <f aca="false">C16*C35</f>
        <v>6138342.44080146</v>
      </c>
      <c r="D36" s="39"/>
    </row>
    <row r="37" customFormat="false" ht="15" hidden="false" customHeight="false" outlineLevel="0" collapsed="false">
      <c r="B37" s="40" t="s">
        <v>350</v>
      </c>
      <c r="C37" s="49" t="n">
        <f aca="false">C19*C35</f>
        <v>4545000</v>
      </c>
      <c r="D37" s="39"/>
    </row>
    <row r="38" customFormat="false" ht="15" hidden="false" customHeight="false" outlineLevel="0" collapsed="false">
      <c r="B38" s="40" t="s">
        <v>351</v>
      </c>
      <c r="C38" s="49" t="n">
        <f aca="false">SUMIFS('S-Curve'!$K$7:$K$86,'S-Curve'!$C$7:$C$86,"&lt;="&amp;C7)</f>
        <v>4634800</v>
      </c>
      <c r="D38" s="39" t="s">
        <v>352</v>
      </c>
    </row>
    <row r="39" customFormat="false" ht="15" hidden="false" customHeight="false" outlineLevel="0" collapsed="false">
      <c r="B39" s="40" t="s">
        <v>353</v>
      </c>
      <c r="C39" s="49" t="n">
        <f aca="false">C37-C36</f>
        <v>-1593342.44080146</v>
      </c>
      <c r="D39" s="38" t="s">
        <v>354</v>
      </c>
    </row>
    <row r="40" customFormat="false" ht="15" hidden="false" customHeight="false" outlineLevel="0" collapsed="false">
      <c r="B40" s="40" t="s">
        <v>355</v>
      </c>
      <c r="C40" s="49" t="n">
        <f aca="false">IF(C38&gt;0,C37-C38,"-")</f>
        <v>-89800</v>
      </c>
      <c r="D40" s="38" t="s">
        <v>356</v>
      </c>
    </row>
    <row r="41" customFormat="false" ht="15" hidden="false" customHeight="false" outlineLevel="0" collapsed="false">
      <c r="B41" s="40" t="s">
        <v>357</v>
      </c>
      <c r="C41" s="44" t="n">
        <f aca="false">IF(C38&gt;0,C37/C38,"-")</f>
        <v>0.98062483818072</v>
      </c>
      <c r="D41" s="38" t="s">
        <v>358</v>
      </c>
    </row>
    <row r="42" customFormat="false" ht="15" hidden="false" customHeight="false" outlineLevel="0" collapsed="false">
      <c r="B42" s="40" t="s">
        <v>359</v>
      </c>
      <c r="C42" s="49" t="n">
        <f aca="false">IF(C38&gt;0,C35/C41,"-")</f>
        <v>24678143.0143014</v>
      </c>
      <c r="D42" s="38" t="s">
        <v>360</v>
      </c>
    </row>
    <row r="43" customFormat="false" ht="15" hidden="false" customHeight="false" outlineLevel="0" collapsed="false">
      <c r="B43" s="40" t="s">
        <v>361</v>
      </c>
      <c r="C43" s="49" t="n">
        <f aca="false">IF(C38&gt;0,C42-C38,"-")</f>
        <v>20043343.0143014</v>
      </c>
      <c r="D43" s="38" t="s">
        <v>362</v>
      </c>
    </row>
    <row r="44" customFormat="false" ht="15" hidden="false" customHeight="false" outlineLevel="0" collapsed="false">
      <c r="B44" s="40" t="s">
        <v>363</v>
      </c>
      <c r="C44" s="49" t="n">
        <f aca="false">IF(C38&gt;0,C35-C42,"-")</f>
        <v>-478143.01430143</v>
      </c>
      <c r="D44" s="38" t="s">
        <v>364</v>
      </c>
    </row>
    <row r="45" customFormat="false" ht="15" hidden="false" customHeight="false" outlineLevel="0" collapsed="false">
      <c r="B45" s="40" t="s">
        <v>365</v>
      </c>
      <c r="C45" s="44" t="n">
        <f aca="false">IF(C38&gt;0,IFERROR((C35-C37)/(C35-C38),"-"),"-")</f>
        <v>1.00458978185758</v>
      </c>
      <c r="D45" s="38" t="s">
        <v>366</v>
      </c>
    </row>
    <row r="46" customFormat="false" ht="15" hidden="false" customHeight="false" outlineLevel="0" collapsed="false">
      <c r="B46" s="19" t="s">
        <v>367</v>
      </c>
      <c r="C46" s="49" t="n">
        <f aca="false">SUMIFS('S-Curve'!$M$7:$M$86,'S-Curve'!$C$7:$C$86,"&lt;="&amp;C5)</f>
        <v>2820800</v>
      </c>
      <c r="D46" s="39"/>
    </row>
    <row r="47" customFormat="false" ht="15" hidden="false" customHeight="false" outlineLevel="0" collapsed="false">
      <c r="B47" s="40" t="s">
        <v>368</v>
      </c>
      <c r="C47" s="41" t="n">
        <f aca="false">IFERROR(C46/C35,0)</f>
        <v>0.116561983471074</v>
      </c>
      <c r="D47" s="39"/>
    </row>
    <row r="48" customFormat="false" ht="15" hidden="false" customHeight="false" outlineLevel="0" collapsed="false">
      <c r="B48" s="18" t="s">
        <v>369</v>
      </c>
      <c r="C48" s="18" t="s">
        <v>157</v>
      </c>
      <c r="D48" s="18" t="s">
        <v>295</v>
      </c>
    </row>
    <row r="49" customFormat="false" ht="15" hidden="false" customHeight="false" outlineLevel="0" collapsed="false">
      <c r="B49" s="19" t="s">
        <v>370</v>
      </c>
      <c r="C49" s="27" t="n">
        <f aca="false">SUM('ขยายเวลา EOT'!$F$8:$F$57)</f>
        <v>17</v>
      </c>
      <c r="D49" s="39"/>
    </row>
    <row r="50" customFormat="false" ht="15" hidden="false" customHeight="false" outlineLevel="0" collapsed="false">
      <c r="B50" s="19" t="s">
        <v>371</v>
      </c>
      <c r="C50" s="27" t="n">
        <f aca="false">SUM('ขยายเวลา EOT'!$J$8:$J$57)</f>
        <v>8</v>
      </c>
      <c r="D50" s="39"/>
    </row>
    <row r="51" customFormat="false" ht="15" hidden="false" customHeight="false" outlineLevel="0" collapsed="false">
      <c r="B51" s="19" t="s">
        <v>372</v>
      </c>
      <c r="C51" s="27" t="n">
        <f aca="false">SUMIF('ขยายเวลา EOT'!$I$8:$I$57,"รอพิจารณา / Pending",'ขยายเวลา EOT'!$F$8:$F$57)</f>
        <v>7</v>
      </c>
      <c r="D51" s="39"/>
    </row>
    <row r="52" customFormat="false" ht="15" hidden="false" customHeight="false" outlineLevel="0" collapsed="false">
      <c r="B52" s="19" t="s">
        <v>373</v>
      </c>
      <c r="C52" s="49" t="n">
        <f aca="false">MAX('ตั้งค่า Setup'!C18,'ตั้งค่า Setup'!C17*C35)</f>
        <v>24200</v>
      </c>
      <c r="D52" s="38" t="s">
        <v>374</v>
      </c>
    </row>
    <row r="53" customFormat="false" ht="15" hidden="false" customHeight="false" outlineLevel="0" collapsed="false">
      <c r="B53" s="19" t="s">
        <v>375</v>
      </c>
      <c r="C53" s="27" t="n">
        <f aca="false">MAX(0,C5-C12)</f>
        <v>0</v>
      </c>
      <c r="D53" s="39"/>
    </row>
    <row r="54" customFormat="false" ht="15" hidden="false" customHeight="false" outlineLevel="0" collapsed="false">
      <c r="B54" s="19" t="s">
        <v>376</v>
      </c>
      <c r="C54" s="49" t="n">
        <f aca="false">C53*C52</f>
        <v>0</v>
      </c>
      <c r="D54" s="39"/>
    </row>
    <row r="55" customFormat="false" ht="15" hidden="false" customHeight="false" outlineLevel="0" collapsed="false">
      <c r="B55" s="19" t="s">
        <v>377</v>
      </c>
      <c r="C55" s="49" t="n">
        <f aca="false">IFERROR(C28*C52,0)</f>
        <v>0</v>
      </c>
      <c r="D55" s="39" t="s">
        <v>378</v>
      </c>
    </row>
    <row r="56" customFormat="false" ht="15" hidden="false" customHeight="false" outlineLevel="0" collapsed="false">
      <c r="B56" s="19" t="s">
        <v>379</v>
      </c>
      <c r="C56" s="41" t="n">
        <f aca="false">IFERROR(C55/C35,0)</f>
        <v>0</v>
      </c>
      <c r="D56" s="39"/>
    </row>
    <row r="57" customFormat="false" ht="30" hidden="false" customHeight="true" outlineLevel="0" collapsed="false">
      <c r="B57" s="19" t="s">
        <v>380</v>
      </c>
      <c r="C57" s="50" t="str">
        <f aca="false">IF(C56&gt;'ตั้งค่า Setup'!C19,"⚠ เกินเกณฑ์ "&amp;TEXT('ตั้งค่า Setup'!C19,"0%")&amp;" – ความเสี่ยงถูกบอกเลิกสัญญา",IF(C56&gt;0,"⚠ มีค่าปรับคาดการณ์","✓ ไม่มีค่าปรับคาดการณ์"))</f>
        <v>✓ ไม่มีค่าปรับคาดการณ์</v>
      </c>
      <c r="D57" s="39"/>
    </row>
    <row r="58" customFormat="false" ht="15" hidden="false" customHeight="false" outlineLevel="0" collapsed="false">
      <c r="B58" s="19" t="s">
        <v>381</v>
      </c>
      <c r="C58" s="37" t="str">
        <f aca="false">IF(ABS('แผนงาน Schedule'!$G$157-1)&lt;0.0001,"✓ ครบ 100%","⚠ น้ำหนักรวม = "&amp;TEXT('แผนงาน Schedule'!$G$157,"0.00%"))</f>
        <v>✓ ครบ 100%</v>
      </c>
      <c r="D58" s="39" t="s">
        <v>382</v>
      </c>
    </row>
    <row r="61" customFormat="false" ht="15" hidden="false" customHeight="false" outlineLevel="0" collapsed="false">
      <c r="B61" s="34" t="s">
        <v>383</v>
      </c>
    </row>
    <row r="62" customFormat="false" ht="15" hidden="false" customHeight="false" outlineLevel="0" collapsed="false">
      <c r="B62" s="51" t="s">
        <v>384</v>
      </c>
      <c r="C62" s="52" t="n">
        <f aca="false">COUNTIF('S-Curve'!$D$7:$D$86,"&lt;="&amp;C19)</f>
        <v>9</v>
      </c>
    </row>
    <row r="63" customFormat="false" ht="15" hidden="false" customHeight="false" outlineLevel="0" collapsed="false">
      <c r="B63" s="35" t="s">
        <v>385</v>
      </c>
      <c r="C63" s="52" t="b">
        <f aca="false">COUNT('แผนงาน Schedule'!$L$7:$L$156)+COUNT('แผนงาน Schedule'!$M$7:$M$156)&gt;0</f>
        <v>0</v>
      </c>
    </row>
    <row r="64" customFormat="false" ht="15" hidden="false" customHeight="false" outlineLevel="0" collapsed="false">
      <c r="B64" s="35" t="s">
        <v>386</v>
      </c>
      <c r="C64" s="52" t="n">
        <f aca="false">COUNT('S-Curve'!$D$7:$D$86)</f>
        <v>31</v>
      </c>
    </row>
    <row r="65" customFormat="false" ht="15" hidden="false" customHeight="false" outlineLevel="0" collapsed="false">
      <c r="B65" s="35" t="s">
        <v>387</v>
      </c>
      <c r="C65" s="36" t="n">
        <f aca="false">IF(C62=0,'ตั้งค่า Setup'!$C$110-1+IFERROR(C19/INDEX('S-Curve'!$D$7:$D$86,1),0)*(INDEX('S-Curve'!$C$7:$C$86,1)-'ตั้งค่า Setup'!$C$110+1),IF(C62&gt;=C64,INDEX('S-Curve'!$C$7:$C$86,C64),INDEX('S-Curve'!$C$7:$C$86,C62)+IF(INDEX('S-Curve'!$D$7:$D$86,C62+1)&gt;INDEX('S-Curve'!$D$7:$D$86,C62),(C19-INDEX('S-Curve'!$D$7:$D$86,C62))/(INDEX('S-Curve'!$D$7:$D$86,C62+1)-INDEX('S-Curve'!$D$7:$D$86,C62))*(INDEX('S-Curve'!$C$7:$C$86,C62+1)-INDEX('S-Curve'!$C$7:$C$86,C62)),0)))</f>
        <v>46274.6230042017</v>
      </c>
    </row>
    <row r="68" customFormat="false" ht="15" hidden="false" customHeight="false" outlineLevel="0" collapsed="false">
      <c r="B68" s="51" t="s">
        <v>388</v>
      </c>
      <c r="C68" s="53" t="n">
        <f aca="false">MAX(0,C65-C9+1)</f>
        <v>101.623004201683</v>
      </c>
    </row>
    <row r="69" customFormat="false" ht="15" hidden="false" customHeight="false" outlineLevel="0" collapsed="false">
      <c r="B69" s="35" t="s">
        <v>389</v>
      </c>
      <c r="C69" s="54" t="n">
        <f aca="false">'ตั้งค่า Setup'!$C$11</f>
        <v>300</v>
      </c>
    </row>
  </sheetData>
  <sheetProtection sheet="true" formatCells="false" formatColumns="false" formatRows="false"/>
  <conditionalFormatting sqref="C32">
    <cfRule type="expression" priority="2" aboveAverage="0" equalAverage="0" bottom="0" percent="0" rank="0" text="" dxfId="0">
      <formula>ISNUMBER(SEARCH("ล่าช้ามาก",C32))</formula>
    </cfRule>
    <cfRule type="expression" priority="3" aboveAverage="0" equalAverage="0" bottom="0" percent="0" rank="0" text="" dxfId="1">
      <formula>ISNUMBER(SEARCH("เฝ้าระวัง",C32))</formula>
    </cfRule>
    <cfRule type="expression" priority="4" aboveAverage="0" equalAverage="0" bottom="0" percent="0" rank="0" text="" dxfId="2">
      <formula>C22&gt;=1</formula>
    </cfRule>
  </conditionalFormatting>
  <conditionalFormatting sqref="C7">
    <cfRule type="expression" priority="5" aboveAverage="0" equalAverage="0" bottom="0" percent="0" rank="0" text="" dxfId="3">
      <formula>C7&lt;&gt;C5</formula>
    </cfRule>
  </conditionalFormatting>
  <conditionalFormatting sqref="C22">
    <cfRule type="expression" priority="6" aboveAverage="0" equalAverage="0" bottom="0" percent="0" rank="0" text="" dxfId="3">
      <formula>C22&lt;0.9</formula>
    </cfRule>
    <cfRule type="expression" priority="7" aboveAverage="0" equalAverage="0" bottom="0" percent="0" rank="0" text="" dxfId="2">
      <formula>C22&gt;=1</formula>
    </cfRule>
  </conditionalFormatting>
  <conditionalFormatting sqref="C26">
    <cfRule type="expression" priority="8" aboveAverage="0" equalAverage="0" bottom="0" percent="0" rank="0" text="" dxfId="3">
      <formula>C26&lt;0.9</formula>
    </cfRule>
    <cfRule type="expression" priority="9" aboveAverage="0" equalAverage="0" bottom="0" percent="0" rank="0" text="" dxfId="2">
      <formula>C26&gt;=1</formula>
    </cfRule>
  </conditionalFormatting>
  <conditionalFormatting sqref="C57">
    <cfRule type="expression" priority="10" aboveAverage="0" equalAverage="0" bottom="0" percent="0" rank="0" text="" dxfId="3">
      <formula>LEFT(C57,1)="⚠"</formula>
    </cfRule>
  </conditionalFormatting>
  <conditionalFormatting sqref="C58">
    <cfRule type="expression" priority="11" aboveAverage="0" equalAverage="0" bottom="0" percent="0" rank="0" text="" dxfId="4">
      <formula>LEFT(C58,1)="⚠"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V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7"/>
    <col collapsed="false" customWidth="true" hidden="false" outlineLevel="0" max="4" min="4" style="1" width="13"/>
    <col collapsed="false" customWidth="true" hidden="false" outlineLevel="0" max="5" min="5" style="1" width="9"/>
    <col collapsed="false" customWidth="true" hidden="false" outlineLevel="0" max="8" min="6" style="1" width="10"/>
    <col collapsed="false" customWidth="true" hidden="false" outlineLevel="0" max="11" min="9" style="1" width="9"/>
    <col collapsed="false" customWidth="true" hidden="false" outlineLevel="0" max="12" min="12" style="1" width="6"/>
    <col collapsed="false" customWidth="true" hidden="false" outlineLevel="0" max="13" min="13" style="1" width="10"/>
    <col collapsed="false" customWidth="true" hidden="false" outlineLevel="0" max="14" min="14" style="1" width="8"/>
    <col collapsed="false" customWidth="true" hidden="false" outlineLevel="0" max="15" min="15" style="1" width="7"/>
    <col collapsed="false" customWidth="true" hidden="false" outlineLevel="0" max="16" min="16" style="1" width="16"/>
    <col collapsed="false" customWidth="true" hidden="false" outlineLevel="0" max="18" min="17" style="1" width="10"/>
    <col collapsed="false" customWidth="true" hidden="true" outlineLevel="0" max="19" min="19" style="1" width="4"/>
    <col collapsed="false" customWidth="true" hidden="false" outlineLevel="0" max="20" min="20" style="1" width="2"/>
    <col collapsed="false" customWidth="true" hidden="false" outlineLevel="0" max="100" min="21" style="1" width="2.6"/>
  </cols>
  <sheetData>
    <row r="1" customFormat="false" ht="20.1" hidden="false" customHeight="false" outlineLevel="0" collapsed="false">
      <c r="A1" s="2" t="s">
        <v>390</v>
      </c>
    </row>
    <row r="2" customFormat="false" ht="15" hidden="false" customHeight="false" outlineLevel="0" collapsed="false">
      <c r="A2" s="17" t="s">
        <v>391</v>
      </c>
    </row>
    <row r="3" customFormat="false" ht="15" hidden="false" customHeight="false" outlineLevel="0" collapsed="false">
      <c r="A3" s="55" t="s">
        <v>392</v>
      </c>
      <c r="D3" s="56" t="n">
        <f aca="false">Dashboard!C7</f>
        <v>46293</v>
      </c>
    </row>
    <row r="5" customFormat="false" ht="15" hidden="false" customHeight="true" outlineLevel="0" collapsed="false">
      <c r="A5" s="57" t="s">
        <v>393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U5" s="58" t="n">
        <f aca="false">INDEX('S-Curve'!$B$7:$B$86,1)</f>
        <v>46174</v>
      </c>
      <c r="V5" s="58" t="n">
        <f aca="false">INDEX('S-Curve'!$B$7:$B$86,2)</f>
        <v>46184</v>
      </c>
      <c r="W5" s="58" t="n">
        <f aca="false">INDEX('S-Curve'!$B$7:$B$86,3)</f>
        <v>46194</v>
      </c>
      <c r="X5" s="58" t="n">
        <f aca="false">INDEX('S-Curve'!$B$7:$B$86,4)</f>
        <v>46204</v>
      </c>
      <c r="Y5" s="58" t="n">
        <f aca="false">INDEX('S-Curve'!$B$7:$B$86,5)</f>
        <v>46214</v>
      </c>
      <c r="Z5" s="58" t="n">
        <f aca="false">INDEX('S-Curve'!$B$7:$B$86,6)</f>
        <v>46224</v>
      </c>
      <c r="AA5" s="58" t="n">
        <f aca="false">INDEX('S-Curve'!$B$7:$B$86,7)</f>
        <v>46235</v>
      </c>
      <c r="AB5" s="58" t="n">
        <f aca="false">INDEX('S-Curve'!$B$7:$B$86,8)</f>
        <v>46245</v>
      </c>
      <c r="AC5" s="58" t="n">
        <f aca="false">INDEX('S-Curve'!$B$7:$B$86,9)</f>
        <v>46255</v>
      </c>
      <c r="AD5" s="58" t="n">
        <f aca="false">INDEX('S-Curve'!$B$7:$B$86,10)</f>
        <v>46266</v>
      </c>
      <c r="AE5" s="58" t="n">
        <f aca="false">INDEX('S-Curve'!$B$7:$B$86,11)</f>
        <v>46276</v>
      </c>
      <c r="AF5" s="58" t="n">
        <f aca="false">INDEX('S-Curve'!$B$7:$B$86,12)</f>
        <v>46286</v>
      </c>
      <c r="AG5" s="58" t="n">
        <f aca="false">INDEX('S-Curve'!$B$7:$B$86,13)</f>
        <v>46296</v>
      </c>
      <c r="AH5" s="58" t="n">
        <f aca="false">INDEX('S-Curve'!$B$7:$B$86,14)</f>
        <v>46306</v>
      </c>
      <c r="AI5" s="58" t="n">
        <f aca="false">INDEX('S-Curve'!$B$7:$B$86,15)</f>
        <v>46316</v>
      </c>
      <c r="AJ5" s="58" t="n">
        <f aca="false">INDEX('S-Curve'!$B$7:$B$86,16)</f>
        <v>46327</v>
      </c>
      <c r="AK5" s="58" t="n">
        <f aca="false">INDEX('S-Curve'!$B$7:$B$86,17)</f>
        <v>46337</v>
      </c>
      <c r="AL5" s="58" t="n">
        <f aca="false">INDEX('S-Curve'!$B$7:$B$86,18)</f>
        <v>46347</v>
      </c>
      <c r="AM5" s="58" t="n">
        <f aca="false">INDEX('S-Curve'!$B$7:$B$86,19)</f>
        <v>46357</v>
      </c>
      <c r="AN5" s="58" t="n">
        <f aca="false">INDEX('S-Curve'!$B$7:$B$86,20)</f>
        <v>46367</v>
      </c>
      <c r="AO5" s="58" t="n">
        <f aca="false">INDEX('S-Curve'!$B$7:$B$86,21)</f>
        <v>46377</v>
      </c>
      <c r="AP5" s="58" t="n">
        <f aca="false">INDEX('S-Curve'!$B$7:$B$86,22)</f>
        <v>46388</v>
      </c>
      <c r="AQ5" s="58" t="n">
        <f aca="false">INDEX('S-Curve'!$B$7:$B$86,23)</f>
        <v>46398</v>
      </c>
      <c r="AR5" s="58" t="n">
        <f aca="false">INDEX('S-Curve'!$B$7:$B$86,24)</f>
        <v>46408</v>
      </c>
      <c r="AS5" s="58" t="n">
        <f aca="false">INDEX('S-Curve'!$B$7:$B$86,25)</f>
        <v>46419</v>
      </c>
      <c r="AT5" s="58" t="n">
        <f aca="false">INDEX('S-Curve'!$B$7:$B$86,26)</f>
        <v>46429</v>
      </c>
      <c r="AU5" s="58" t="n">
        <f aca="false">INDEX('S-Curve'!$B$7:$B$86,27)</f>
        <v>46439</v>
      </c>
      <c r="AV5" s="58" t="n">
        <f aca="false">INDEX('S-Curve'!$B$7:$B$86,28)</f>
        <v>46447</v>
      </c>
      <c r="AW5" s="58" t="n">
        <f aca="false">INDEX('S-Curve'!$B$7:$B$86,29)</f>
        <v>46457</v>
      </c>
      <c r="AX5" s="58" t="n">
        <f aca="false">INDEX('S-Curve'!$B$7:$B$86,30)</f>
        <v>46467</v>
      </c>
      <c r="AY5" s="58" t="n">
        <f aca="false">INDEX('S-Curve'!$B$7:$B$86,31)</f>
        <v>46478</v>
      </c>
      <c r="AZ5" s="58" t="str">
        <f aca="false">INDEX('S-Curve'!$B$7:$B$86,32)</f>
        <v/>
      </c>
      <c r="BA5" s="58" t="str">
        <f aca="false">INDEX('S-Curve'!$B$7:$B$86,33)</f>
        <v/>
      </c>
      <c r="BB5" s="58" t="str">
        <f aca="false">INDEX('S-Curve'!$B$7:$B$86,34)</f>
        <v/>
      </c>
      <c r="BC5" s="58" t="str">
        <f aca="false">INDEX('S-Curve'!$B$7:$B$86,35)</f>
        <v/>
      </c>
      <c r="BD5" s="58" t="str">
        <f aca="false">INDEX('S-Curve'!$B$7:$B$86,36)</f>
        <v/>
      </c>
      <c r="BE5" s="58" t="str">
        <f aca="false">INDEX('S-Curve'!$B$7:$B$86,37)</f>
        <v/>
      </c>
      <c r="BF5" s="58" t="str">
        <f aca="false">INDEX('S-Curve'!$B$7:$B$86,38)</f>
        <v/>
      </c>
      <c r="BG5" s="58" t="str">
        <f aca="false">INDEX('S-Curve'!$B$7:$B$86,39)</f>
        <v/>
      </c>
      <c r="BH5" s="58" t="str">
        <f aca="false">INDEX('S-Curve'!$B$7:$B$86,40)</f>
        <v/>
      </c>
      <c r="BI5" s="58" t="str">
        <f aca="false">INDEX('S-Curve'!$B$7:$B$86,41)</f>
        <v/>
      </c>
      <c r="BJ5" s="58" t="str">
        <f aca="false">INDEX('S-Curve'!$B$7:$B$86,42)</f>
        <v/>
      </c>
      <c r="BK5" s="58" t="str">
        <f aca="false">INDEX('S-Curve'!$B$7:$B$86,43)</f>
        <v/>
      </c>
      <c r="BL5" s="58" t="str">
        <f aca="false">INDEX('S-Curve'!$B$7:$B$86,44)</f>
        <v/>
      </c>
      <c r="BM5" s="58" t="str">
        <f aca="false">INDEX('S-Curve'!$B$7:$B$86,45)</f>
        <v/>
      </c>
      <c r="BN5" s="58" t="str">
        <f aca="false">INDEX('S-Curve'!$B$7:$B$86,46)</f>
        <v/>
      </c>
      <c r="BO5" s="58" t="str">
        <f aca="false">INDEX('S-Curve'!$B$7:$B$86,47)</f>
        <v/>
      </c>
      <c r="BP5" s="58" t="str">
        <f aca="false">INDEX('S-Curve'!$B$7:$B$86,48)</f>
        <v/>
      </c>
      <c r="BQ5" s="58" t="str">
        <f aca="false">INDEX('S-Curve'!$B$7:$B$86,49)</f>
        <v/>
      </c>
      <c r="BR5" s="58" t="str">
        <f aca="false">INDEX('S-Curve'!$B$7:$B$86,50)</f>
        <v/>
      </c>
      <c r="BS5" s="58" t="str">
        <f aca="false">INDEX('S-Curve'!$B$7:$B$86,51)</f>
        <v/>
      </c>
      <c r="BT5" s="58" t="str">
        <f aca="false">INDEX('S-Curve'!$B$7:$B$86,52)</f>
        <v/>
      </c>
      <c r="BU5" s="58" t="str">
        <f aca="false">INDEX('S-Curve'!$B$7:$B$86,53)</f>
        <v/>
      </c>
      <c r="BV5" s="58" t="str">
        <f aca="false">INDEX('S-Curve'!$B$7:$B$86,54)</f>
        <v/>
      </c>
      <c r="BW5" s="58" t="str">
        <f aca="false">INDEX('S-Curve'!$B$7:$B$86,55)</f>
        <v/>
      </c>
      <c r="BX5" s="58" t="str">
        <f aca="false">INDEX('S-Curve'!$B$7:$B$86,56)</f>
        <v/>
      </c>
      <c r="BY5" s="58" t="str">
        <f aca="false">INDEX('S-Curve'!$B$7:$B$86,57)</f>
        <v/>
      </c>
      <c r="BZ5" s="58" t="str">
        <f aca="false">INDEX('S-Curve'!$B$7:$B$86,58)</f>
        <v/>
      </c>
      <c r="CA5" s="58" t="str">
        <f aca="false">INDEX('S-Curve'!$B$7:$B$86,59)</f>
        <v/>
      </c>
      <c r="CB5" s="58" t="str">
        <f aca="false">INDEX('S-Curve'!$B$7:$B$86,60)</f>
        <v/>
      </c>
      <c r="CC5" s="58" t="str">
        <f aca="false">INDEX('S-Curve'!$B$7:$B$86,61)</f>
        <v/>
      </c>
      <c r="CD5" s="58" t="str">
        <f aca="false">INDEX('S-Curve'!$B$7:$B$86,62)</f>
        <v/>
      </c>
      <c r="CE5" s="58" t="str">
        <f aca="false">INDEX('S-Curve'!$B$7:$B$86,63)</f>
        <v/>
      </c>
      <c r="CF5" s="58" t="str">
        <f aca="false">INDEX('S-Curve'!$B$7:$B$86,64)</f>
        <v/>
      </c>
      <c r="CG5" s="58" t="str">
        <f aca="false">INDEX('S-Curve'!$B$7:$B$86,65)</f>
        <v/>
      </c>
      <c r="CH5" s="58" t="str">
        <f aca="false">INDEX('S-Curve'!$B$7:$B$86,66)</f>
        <v/>
      </c>
      <c r="CI5" s="58" t="str">
        <f aca="false">INDEX('S-Curve'!$B$7:$B$86,67)</f>
        <v/>
      </c>
      <c r="CJ5" s="58" t="str">
        <f aca="false">INDEX('S-Curve'!$B$7:$B$86,68)</f>
        <v/>
      </c>
      <c r="CK5" s="58" t="str">
        <f aca="false">INDEX('S-Curve'!$B$7:$B$86,69)</f>
        <v/>
      </c>
      <c r="CL5" s="58" t="str">
        <f aca="false">INDEX('S-Curve'!$B$7:$B$86,70)</f>
        <v/>
      </c>
      <c r="CM5" s="58" t="str">
        <f aca="false">INDEX('S-Curve'!$B$7:$B$86,71)</f>
        <v/>
      </c>
      <c r="CN5" s="58" t="str">
        <f aca="false">INDEX('S-Curve'!$B$7:$B$86,72)</f>
        <v/>
      </c>
      <c r="CO5" s="58" t="str">
        <f aca="false">INDEX('S-Curve'!$B$7:$B$86,73)</f>
        <v/>
      </c>
      <c r="CP5" s="58" t="str">
        <f aca="false">INDEX('S-Curve'!$B$7:$B$86,74)</f>
        <v/>
      </c>
      <c r="CQ5" s="58" t="str">
        <f aca="false">INDEX('S-Curve'!$B$7:$B$86,75)</f>
        <v/>
      </c>
      <c r="CR5" s="58" t="str">
        <f aca="false">INDEX('S-Curve'!$B$7:$B$86,76)</f>
        <v/>
      </c>
      <c r="CS5" s="58" t="str">
        <f aca="false">INDEX('S-Curve'!$B$7:$B$86,77)</f>
        <v/>
      </c>
      <c r="CT5" s="58" t="str">
        <f aca="false">INDEX('S-Curve'!$B$7:$B$86,78)</f>
        <v/>
      </c>
      <c r="CU5" s="58" t="str">
        <f aca="false">INDEX('S-Curve'!$B$7:$B$86,79)</f>
        <v/>
      </c>
      <c r="CV5" s="58" t="str">
        <f aca="false">INDEX('S-Curve'!$B$7:$B$86,80)</f>
        <v/>
      </c>
    </row>
    <row r="6" customFormat="false" ht="39.75" hidden="false" customHeight="true" outlineLevel="0" collapsed="false">
      <c r="A6" s="59" t="s">
        <v>394</v>
      </c>
      <c r="B6" s="18" t="s">
        <v>395</v>
      </c>
      <c r="C6" s="18" t="s">
        <v>396</v>
      </c>
      <c r="D6" s="18" t="s">
        <v>397</v>
      </c>
      <c r="E6" s="18" t="s">
        <v>398</v>
      </c>
      <c r="F6" s="18" t="s">
        <v>399</v>
      </c>
      <c r="G6" s="18" t="s">
        <v>400</v>
      </c>
      <c r="H6" s="18" t="s">
        <v>401</v>
      </c>
      <c r="I6" s="59" t="s">
        <v>402</v>
      </c>
      <c r="J6" s="59" t="s">
        <v>403</v>
      </c>
      <c r="K6" s="18" t="s">
        <v>404</v>
      </c>
      <c r="L6" s="59" t="s">
        <v>101</v>
      </c>
      <c r="M6" s="18" t="s">
        <v>405</v>
      </c>
      <c r="N6" s="18" t="s">
        <v>406</v>
      </c>
      <c r="O6" s="18" t="s">
        <v>407</v>
      </c>
      <c r="P6" s="18" t="s">
        <v>408</v>
      </c>
      <c r="Q6" s="18" t="s">
        <v>409</v>
      </c>
      <c r="R6" s="18" t="s">
        <v>410</v>
      </c>
      <c r="S6" s="59" t="s">
        <v>411</v>
      </c>
      <c r="U6" s="60" t="n">
        <f aca="false">INDEX('S-Curve'!$C$7:$C$86,1)</f>
        <v>46183</v>
      </c>
      <c r="V6" s="60" t="n">
        <f aca="false">INDEX('S-Curve'!$C$7:$C$86,2)</f>
        <v>46193</v>
      </c>
      <c r="W6" s="60" t="n">
        <f aca="false">INDEX('S-Curve'!$C$7:$C$86,3)</f>
        <v>46203</v>
      </c>
      <c r="X6" s="60" t="n">
        <f aca="false">INDEX('S-Curve'!$C$7:$C$86,4)</f>
        <v>46213</v>
      </c>
      <c r="Y6" s="60" t="n">
        <f aca="false">INDEX('S-Curve'!$C$7:$C$86,5)</f>
        <v>46223</v>
      </c>
      <c r="Z6" s="60" t="n">
        <f aca="false">INDEX('S-Curve'!$C$7:$C$86,6)</f>
        <v>46234</v>
      </c>
      <c r="AA6" s="60" t="n">
        <f aca="false">INDEX('S-Curve'!$C$7:$C$86,7)</f>
        <v>46244</v>
      </c>
      <c r="AB6" s="60" t="n">
        <f aca="false">INDEX('S-Curve'!$C$7:$C$86,8)</f>
        <v>46254</v>
      </c>
      <c r="AC6" s="60" t="n">
        <f aca="false">INDEX('S-Curve'!$C$7:$C$86,9)</f>
        <v>46265</v>
      </c>
      <c r="AD6" s="60" t="n">
        <f aca="false">INDEX('S-Curve'!$C$7:$C$86,10)</f>
        <v>46275</v>
      </c>
      <c r="AE6" s="60" t="n">
        <f aca="false">INDEX('S-Curve'!$C$7:$C$86,11)</f>
        <v>46285</v>
      </c>
      <c r="AF6" s="60" t="n">
        <f aca="false">INDEX('S-Curve'!$C$7:$C$86,12)</f>
        <v>46295</v>
      </c>
      <c r="AG6" s="60" t="n">
        <f aca="false">INDEX('S-Curve'!$C$7:$C$86,13)</f>
        <v>46305</v>
      </c>
      <c r="AH6" s="60" t="n">
        <f aca="false">INDEX('S-Curve'!$C$7:$C$86,14)</f>
        <v>46315</v>
      </c>
      <c r="AI6" s="60" t="n">
        <f aca="false">INDEX('S-Curve'!$C$7:$C$86,15)</f>
        <v>46326</v>
      </c>
      <c r="AJ6" s="60" t="n">
        <f aca="false">INDEX('S-Curve'!$C$7:$C$86,16)</f>
        <v>46336</v>
      </c>
      <c r="AK6" s="60" t="n">
        <f aca="false">INDEX('S-Curve'!$C$7:$C$86,17)</f>
        <v>46346</v>
      </c>
      <c r="AL6" s="60" t="n">
        <f aca="false">INDEX('S-Curve'!$C$7:$C$86,18)</f>
        <v>46356</v>
      </c>
      <c r="AM6" s="60" t="n">
        <f aca="false">INDEX('S-Curve'!$C$7:$C$86,19)</f>
        <v>46366</v>
      </c>
      <c r="AN6" s="60" t="n">
        <f aca="false">INDEX('S-Curve'!$C$7:$C$86,20)</f>
        <v>46376</v>
      </c>
      <c r="AO6" s="60" t="n">
        <f aca="false">INDEX('S-Curve'!$C$7:$C$86,21)</f>
        <v>46387</v>
      </c>
      <c r="AP6" s="60" t="n">
        <f aca="false">INDEX('S-Curve'!$C$7:$C$86,22)</f>
        <v>46397</v>
      </c>
      <c r="AQ6" s="60" t="n">
        <f aca="false">INDEX('S-Curve'!$C$7:$C$86,23)</f>
        <v>46407</v>
      </c>
      <c r="AR6" s="60" t="n">
        <f aca="false">INDEX('S-Curve'!$C$7:$C$86,24)</f>
        <v>46418</v>
      </c>
      <c r="AS6" s="60" t="n">
        <f aca="false">INDEX('S-Curve'!$C$7:$C$86,25)</f>
        <v>46428</v>
      </c>
      <c r="AT6" s="60" t="n">
        <f aca="false">INDEX('S-Curve'!$C$7:$C$86,26)</f>
        <v>46438</v>
      </c>
      <c r="AU6" s="60" t="n">
        <f aca="false">INDEX('S-Curve'!$C$7:$C$86,27)</f>
        <v>46446</v>
      </c>
      <c r="AV6" s="60" t="n">
        <f aca="false">INDEX('S-Curve'!$C$7:$C$86,28)</f>
        <v>46456</v>
      </c>
      <c r="AW6" s="60" t="n">
        <f aca="false">INDEX('S-Curve'!$C$7:$C$86,29)</f>
        <v>46466</v>
      </c>
      <c r="AX6" s="60" t="n">
        <f aca="false">INDEX('S-Curve'!$C$7:$C$86,30)</f>
        <v>46477</v>
      </c>
      <c r="AY6" s="60" t="n">
        <f aca="false">INDEX('S-Curve'!$C$7:$C$86,31)</f>
        <v>46487</v>
      </c>
      <c r="AZ6" s="60" t="str">
        <f aca="false">INDEX('S-Curve'!$C$7:$C$86,32)</f>
        <v/>
      </c>
      <c r="BA6" s="60" t="str">
        <f aca="false">INDEX('S-Curve'!$C$7:$C$86,33)</f>
        <v/>
      </c>
      <c r="BB6" s="60" t="str">
        <f aca="false">INDEX('S-Curve'!$C$7:$C$86,34)</f>
        <v/>
      </c>
      <c r="BC6" s="60" t="str">
        <f aca="false">INDEX('S-Curve'!$C$7:$C$86,35)</f>
        <v/>
      </c>
      <c r="BD6" s="60" t="str">
        <f aca="false">INDEX('S-Curve'!$C$7:$C$86,36)</f>
        <v/>
      </c>
      <c r="BE6" s="60" t="str">
        <f aca="false">INDEX('S-Curve'!$C$7:$C$86,37)</f>
        <v/>
      </c>
      <c r="BF6" s="60" t="str">
        <f aca="false">INDEX('S-Curve'!$C$7:$C$86,38)</f>
        <v/>
      </c>
      <c r="BG6" s="60" t="str">
        <f aca="false">INDEX('S-Curve'!$C$7:$C$86,39)</f>
        <v/>
      </c>
      <c r="BH6" s="60" t="str">
        <f aca="false">INDEX('S-Curve'!$C$7:$C$86,40)</f>
        <v/>
      </c>
      <c r="BI6" s="60" t="str">
        <f aca="false">INDEX('S-Curve'!$C$7:$C$86,41)</f>
        <v/>
      </c>
      <c r="BJ6" s="60" t="str">
        <f aca="false">INDEX('S-Curve'!$C$7:$C$86,42)</f>
        <v/>
      </c>
      <c r="BK6" s="60" t="str">
        <f aca="false">INDEX('S-Curve'!$C$7:$C$86,43)</f>
        <v/>
      </c>
      <c r="BL6" s="60" t="str">
        <f aca="false">INDEX('S-Curve'!$C$7:$C$86,44)</f>
        <v/>
      </c>
      <c r="BM6" s="60" t="str">
        <f aca="false">INDEX('S-Curve'!$C$7:$C$86,45)</f>
        <v/>
      </c>
      <c r="BN6" s="60" t="str">
        <f aca="false">INDEX('S-Curve'!$C$7:$C$86,46)</f>
        <v/>
      </c>
      <c r="BO6" s="60" t="str">
        <f aca="false">INDEX('S-Curve'!$C$7:$C$86,47)</f>
        <v/>
      </c>
      <c r="BP6" s="60" t="str">
        <f aca="false">INDEX('S-Curve'!$C$7:$C$86,48)</f>
        <v/>
      </c>
      <c r="BQ6" s="60" t="str">
        <f aca="false">INDEX('S-Curve'!$C$7:$C$86,49)</f>
        <v/>
      </c>
      <c r="BR6" s="60" t="str">
        <f aca="false">INDEX('S-Curve'!$C$7:$C$86,50)</f>
        <v/>
      </c>
      <c r="BS6" s="60" t="str">
        <f aca="false">INDEX('S-Curve'!$C$7:$C$86,51)</f>
        <v/>
      </c>
      <c r="BT6" s="60" t="str">
        <f aca="false">INDEX('S-Curve'!$C$7:$C$86,52)</f>
        <v/>
      </c>
      <c r="BU6" s="60" t="str">
        <f aca="false">INDEX('S-Curve'!$C$7:$C$86,53)</f>
        <v/>
      </c>
      <c r="BV6" s="60" t="str">
        <f aca="false">INDEX('S-Curve'!$C$7:$C$86,54)</f>
        <v/>
      </c>
      <c r="BW6" s="60" t="str">
        <f aca="false">INDEX('S-Curve'!$C$7:$C$86,55)</f>
        <v/>
      </c>
      <c r="BX6" s="60" t="str">
        <f aca="false">INDEX('S-Curve'!$C$7:$C$86,56)</f>
        <v/>
      </c>
      <c r="BY6" s="60" t="str">
        <f aca="false">INDEX('S-Curve'!$C$7:$C$86,57)</f>
        <v/>
      </c>
      <c r="BZ6" s="60" t="str">
        <f aca="false">INDEX('S-Curve'!$C$7:$C$86,58)</f>
        <v/>
      </c>
      <c r="CA6" s="60" t="str">
        <f aca="false">INDEX('S-Curve'!$C$7:$C$86,59)</f>
        <v/>
      </c>
      <c r="CB6" s="60" t="str">
        <f aca="false">INDEX('S-Curve'!$C$7:$C$86,60)</f>
        <v/>
      </c>
      <c r="CC6" s="60" t="str">
        <f aca="false">INDEX('S-Curve'!$C$7:$C$86,61)</f>
        <v/>
      </c>
      <c r="CD6" s="60" t="str">
        <f aca="false">INDEX('S-Curve'!$C$7:$C$86,62)</f>
        <v/>
      </c>
      <c r="CE6" s="60" t="str">
        <f aca="false">INDEX('S-Curve'!$C$7:$C$86,63)</f>
        <v/>
      </c>
      <c r="CF6" s="60" t="str">
        <f aca="false">INDEX('S-Curve'!$C$7:$C$86,64)</f>
        <v/>
      </c>
      <c r="CG6" s="60" t="str">
        <f aca="false">INDEX('S-Curve'!$C$7:$C$86,65)</f>
        <v/>
      </c>
      <c r="CH6" s="60" t="str">
        <f aca="false">INDEX('S-Curve'!$C$7:$C$86,66)</f>
        <v/>
      </c>
      <c r="CI6" s="60" t="str">
        <f aca="false">INDEX('S-Curve'!$C$7:$C$86,67)</f>
        <v/>
      </c>
      <c r="CJ6" s="60" t="str">
        <f aca="false">INDEX('S-Curve'!$C$7:$C$86,68)</f>
        <v/>
      </c>
      <c r="CK6" s="60" t="str">
        <f aca="false">INDEX('S-Curve'!$C$7:$C$86,69)</f>
        <v/>
      </c>
      <c r="CL6" s="60" t="str">
        <f aca="false">INDEX('S-Curve'!$C$7:$C$86,70)</f>
        <v/>
      </c>
      <c r="CM6" s="60" t="str">
        <f aca="false">INDEX('S-Curve'!$C$7:$C$86,71)</f>
        <v/>
      </c>
      <c r="CN6" s="60" t="str">
        <f aca="false">INDEX('S-Curve'!$C$7:$C$86,72)</f>
        <v/>
      </c>
      <c r="CO6" s="60" t="str">
        <f aca="false">INDEX('S-Curve'!$C$7:$C$86,73)</f>
        <v/>
      </c>
      <c r="CP6" s="60" t="str">
        <f aca="false">INDEX('S-Curve'!$C$7:$C$86,74)</f>
        <v/>
      </c>
      <c r="CQ6" s="60" t="str">
        <f aca="false">INDEX('S-Curve'!$C$7:$C$86,75)</f>
        <v/>
      </c>
      <c r="CR6" s="60" t="str">
        <f aca="false">INDEX('S-Curve'!$C$7:$C$86,76)</f>
        <v/>
      </c>
      <c r="CS6" s="60" t="str">
        <f aca="false">INDEX('S-Curve'!$C$7:$C$86,77)</f>
        <v/>
      </c>
      <c r="CT6" s="60" t="str">
        <f aca="false">INDEX('S-Curve'!$C$7:$C$86,78)</f>
        <v/>
      </c>
      <c r="CU6" s="60" t="str">
        <f aca="false">INDEX('S-Curve'!$C$7:$C$86,79)</f>
        <v/>
      </c>
      <c r="CV6" s="60" t="str">
        <f aca="false">INDEX('S-Curve'!$C$7:$C$86,80)</f>
        <v/>
      </c>
    </row>
    <row r="7" customFormat="false" ht="24" hidden="false" customHeight="true" outlineLevel="0" collapsed="false">
      <c r="A7" s="61" t="n">
        <f aca="false">IF(B7="","",1)</f>
        <v>1</v>
      </c>
      <c r="B7" s="62" t="str">
        <f aca="false">IF('ตั้งค่า Setup'!$C$26="","",'ตั้งค่า Setup'!$C$26)</f>
        <v>งานถมดินและปรับพื้นที่ / Earth Filling &amp; Site Prep</v>
      </c>
      <c r="C7" s="61" t="n">
        <f aca="false">IF(B7="","",COUNTIFS('แผนงาน Schedule'!$B$7:$B$156,B7,'แผนงาน Schedule'!$D$7:$D$156,"&lt;&gt;"))</f>
        <v>3</v>
      </c>
      <c r="D7" s="63" t="n">
        <f aca="false">IF(B7="","",SUMIF('แผนงาน Schedule'!$B$7:$B$156,B7,'แผนงาน Schedule'!$H$7:$H$156))</f>
        <v>3050000</v>
      </c>
      <c r="E7" s="64" t="n">
        <f aca="false">IF(B7="","",SUMIF('แผนงาน Schedule'!$B$7:$B$156,B7,'แผนงาน Schedule'!$G$7:$G$156))</f>
        <v>0.12603305785124</v>
      </c>
      <c r="F7" s="65" t="n">
        <f aca="false">IF(OR(B7="",N(C7)=0),"",_xlfn.MINIFS('แผนงาน Schedule'!$I$7:$I$156,'แผนงาน Schedule'!$B$7:$B$156,B7))</f>
        <v>46174</v>
      </c>
      <c r="G7" s="65" t="n">
        <f aca="false">IF(OR(B7="",N(C7)=0),"",_xlfn.MAXIFS('แผนงาน Schedule'!$J$7:$J$156,'แผนงาน Schedule'!$B$7:$B$156,B7))</f>
        <v>46265</v>
      </c>
      <c r="H7" s="65" t="n">
        <f aca="false">IF(OR(B7="",COUNTIFS('แผนงาน Schedule'!$B$7:$B$156,B7,'แผนงาน Schedule'!$N$7:$N$156,"&lt;&gt;")=0),"",_xlfn.MINIFS('แผนงาน Schedule'!$N$7:$N$156,'แผนงาน Schedule'!$B$7:$B$156,B7))</f>
        <v>46176</v>
      </c>
      <c r="I7" s="64" t="n">
        <f aca="false">IF(OR(B7="",N(E7)=0),"",SUMPRODUCT(('แผนงาน Schedule'!$B$7:$B$156=B7)*'แผนงาน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Schedule'!$I$7:$I$156+1)))/E7)</f>
        <v>1</v>
      </c>
      <c r="J7" s="64" t="n">
        <f aca="false">IF(OR(B7="",N(E7)=0),"",SUMPRODUCT(('แผนงาน Schedule'!$B$7:$B$156=B7)*'แผนงาน Schedule'!$G$7:$G$156*'แผนงาน Schedule'!$P$7:$P$156)/E7)</f>
        <v>0.980327868852459</v>
      </c>
      <c r="K7" s="66" t="n">
        <f aca="false">IF(I7="","",J7-I7)</f>
        <v>-0.019672131147541</v>
      </c>
      <c r="L7" s="67" t="n">
        <f aca="false">IF(OR(I7="",N(I7)=0),"",J7/I7)</f>
        <v>0.980327868852459</v>
      </c>
      <c r="M7" s="65" t="n">
        <f aca="false">IF(OR(B7="",N(C7)=0),"",_xlfn.MAXIFS('แผนงาน Schedule'!$W$7:$W$156,'แผนงาน Schedule'!$B$7:$B$156,B7))</f>
        <v>46301</v>
      </c>
      <c r="N7" s="68" t="n">
        <f aca="false">IF(OR(M7="",G7=""),"",M7-G7)</f>
        <v>36</v>
      </c>
      <c r="O7" s="61" t="n">
        <f aca="false">IF(B7="","",COUNTIFS('แผนงาน Schedule'!$B$7:$B$156,B7,'แผนงาน Schedule'!$Y$7:$Y$156,"*ล่าช้า*")+COUNTIFS('แผนงาน Schedule'!$B$7:$B$156,B7,'แผนงาน Schedule'!$Y$7:$Y$156,"*เกินกำหนด*"))</f>
        <v>1</v>
      </c>
      <c r="P7" s="61" t="str">
        <f aca="false">IF(OR(B7="",N(C7)=0),"",IF(N(J7)&gt;=1,"แล้วเสร็จ / Completed",IF(AND(N(I7)=0,N(J7)=0),"ยังไม่เริ่ม / Not Started",IF(N(J7)&gt;=N(I7),"ตามแผน / On Track",IF(N(J7)/I7&gt;=0.9,"เฝ้าระวัง / At Risk","ล่าช้า / Behind")))))</f>
        <v>เฝ้าระวัง / At Risk</v>
      </c>
      <c r="Q7" s="64" t="n">
        <f aca="false">IF(B7="","",N(I7)*N(E7))</f>
        <v>0.12603305785124</v>
      </c>
      <c r="R7" s="64" t="n">
        <f aca="false">IF(B7="","",N(J7)*N(E7))</f>
        <v>0.123553719008264</v>
      </c>
      <c r="S7" s="69" t="n">
        <f aca="false">IF(H7="","",IF(COUNTIFS('แผนงาน Schedule'!$B$7:$B$156,B7,'แผนงาน Schedule'!$D$7:$D$156,"&lt;&gt;",'แผนงาน Schedule'!$O$7:$O$156,"")=0,_xlfn.MAXIFS('แผนงาน Schedule'!$O$7:$O$156,'แผนงาน Schedule'!$B$7:$B$156,B7),'ตั้งค่า Setup'!$C$15))</f>
        <v>46293</v>
      </c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0"/>
      <c r="BZ7" s="70"/>
      <c r="CA7" s="70"/>
      <c r="CB7" s="70"/>
      <c r="CC7" s="70"/>
      <c r="CD7" s="70"/>
      <c r="CE7" s="70"/>
      <c r="CF7" s="70"/>
      <c r="CG7" s="70"/>
      <c r="CH7" s="70"/>
      <c r="CI7" s="70"/>
      <c r="CJ7" s="70"/>
      <c r="CK7" s="70"/>
      <c r="CL7" s="70"/>
      <c r="CM7" s="70"/>
      <c r="CN7" s="70"/>
      <c r="CO7" s="70"/>
      <c r="CP7" s="70"/>
      <c r="CQ7" s="70"/>
      <c r="CR7" s="70"/>
      <c r="CS7" s="70"/>
      <c r="CT7" s="70"/>
      <c r="CU7" s="70"/>
      <c r="CV7" s="70"/>
    </row>
    <row r="8" customFormat="false" ht="24" hidden="false" customHeight="true" outlineLevel="0" collapsed="false">
      <c r="A8" s="61" t="n">
        <f aca="false">IF(B8="","",2)</f>
        <v>2</v>
      </c>
      <c r="B8" s="62" t="str">
        <f aca="false">IF('ตั้งค่า Setup'!$C$27="","",'ตั้งค่า Setup'!$C$27)</f>
        <v>งานก่อสร้างอาคาร / Building</v>
      </c>
      <c r="C8" s="61" t="n">
        <f aca="false">IF(B8="","",COUNTIFS('แผนงาน Schedule'!$B$7:$B$156,B8,'แผนงาน Schedule'!$D$7:$D$156,"&lt;&gt;"))</f>
        <v>8</v>
      </c>
      <c r="D8" s="63" t="n">
        <f aca="false">IF(B8="","",SUMIF('แผนงาน Schedule'!$B$7:$B$156,B8,'แผนงาน Schedule'!$H$7:$H$156))</f>
        <v>13200000</v>
      </c>
      <c r="E8" s="64" t="n">
        <f aca="false">IF(B8="","",SUMIF('แผนงาน Schedule'!$B$7:$B$156,B8,'แผนงาน Schedule'!$G$7:$G$156))</f>
        <v>0.545454545454546</v>
      </c>
      <c r="F8" s="65" t="n">
        <f aca="false">IF(OR(B8="",N(C8)=0),"",_xlfn.MINIFS('แผนงาน Schedule'!$I$7:$I$156,'แผนงาน Schedule'!$B$7:$B$156,B8))</f>
        <v>46266</v>
      </c>
      <c r="G8" s="65" t="n">
        <f aca="false">IF(OR(B8="",N(C8)=0),"",_xlfn.MAXIFS('แผนงาน Schedule'!$J$7:$J$156,'แผนงาน Schedule'!$B$7:$B$156,B8))</f>
        <v>46473</v>
      </c>
      <c r="H8" s="65" t="n">
        <f aca="false">IF(OR(B8="",COUNTIFS('แผนงาน Schedule'!$B$7:$B$156,B8,'แผนงาน Schedule'!$N$7:$N$156,"&lt;&gt;")=0),"",_xlfn.MINIFS('แผนงาน Schedule'!$N$7:$N$156,'แผนงาน Schedule'!$B$7:$B$156,B8))</f>
        <v>46273</v>
      </c>
      <c r="I8" s="64" t="n">
        <f aca="false">IF(OR(B8="",N(E8)=0),"",SUMPRODUCT(('แผนงาน Schedule'!$B$7:$B$156=B8)*'แผนงาน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Schedule'!$I$7:$I$156+1)))/E8)</f>
        <v>0.0848484848484848</v>
      </c>
      <c r="J8" s="64" t="n">
        <f aca="false">IF(OR(B8="",N(E8)=0),"",SUMPRODUCT(('แผนงาน Schedule'!$B$7:$B$156=B8)*'แผนงาน Schedule'!$G$7:$G$156*'แผนงาน Schedule'!$P$7:$P$156)/E8)</f>
        <v>0.0477272727272727</v>
      </c>
      <c r="K8" s="66" t="n">
        <f aca="false">IF(I8="","",J8-I8)</f>
        <v>-0.0371212121212121</v>
      </c>
      <c r="L8" s="67" t="n">
        <f aca="false">IF(OR(I8="",N(I8)=0),"",J8/I8)</f>
        <v>0.5625</v>
      </c>
      <c r="M8" s="65" t="n">
        <f aca="false">IF(OR(B8="",N(C8)=0),"",_xlfn.MAXIFS('แผนงาน Schedule'!$W$7:$W$156,'แผนงาน Schedule'!$B$7:$B$156,B8))</f>
        <v>46473</v>
      </c>
      <c r="N8" s="68" t="n">
        <f aca="false">IF(OR(M8="",G8=""),"",M8-G8)</f>
        <v>0</v>
      </c>
      <c r="O8" s="61" t="n">
        <f aca="false">IF(B8="","",COUNTIFS('แผนงาน Schedule'!$B$7:$B$156,B8,'แผนงาน Schedule'!$Y$7:$Y$156,"*ล่าช้า*")+COUNTIFS('แผนงาน Schedule'!$B$7:$B$156,B8,'แผนงาน Schedule'!$Y$7:$Y$156,"*เกินกำหนด*"))</f>
        <v>1</v>
      </c>
      <c r="P8" s="61" t="str">
        <f aca="false">IF(OR(B8="",N(C8)=0),"",IF(N(J8)&gt;=1,"แล้วเสร็จ / Completed",IF(AND(N(I8)=0,N(J8)=0),"ยังไม่เริ่ม / Not Started",IF(N(J8)&gt;=N(I8),"ตามแผน / On Track",IF(N(J8)/I8&gt;=0.9,"เฝ้าระวัง / At Risk","ล่าช้า / Behind")))))</f>
        <v>ล่าช้า / Behind</v>
      </c>
      <c r="Q8" s="64" t="n">
        <f aca="false">IF(B8="","",N(I8)*N(E8))</f>
        <v>0.0462809917355372</v>
      </c>
      <c r="R8" s="64" t="n">
        <f aca="false">IF(B8="","",N(J8)*N(E8))</f>
        <v>0.0260330578512397</v>
      </c>
      <c r="S8" s="69" t="n">
        <f aca="false">IF(H8="","",IF(COUNTIFS('แผนงาน Schedule'!$B$7:$B$156,B8,'แผนงาน Schedule'!$D$7:$D$156,"&lt;&gt;",'แผนงาน Schedule'!$O$7:$O$156,"")=0,_xlfn.MAXIFS('แผนงาน Schedule'!$O$7:$O$156,'แผนงาน Schedule'!$B$7:$B$156,B8),'ตั้งค่า Setup'!$C$15))</f>
        <v>46293</v>
      </c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</row>
    <row r="9" customFormat="false" ht="24" hidden="false" customHeight="true" outlineLevel="0" collapsed="false">
      <c r="A9" s="61" t="n">
        <f aca="false">IF(B9="","",3)</f>
        <v>3</v>
      </c>
      <c r="B9" s="62" t="str">
        <f aca="false">IF('ตั้งค่า Setup'!$C$28="","",'ตั้งค่า Setup'!$C$28)</f>
        <v>งานรางระบายน้ำ / Drainage</v>
      </c>
      <c r="C9" s="61" t="n">
        <f aca="false">IF(B9="","",COUNTIFS('แผนงาน Schedule'!$B$7:$B$156,B9,'แผนงาน Schedule'!$D$7:$D$156,"&lt;&gt;"))</f>
        <v>2</v>
      </c>
      <c r="D9" s="63" t="n">
        <f aca="false">IF(B9="","",SUMIF('แผนงาน Schedule'!$B$7:$B$156,B9,'แผนงาน Schedule'!$H$7:$H$156))</f>
        <v>1900000</v>
      </c>
      <c r="E9" s="64" t="n">
        <f aca="false">IF(B9="","",SUMIF('แผนงาน Schedule'!$B$7:$B$156,B9,'แผนงาน Schedule'!$G$7:$G$156))</f>
        <v>0.0785123966942149</v>
      </c>
      <c r="F9" s="65" t="n">
        <f aca="false">IF(OR(B9="",N(C9)=0),"",_xlfn.MINIFS('แผนงาน Schedule'!$I$7:$I$156,'แผนงาน Schedule'!$B$7:$B$156,B9))</f>
        <v>46235</v>
      </c>
      <c r="G9" s="65" t="n">
        <f aca="false">IF(OR(B9="",N(C9)=0),"",_xlfn.MAXIFS('แผนงาน Schedule'!$J$7:$J$156,'แผนงาน Schedule'!$B$7:$B$156,B9))</f>
        <v>46326</v>
      </c>
      <c r="H9" s="65" t="n">
        <f aca="false">IF(OR(B9="",COUNTIFS('แผนงาน Schedule'!$B$7:$B$156,B9,'แผนงาน Schedule'!$N$7:$N$156,"&lt;&gt;")=0),"",_xlfn.MINIFS('แผนงาน Schedule'!$N$7:$N$156,'แผนงาน Schedule'!$B$7:$B$156,B9))</f>
        <v>46244</v>
      </c>
      <c r="I9" s="64" t="n">
        <f aca="false">IF(OR(B9="",N(E9)=0),"",SUMPRODUCT(('แผนงาน Schedule'!$B$7:$B$156=B9)*'แผนงาน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Schedule'!$I$7:$I$156+1)))/E9)</f>
        <v>0.806729939603106</v>
      </c>
      <c r="J9" s="64" t="n">
        <f aca="false">IF(OR(B9="",N(E9)=0),"",SUMPRODUCT(('แผนงาน Schedule'!$B$7:$B$156=B9)*'แผนงาน Schedule'!$G$7:$G$156*'แผนงาน Schedule'!$P$7:$P$156)/E9)</f>
        <v>0.376315789473684</v>
      </c>
      <c r="K9" s="66" t="n">
        <f aca="false">IF(I9="","",J9-I9)</f>
        <v>-0.430414150129422</v>
      </c>
      <c r="L9" s="67" t="n">
        <f aca="false">IF(OR(I9="",N(I9)=0),"",J9/I9)</f>
        <v>0.466470588235294</v>
      </c>
      <c r="M9" s="65" t="n">
        <f aca="false">IF(OR(B9="",N(C9)=0),"",_xlfn.MAXIFS('แผนงาน Schedule'!$W$7:$W$156,'แผนงาน Schedule'!$B$7:$B$156,B9))</f>
        <v>46353</v>
      </c>
      <c r="N9" s="68" t="n">
        <f aca="false">IF(OR(M9="",G9=""),"",M9-G9)</f>
        <v>27</v>
      </c>
      <c r="O9" s="61" t="n">
        <f aca="false">IF(B9="","",COUNTIFS('แผนงาน Schedule'!$B$7:$B$156,B9,'แผนงาน Schedule'!$Y$7:$Y$156,"*ล่าช้า*")+COUNTIFS('แผนงาน Schedule'!$B$7:$B$156,B9,'แผนงาน Schedule'!$Y$7:$Y$156,"*เกินกำหนด*"))</f>
        <v>2</v>
      </c>
      <c r="P9" s="61" t="str">
        <f aca="false">IF(OR(B9="",N(C9)=0),"",IF(N(J9)&gt;=1,"แล้วเสร็จ / Completed",IF(AND(N(I9)=0,N(J9)=0),"ยังไม่เริ่ม / Not Started",IF(N(J9)&gt;=N(I9),"ตามแผน / On Track",IF(N(J9)/I9&gt;=0.9,"เฝ้าระวัง / At Risk","ล่าช้า / Behind")))))</f>
        <v>ล่าช้า / Behind</v>
      </c>
      <c r="Q9" s="64" t="n">
        <f aca="false">IF(B9="","",N(I9)*N(E9))</f>
        <v>0.0633383010432191</v>
      </c>
      <c r="R9" s="64" t="n">
        <f aca="false">IF(B9="","",N(J9)*N(E9))</f>
        <v>0.0295454545454545</v>
      </c>
      <c r="S9" s="69" t="n">
        <f aca="false">IF(H9="","",IF(COUNTIFS('แผนงาน Schedule'!$B$7:$B$156,B9,'แผนงาน Schedule'!$D$7:$D$156,"&lt;&gt;",'แผนงาน Schedule'!$O$7:$O$156,"")=0,_xlfn.MAXIFS('แผนงาน Schedule'!$O$7:$O$156,'แผนงาน Schedule'!$B$7:$B$156,B9),'ตั้งค่า Setup'!$C$15))</f>
        <v>46293</v>
      </c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</row>
    <row r="10" customFormat="false" ht="24" hidden="false" customHeight="true" outlineLevel="0" collapsed="false">
      <c r="A10" s="61" t="n">
        <f aca="false">IF(B10="","",4)</f>
        <v>4</v>
      </c>
      <c r="B10" s="62" t="str">
        <f aca="false">IF('ตั้งค่า Setup'!$C$29="","",'ตั้งค่า Setup'!$C$29)</f>
        <v>งานถนนและลาน / Roads &amp; Hardscape</v>
      </c>
      <c r="C10" s="61" t="n">
        <f aca="false">IF(B10="","",COUNTIFS('แผนงาน Schedule'!$B$7:$B$156,B10,'แผนงาน Schedule'!$D$7:$D$156,"&lt;&gt;"))</f>
        <v>3</v>
      </c>
      <c r="D10" s="63" t="n">
        <f aca="false">IF(B10="","",SUMIF('แผนงาน Schedule'!$B$7:$B$156,B10,'แผนงาน Schedule'!$H$7:$H$156))</f>
        <v>3250000</v>
      </c>
      <c r="E10" s="64" t="n">
        <f aca="false">IF(B10="","",SUMIF('แผนงาน Schedule'!$B$7:$B$156,B10,'แผนงาน Schedule'!$G$7:$G$156))</f>
        <v>0.134297520661157</v>
      </c>
      <c r="F10" s="65" t="n">
        <f aca="false">IF(OR(B10="",N(C10)=0),"",_xlfn.MINIFS('แผนงาน Schedule'!$I$7:$I$156,'แผนงาน Schedule'!$B$7:$B$156,B10))</f>
        <v>46296</v>
      </c>
      <c r="G10" s="65" t="n">
        <f aca="false">IF(OR(B10="",N(C10)=0),"",_xlfn.MAXIFS('แผนงาน Schedule'!$J$7:$J$156,'แผนงาน Schedule'!$B$7:$B$156,B10))</f>
        <v>46418</v>
      </c>
      <c r="H10" s="65" t="str">
        <f aca="false">IF(OR(B10="",COUNTIFS('แผนงาน Schedule'!$B$7:$B$156,B10,'แผนงาน Schedule'!$N$7:$N$156,"&lt;&gt;")=0),"",_xlfn.MINIFS('แผนงาน Schedule'!$N$7:$N$156,'แผนงาน Schedule'!$B$7:$B$156,B10))</f>
        <v/>
      </c>
      <c r="I10" s="64" t="n">
        <f aca="false">IF(OR(B10="",N(E10)=0),"",SUMPRODUCT(('แผนงาน Schedule'!$B$7:$B$156=B10)*'แผนงาน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Schedule'!$I$7:$I$156+1)))/E10)</f>
        <v>0</v>
      </c>
      <c r="J10" s="64" t="n">
        <f aca="false">IF(OR(B10="",N(E10)=0),"",SUMPRODUCT(('แผนงาน Schedule'!$B$7:$B$156=B10)*'แผนงาน Schedule'!$G$7:$G$156*'แผนงาน Schedule'!$P$7:$P$156)/E10)</f>
        <v>0</v>
      </c>
      <c r="K10" s="66" t="n">
        <f aca="false">IF(I10="","",J10-I10)</f>
        <v>0</v>
      </c>
      <c r="L10" s="67" t="str">
        <f aca="false">IF(OR(I10="",N(I10)=0),"",J10/I10)</f>
        <v/>
      </c>
      <c r="M10" s="65" t="n">
        <f aca="false">IF(OR(B10="",N(C10)=0),"",_xlfn.MAXIFS('แผนงาน Schedule'!$W$7:$W$156,'แผนงาน Schedule'!$B$7:$B$156,B10))</f>
        <v>46418</v>
      </c>
      <c r="N10" s="68" t="n">
        <f aca="false">IF(OR(M10="",G10=""),"",M10-G10)</f>
        <v>0</v>
      </c>
      <c r="O10" s="61" t="n">
        <f aca="false">IF(B10="","",COUNTIFS('แผนงาน Schedule'!$B$7:$B$156,B10,'แผนงาน Schedule'!$Y$7:$Y$156,"*ล่าช้า*")+COUNTIFS('แผนงาน Schedule'!$B$7:$B$156,B10,'แผนงาน Schedule'!$Y$7:$Y$156,"*เกินกำหนด*"))</f>
        <v>0</v>
      </c>
      <c r="P10" s="61" t="str">
        <f aca="false">IF(OR(B10="",N(C10)=0),"",IF(N(J10)&gt;=1,"แล้วเสร็จ / Completed",IF(AND(N(I10)=0,N(J10)=0),"ยังไม่เริ่ม / Not Started",IF(N(J10)&gt;=N(I10),"ตามแผน / On Track",IF(N(J10)/I10&gt;=0.9,"เฝ้าระวัง / At Risk","ล่าช้า / Behind")))))</f>
        <v>ยังไม่เริ่ม / Not Started</v>
      </c>
      <c r="Q10" s="64" t="n">
        <f aca="false">IF(B10="","",N(I10)*N(E10))</f>
        <v>0</v>
      </c>
      <c r="R10" s="64" t="n">
        <f aca="false">IF(B10="","",N(J10)*N(E10))</f>
        <v>0</v>
      </c>
      <c r="S10" s="69" t="str">
        <f aca="false">IF(H10="","",IF(COUNTIFS('แผนงาน Schedule'!$B$7:$B$156,B10,'แผนงาน Schedule'!$D$7:$D$156,"&lt;&gt;",'แผนงาน Schedule'!$O$7:$O$156,"")=0,_xlfn.MAXIFS('แผนงาน Schedule'!$O$7:$O$156,'แผนงาน Schedule'!$B$7:$B$156,B10),'ตั้งค่า Setup'!$C$15))</f>
        <v/>
      </c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</row>
    <row r="11" customFormat="false" ht="24" hidden="false" customHeight="true" outlineLevel="0" collapsed="false">
      <c r="A11" s="61" t="n">
        <f aca="false">IF(B11="","",5)</f>
        <v>5</v>
      </c>
      <c r="B11" s="62" t="str">
        <f aca="false">IF('ตั้งค่า Setup'!$C$30="","",'ตั้งค่า Setup'!$C$30)</f>
        <v>งานรั้ว / Fence</v>
      </c>
      <c r="C11" s="61" t="n">
        <f aca="false">IF(B11="","",COUNTIFS('แผนงาน Schedule'!$B$7:$B$156,B11,'แผนงาน Schedule'!$D$7:$D$156,"&lt;&gt;"))</f>
        <v>2</v>
      </c>
      <c r="D11" s="63" t="n">
        <f aca="false">IF(B11="","",SUMIF('แผนงาน Schedule'!$B$7:$B$156,B11,'แผนงาน Schedule'!$H$7:$H$156))</f>
        <v>1600000</v>
      </c>
      <c r="E11" s="64" t="n">
        <f aca="false">IF(B11="","",SUMIF('แผนงาน Schedule'!$B$7:$B$156,B11,'แผนงาน Schedule'!$G$7:$G$156))</f>
        <v>0.0661157024793388</v>
      </c>
      <c r="F11" s="65" t="n">
        <f aca="false">IF(OR(B11="",N(C11)=0),"",_xlfn.MINIFS('แผนงาน Schedule'!$I$7:$I$156,'แผนงาน Schedule'!$B$7:$B$156,B11))</f>
        <v>46266</v>
      </c>
      <c r="G11" s="65" t="n">
        <f aca="false">IF(OR(B11="",N(C11)=0),"",_xlfn.MAXIFS('แผนงาน Schedule'!$J$7:$J$156,'แผนงาน Schedule'!$B$7:$B$156,B11))</f>
        <v>46371</v>
      </c>
      <c r="H11" s="65" t="n">
        <f aca="false">IF(OR(B11="",COUNTIFS('แผนงาน Schedule'!$B$7:$B$156,B11,'แผนงาน Schedule'!$N$7:$N$156,"&lt;&gt;")=0),"",_xlfn.MINIFS('แผนงาน Schedule'!$N$7:$N$156,'แผนงาน Schedule'!$B$7:$B$156,B11))</f>
        <v>46277</v>
      </c>
      <c r="I11" s="64" t="n">
        <f aca="false">IF(OR(B11="",N(E11)=0),"",SUMPRODUCT(('แผนงาน Schedule'!$B$7:$B$156=B11)*'แผนงาน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Schedule'!$I$7:$I$156+1)))/E11)</f>
        <v>0.272222222222222</v>
      </c>
      <c r="J11" s="64" t="n">
        <f aca="false">IF(OR(B11="",N(E11)=0),"",SUMPRODUCT(('แผนงาน Schedule'!$B$7:$B$156=B11)*'แผนงาน Schedule'!$G$7:$G$156*'แผนงาน Schedule'!$P$7:$P$156)/E11)</f>
        <v>0.13125</v>
      </c>
      <c r="K11" s="66" t="n">
        <f aca="false">IF(I11="","",J11-I11)</f>
        <v>-0.140972222222222</v>
      </c>
      <c r="L11" s="67" t="n">
        <f aca="false">IF(OR(I11="",N(I11)=0),"",J11/I11)</f>
        <v>0.482142857142857</v>
      </c>
      <c r="M11" s="65" t="n">
        <f aca="false">IF(OR(B11="",N(C11)=0),"",_xlfn.MAXIFS('แผนงาน Schedule'!$W$7:$W$156,'แผนงาน Schedule'!$B$7:$B$156,B11))</f>
        <v>46371</v>
      </c>
      <c r="N11" s="68" t="n">
        <f aca="false">IF(OR(M11="",G11=""),"",M11-G11)</f>
        <v>0</v>
      </c>
      <c r="O11" s="61" t="n">
        <f aca="false">IF(B11="","",COUNTIFS('แผนงาน Schedule'!$B$7:$B$156,B11,'แผนงาน Schedule'!$Y$7:$Y$156,"*ล่าช้า*")+COUNTIFS('แผนงาน Schedule'!$B$7:$B$156,B11,'แผนงาน Schedule'!$Y$7:$Y$156,"*เกินกำหนด*"))</f>
        <v>1</v>
      </c>
      <c r="P11" s="61" t="str">
        <f aca="false">IF(OR(B11="",N(C11)=0),"",IF(N(J11)&gt;=1,"แล้วเสร็จ / Completed",IF(AND(N(I11)=0,N(J11)=0),"ยังไม่เริ่ม / Not Started",IF(N(J11)&gt;=N(I11),"ตามแผน / On Track",IF(N(J11)/I11&gt;=0.9,"เฝ้าระวัง / At Risk","ล่าช้า / Behind")))))</f>
        <v>ล่าช้า / Behind</v>
      </c>
      <c r="Q11" s="64" t="n">
        <f aca="false">IF(B11="","",N(I11)*N(E11))</f>
        <v>0.0179981634527089</v>
      </c>
      <c r="R11" s="64" t="n">
        <f aca="false">IF(B11="","",N(J11)*N(E11))</f>
        <v>0.00867768595041321</v>
      </c>
      <c r="S11" s="69" t="n">
        <f aca="false">IF(H11="","",IF(COUNTIFS('แผนงาน Schedule'!$B$7:$B$156,B11,'แผนงาน Schedule'!$D$7:$D$156,"&lt;&gt;",'แผนงาน Schedule'!$O$7:$O$156,"")=0,_xlfn.MAXIFS('แผนงาน Schedule'!$O$7:$O$156,'แผนงาน Schedule'!$B$7:$B$156,B11),'ตั้งค่า Setup'!$C$15))</f>
        <v>46293</v>
      </c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</row>
    <row r="12" customFormat="false" ht="24" hidden="false" customHeight="true" outlineLevel="0" collapsed="false">
      <c r="A12" s="61" t="n">
        <f aca="false">IF(B12="","",6)</f>
        <v>6</v>
      </c>
      <c r="B12" s="62" t="str">
        <f aca="false">IF('ตั้งค่า Setup'!$C$31="","",'ตั้งค่า Setup'!$C$31)</f>
        <v>งานโรงจอดรถ / Carport</v>
      </c>
      <c r="C12" s="61" t="n">
        <f aca="false">IF(B12="","",COUNTIFS('แผนงาน Schedule'!$B$7:$B$156,B12,'แผนงาน Schedule'!$D$7:$D$156,"&lt;&gt;"))</f>
        <v>3</v>
      </c>
      <c r="D12" s="63" t="n">
        <f aca="false">IF(B12="","",SUMIF('แผนงาน Schedule'!$B$7:$B$156,B12,'แผนงาน Schedule'!$H$7:$H$156))</f>
        <v>1200000</v>
      </c>
      <c r="E12" s="64" t="n">
        <f aca="false">IF(B12="","",SUMIF('แผนงาน Schedule'!$B$7:$B$156,B12,'แผนงาน Schedule'!$G$7:$G$156))</f>
        <v>0.0495867768595042</v>
      </c>
      <c r="F12" s="65" t="n">
        <f aca="false">IF(OR(B12="",N(C12)=0),"",_xlfn.MINIFS('แผนงาน Schedule'!$I$7:$I$156,'แผนงาน Schedule'!$B$7:$B$156,B12))</f>
        <v>46357</v>
      </c>
      <c r="G12" s="65" t="n">
        <f aca="false">IF(OR(B12="",N(C12)=0),"",_xlfn.MAXIFS('แผนงาน Schedule'!$J$7:$J$156,'แผนงาน Schedule'!$B$7:$B$156,B12))</f>
        <v>46456</v>
      </c>
      <c r="H12" s="65" t="str">
        <f aca="false">IF(OR(B12="",COUNTIFS('แผนงาน Schedule'!$B$7:$B$156,B12,'แผนงาน Schedule'!$N$7:$N$156,"&lt;&gt;")=0),"",_xlfn.MINIFS('แผนงาน Schedule'!$N$7:$N$156,'แผนงาน Schedule'!$B$7:$B$156,B12))</f>
        <v/>
      </c>
      <c r="I12" s="64" t="n">
        <f aca="false">IF(OR(B12="",N(E12)=0),"",SUMPRODUCT(('แผนงาน Schedule'!$B$7:$B$156=B12)*'แผนงาน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Schedule'!$I$7:$I$156+1)))/E12)</f>
        <v>0</v>
      </c>
      <c r="J12" s="64" t="n">
        <f aca="false">IF(OR(B12="",N(E12)=0),"",SUMPRODUCT(('แผนงาน Schedule'!$B$7:$B$156=B12)*'แผนงาน Schedule'!$G$7:$G$156*'แผนงาน Schedule'!$P$7:$P$156)/E12)</f>
        <v>0</v>
      </c>
      <c r="K12" s="66" t="n">
        <f aca="false">IF(I12="","",J12-I12)</f>
        <v>0</v>
      </c>
      <c r="L12" s="67" t="str">
        <f aca="false">IF(OR(I12="",N(I12)=0),"",J12/I12)</f>
        <v/>
      </c>
      <c r="M12" s="65" t="n">
        <f aca="false">IF(OR(B12="",N(C12)=0),"",_xlfn.MAXIFS('แผนงาน Schedule'!$W$7:$W$156,'แผนงาน Schedule'!$B$7:$B$156,B12))</f>
        <v>46456</v>
      </c>
      <c r="N12" s="68" t="n">
        <f aca="false">IF(OR(M12="",G12=""),"",M12-G12)</f>
        <v>0</v>
      </c>
      <c r="O12" s="61" t="n">
        <f aca="false">IF(B12="","",COUNTIFS('แผนงาน Schedule'!$B$7:$B$156,B12,'แผนงาน Schedule'!$Y$7:$Y$156,"*ล่าช้า*")+COUNTIFS('แผนงาน Schedule'!$B$7:$B$156,B12,'แผนงาน Schedule'!$Y$7:$Y$156,"*เกินกำหนด*"))</f>
        <v>0</v>
      </c>
      <c r="P12" s="61" t="str">
        <f aca="false">IF(OR(B12="",N(C12)=0),"",IF(N(J12)&gt;=1,"แล้วเสร็จ / Completed",IF(AND(N(I12)=0,N(J12)=0),"ยังไม่เริ่ม / Not Started",IF(N(J12)&gt;=N(I12),"ตามแผน / On Track",IF(N(J12)/I12&gt;=0.9,"เฝ้าระวัง / At Risk","ล่าช้า / Behind")))))</f>
        <v>ยังไม่เริ่ม / Not Started</v>
      </c>
      <c r="Q12" s="64" t="n">
        <f aca="false">IF(B12="","",N(I12)*N(E12))</f>
        <v>0</v>
      </c>
      <c r="R12" s="64" t="n">
        <f aca="false">IF(B12="","",N(J12)*N(E12))</f>
        <v>0</v>
      </c>
      <c r="S12" s="69" t="str">
        <f aca="false">IF(H12="","",IF(COUNTIFS('แผนงาน Schedule'!$B$7:$B$156,B12,'แผนงาน Schedule'!$D$7:$D$156,"&lt;&gt;",'แผนงาน Schedule'!$O$7:$O$156,"")=0,_xlfn.MAXIFS('แผนงาน Schedule'!$O$7:$O$156,'แผนงาน Schedule'!$B$7:$B$156,B12),'ตั้งค่า Setup'!$C$15))</f>
        <v/>
      </c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</row>
    <row r="13" customFormat="false" ht="24" hidden="false" customHeight="true" outlineLevel="0" collapsed="false">
      <c r="A13" s="61" t="str">
        <f aca="false">IF(B13="","",7)</f>
        <v/>
      </c>
      <c r="B13" s="62" t="str">
        <f aca="false">IF('ตั้งค่า Setup'!$C$32="","",'ตั้งค่า Setup'!$C$32)</f>
        <v/>
      </c>
      <c r="C13" s="61" t="str">
        <f aca="false">IF(B13="","",COUNTIFS('แผนงาน Schedule'!$B$7:$B$156,B13,'แผนงาน Schedule'!$D$7:$D$156,"&lt;&gt;"))</f>
        <v/>
      </c>
      <c r="D13" s="63" t="str">
        <f aca="false">IF(B13="","",SUMIF('แผนงาน Schedule'!$B$7:$B$156,B13,'แผนงาน Schedule'!$H$7:$H$156))</f>
        <v/>
      </c>
      <c r="E13" s="64" t="str">
        <f aca="false">IF(B13="","",SUMIF('แผนงาน Schedule'!$B$7:$B$156,B13,'แผนงาน Schedule'!$G$7:$G$156))</f>
        <v/>
      </c>
      <c r="F13" s="65" t="str">
        <f aca="false">IF(OR(B13="",N(C13)=0),"",_xlfn.MINIFS('แผนงาน Schedule'!$I$7:$I$156,'แผนงาน Schedule'!$B$7:$B$156,B13))</f>
        <v/>
      </c>
      <c r="G13" s="65" t="str">
        <f aca="false">IF(OR(B13="",N(C13)=0),"",_xlfn.MAXIFS('แผนงาน Schedule'!$J$7:$J$156,'แผนงาน Schedule'!$B$7:$B$156,B13))</f>
        <v/>
      </c>
      <c r="H13" s="65" t="str">
        <f aca="false">IF(OR(B13="",COUNTIFS('แผนงาน Schedule'!$B$7:$B$156,B13,'แผนงาน Schedule'!$N$7:$N$156,"&lt;&gt;")=0),"",_xlfn.MINIFS('แผนงาน Schedule'!$N$7:$N$156,'แผนงาน Schedule'!$B$7:$B$156,B13))</f>
        <v/>
      </c>
      <c r="I13" s="64" t="str">
        <f aca="false">IF(OR(B13="",N(E13)=0),"",SUMPRODUCT(('แผนงาน Schedule'!$B$7:$B$156=B13)*'แผนงาน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Schedule'!$I$7:$I$156+1)))/E13)</f>
        <v/>
      </c>
      <c r="J13" s="64" t="str">
        <f aca="false">IF(OR(B13="",N(E13)=0),"",SUMPRODUCT(('แผนงาน Schedule'!$B$7:$B$156=B13)*'แผนงาน Schedule'!$G$7:$G$156*'แผนงาน Schedule'!$P$7:$P$156)/E13)</f>
        <v/>
      </c>
      <c r="K13" s="66" t="str">
        <f aca="false">IF(I13="","",J13-I13)</f>
        <v/>
      </c>
      <c r="L13" s="67" t="str">
        <f aca="false">IF(OR(I13="",N(I13)=0),"",J13/I13)</f>
        <v/>
      </c>
      <c r="M13" s="65" t="str">
        <f aca="false">IF(OR(B13="",N(C13)=0),"",_xlfn.MAXIFS('แผนงาน Schedule'!$W$7:$W$156,'แผนงาน Schedule'!$B$7:$B$156,B13))</f>
        <v/>
      </c>
      <c r="N13" s="68" t="str">
        <f aca="false">IF(OR(M13="",G13=""),"",M13-G13)</f>
        <v/>
      </c>
      <c r="O13" s="61" t="str">
        <f aca="false">IF(B13="","",COUNTIFS('แผนงาน Schedule'!$B$7:$B$156,B13,'แผนงาน Schedule'!$Y$7:$Y$156,"*ล่าช้า*")+COUNTIFS('แผนงาน Schedule'!$B$7:$B$156,B13,'แผนงาน Schedule'!$Y$7:$Y$156,"*เกินกำหนด*"))</f>
        <v/>
      </c>
      <c r="P13" s="61" t="str">
        <f aca="false">IF(OR(B13="",N(C13)=0),"",IF(N(J13)&gt;=1,"แล้วเสร็จ / Completed",IF(AND(N(I13)=0,N(J13)=0),"ยังไม่เริ่ม / Not Started",IF(N(J13)&gt;=N(I13),"ตามแผน / On Track",IF(N(J13)/I13&gt;=0.9,"เฝ้าระวัง / At Risk","ล่าช้า / Behind")))))</f>
        <v/>
      </c>
      <c r="Q13" s="64" t="str">
        <f aca="false">IF(B13="","",N(I13)*N(E13))</f>
        <v/>
      </c>
      <c r="R13" s="64" t="str">
        <f aca="false">IF(B13="","",N(J13)*N(E13))</f>
        <v/>
      </c>
      <c r="S13" s="69" t="str">
        <f aca="false">IF(H13="","",IF(COUNTIFS('แผนงาน Schedule'!$B$7:$B$156,B13,'แผนงาน Schedule'!$D$7:$D$156,"&lt;&gt;",'แผนงาน Schedule'!$O$7:$O$156,"")=0,_xlfn.MAXIFS('แผนงาน Schedule'!$O$7:$O$156,'แผนงาน Schedule'!$B$7:$B$156,B13),'ตั้งค่า Setup'!$C$15))</f>
        <v/>
      </c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  <c r="CR13" s="70"/>
      <c r="CS13" s="70"/>
      <c r="CT13" s="70"/>
      <c r="CU13" s="70"/>
      <c r="CV13" s="70"/>
    </row>
    <row r="14" customFormat="false" ht="24" hidden="false" customHeight="true" outlineLevel="0" collapsed="false">
      <c r="A14" s="61" t="str">
        <f aca="false">IF(B14="","",8)</f>
        <v/>
      </c>
      <c r="B14" s="62" t="str">
        <f aca="false">IF('ตั้งค่า Setup'!$C$33="","",'ตั้งค่า Setup'!$C$33)</f>
        <v/>
      </c>
      <c r="C14" s="61" t="str">
        <f aca="false">IF(B14="","",COUNTIFS('แผนงาน Schedule'!$B$7:$B$156,B14,'แผนงาน Schedule'!$D$7:$D$156,"&lt;&gt;"))</f>
        <v/>
      </c>
      <c r="D14" s="63" t="str">
        <f aca="false">IF(B14="","",SUMIF('แผนงาน Schedule'!$B$7:$B$156,B14,'แผนงาน Schedule'!$H$7:$H$156))</f>
        <v/>
      </c>
      <c r="E14" s="64" t="str">
        <f aca="false">IF(B14="","",SUMIF('แผนงาน Schedule'!$B$7:$B$156,B14,'แผนงาน Schedule'!$G$7:$G$156))</f>
        <v/>
      </c>
      <c r="F14" s="65" t="str">
        <f aca="false">IF(OR(B14="",N(C14)=0),"",_xlfn.MINIFS('แผนงาน Schedule'!$I$7:$I$156,'แผนงาน Schedule'!$B$7:$B$156,B14))</f>
        <v/>
      </c>
      <c r="G14" s="65" t="str">
        <f aca="false">IF(OR(B14="",N(C14)=0),"",_xlfn.MAXIFS('แผนงาน Schedule'!$J$7:$J$156,'แผนงาน Schedule'!$B$7:$B$156,B14))</f>
        <v/>
      </c>
      <c r="H14" s="65" t="str">
        <f aca="false">IF(OR(B14="",COUNTIFS('แผนงาน Schedule'!$B$7:$B$156,B14,'แผนงาน Schedule'!$N$7:$N$156,"&lt;&gt;")=0),"",_xlfn.MINIFS('แผนงาน Schedule'!$N$7:$N$156,'แผนงาน Schedule'!$B$7:$B$156,B14))</f>
        <v/>
      </c>
      <c r="I14" s="64" t="str">
        <f aca="false">IF(OR(B14="",N(E14)=0),"",SUMPRODUCT(('แผนงาน Schedule'!$B$7:$B$156=B14)*'แผนงาน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Schedule'!$I$7:$I$156+1)))/E14)</f>
        <v/>
      </c>
      <c r="J14" s="64" t="str">
        <f aca="false">IF(OR(B14="",N(E14)=0),"",SUMPRODUCT(('แผนงาน Schedule'!$B$7:$B$156=B14)*'แผนงาน Schedule'!$G$7:$G$156*'แผนงาน Schedule'!$P$7:$P$156)/E14)</f>
        <v/>
      </c>
      <c r="K14" s="66" t="str">
        <f aca="false">IF(I14="","",J14-I14)</f>
        <v/>
      </c>
      <c r="L14" s="67" t="str">
        <f aca="false">IF(OR(I14="",N(I14)=0),"",J14/I14)</f>
        <v/>
      </c>
      <c r="M14" s="65" t="str">
        <f aca="false">IF(OR(B14="",N(C14)=0),"",_xlfn.MAXIFS('แผนงาน Schedule'!$W$7:$W$156,'แผนงาน Schedule'!$B$7:$B$156,B14))</f>
        <v/>
      </c>
      <c r="N14" s="68" t="str">
        <f aca="false">IF(OR(M14="",G14=""),"",M14-G14)</f>
        <v/>
      </c>
      <c r="O14" s="61" t="str">
        <f aca="false">IF(B14="","",COUNTIFS('แผนงาน Schedule'!$B$7:$B$156,B14,'แผนงาน Schedule'!$Y$7:$Y$156,"*ล่าช้า*")+COUNTIFS('แผนงาน Schedule'!$B$7:$B$156,B14,'แผนงาน Schedule'!$Y$7:$Y$156,"*เกินกำหนด*"))</f>
        <v/>
      </c>
      <c r="P14" s="61" t="str">
        <f aca="false">IF(OR(B14="",N(C14)=0),"",IF(N(J14)&gt;=1,"แล้วเสร็จ / Completed",IF(AND(N(I14)=0,N(J14)=0),"ยังไม่เริ่ม / Not Started",IF(N(J14)&gt;=N(I14),"ตามแผน / On Track",IF(N(J14)/I14&gt;=0.9,"เฝ้าระวัง / At Risk","ล่าช้า / Behind")))))</f>
        <v/>
      </c>
      <c r="Q14" s="64" t="str">
        <f aca="false">IF(B14="","",N(I14)*N(E14))</f>
        <v/>
      </c>
      <c r="R14" s="64" t="str">
        <f aca="false">IF(B14="","",N(J14)*N(E14))</f>
        <v/>
      </c>
      <c r="S14" s="69" t="str">
        <f aca="false">IF(H14="","",IF(COUNTIFS('แผนงาน Schedule'!$B$7:$B$156,B14,'แผนงาน Schedule'!$D$7:$D$156,"&lt;&gt;",'แผนงาน Schedule'!$O$7:$O$156,"")=0,_xlfn.MAXIFS('แผนงาน Schedule'!$O$7:$O$156,'แผนงาน Schedule'!$B$7:$B$156,B14),'ตั้งค่า Setup'!$C$15))</f>
        <v/>
      </c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  <c r="CS14" s="70"/>
      <c r="CT14" s="70"/>
      <c r="CU14" s="70"/>
      <c r="CV14" s="70"/>
    </row>
    <row r="15" customFormat="false" ht="24" hidden="false" customHeight="true" outlineLevel="0" collapsed="false">
      <c r="A15" s="61" t="str">
        <f aca="false">IF(B15="","",9)</f>
        <v/>
      </c>
      <c r="B15" s="62" t="str">
        <f aca="false">IF('ตั้งค่า Setup'!$C$34="","",'ตั้งค่า Setup'!$C$34)</f>
        <v/>
      </c>
      <c r="C15" s="61" t="str">
        <f aca="false">IF(B15="","",COUNTIFS('แผนงาน Schedule'!$B$7:$B$156,B15,'แผนงาน Schedule'!$D$7:$D$156,"&lt;&gt;"))</f>
        <v/>
      </c>
      <c r="D15" s="63" t="str">
        <f aca="false">IF(B15="","",SUMIF('แผนงาน Schedule'!$B$7:$B$156,B15,'แผนงาน Schedule'!$H$7:$H$156))</f>
        <v/>
      </c>
      <c r="E15" s="64" t="str">
        <f aca="false">IF(B15="","",SUMIF('แผนงาน Schedule'!$B$7:$B$156,B15,'แผนงาน Schedule'!$G$7:$G$156))</f>
        <v/>
      </c>
      <c r="F15" s="65" t="str">
        <f aca="false">IF(OR(B15="",N(C15)=0),"",_xlfn.MINIFS('แผนงาน Schedule'!$I$7:$I$156,'แผนงาน Schedule'!$B$7:$B$156,B15))</f>
        <v/>
      </c>
      <c r="G15" s="65" t="str">
        <f aca="false">IF(OR(B15="",N(C15)=0),"",_xlfn.MAXIFS('แผนงาน Schedule'!$J$7:$J$156,'แผนงาน Schedule'!$B$7:$B$156,B15))</f>
        <v/>
      </c>
      <c r="H15" s="65" t="str">
        <f aca="false">IF(OR(B15="",COUNTIFS('แผนงาน Schedule'!$B$7:$B$156,B15,'แผนงาน Schedule'!$N$7:$N$156,"&lt;&gt;")=0),"",_xlfn.MINIFS('แผนงาน Schedule'!$N$7:$N$156,'แผนงาน Schedule'!$B$7:$B$156,B15))</f>
        <v/>
      </c>
      <c r="I15" s="64" t="str">
        <f aca="false">IF(OR(B15="",N(E15)=0),"",SUMPRODUCT(('แผนงาน Schedule'!$B$7:$B$156=B15)*'แผนงาน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Schedule'!$I$7:$I$156+1)))/E15)</f>
        <v/>
      </c>
      <c r="J15" s="64" t="str">
        <f aca="false">IF(OR(B15="",N(E15)=0),"",SUMPRODUCT(('แผนงาน Schedule'!$B$7:$B$156=B15)*'แผนงาน Schedule'!$G$7:$G$156*'แผนงาน Schedule'!$P$7:$P$156)/E15)</f>
        <v/>
      </c>
      <c r="K15" s="66" t="str">
        <f aca="false">IF(I15="","",J15-I15)</f>
        <v/>
      </c>
      <c r="L15" s="67" t="str">
        <f aca="false">IF(OR(I15="",N(I15)=0),"",J15/I15)</f>
        <v/>
      </c>
      <c r="M15" s="65" t="str">
        <f aca="false">IF(OR(B15="",N(C15)=0),"",_xlfn.MAXIFS('แผนงาน Schedule'!$W$7:$W$156,'แผนงาน Schedule'!$B$7:$B$156,B15))</f>
        <v/>
      </c>
      <c r="N15" s="68" t="str">
        <f aca="false">IF(OR(M15="",G15=""),"",M15-G15)</f>
        <v/>
      </c>
      <c r="O15" s="61" t="str">
        <f aca="false">IF(B15="","",COUNTIFS('แผนงาน Schedule'!$B$7:$B$156,B15,'แผนงาน Schedule'!$Y$7:$Y$156,"*ล่าช้า*")+COUNTIFS('แผนงาน Schedule'!$B$7:$B$156,B15,'แผนงาน Schedule'!$Y$7:$Y$156,"*เกินกำหนด*"))</f>
        <v/>
      </c>
      <c r="P15" s="61" t="str">
        <f aca="false">IF(OR(B15="",N(C15)=0),"",IF(N(J15)&gt;=1,"แล้วเสร็จ / Completed",IF(AND(N(I15)=0,N(J15)=0),"ยังไม่เริ่ม / Not Started",IF(N(J15)&gt;=N(I15),"ตามแผน / On Track",IF(N(J15)/I15&gt;=0.9,"เฝ้าระวัง / At Risk","ล่าช้า / Behind")))))</f>
        <v/>
      </c>
      <c r="Q15" s="64" t="str">
        <f aca="false">IF(B15="","",N(I15)*N(E15))</f>
        <v/>
      </c>
      <c r="R15" s="64" t="str">
        <f aca="false">IF(B15="","",N(J15)*N(E15))</f>
        <v/>
      </c>
      <c r="S15" s="69" t="str">
        <f aca="false">IF(H15="","",IF(COUNTIFS('แผนงาน Schedule'!$B$7:$B$156,B15,'แผนงาน Schedule'!$D$7:$D$156,"&lt;&gt;",'แผนงาน Schedule'!$O$7:$O$156,"")=0,_xlfn.MAXIFS('แผนงาน Schedule'!$O$7:$O$156,'แผนงาน Schedule'!$B$7:$B$156,B15),'ตั้งค่า Setup'!$C$15))</f>
        <v/>
      </c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70"/>
      <c r="CM15" s="70"/>
      <c r="CN15" s="70"/>
      <c r="CO15" s="70"/>
      <c r="CP15" s="70"/>
      <c r="CQ15" s="70"/>
      <c r="CR15" s="70"/>
      <c r="CS15" s="70"/>
      <c r="CT15" s="70"/>
      <c r="CU15" s="70"/>
      <c r="CV15" s="70"/>
    </row>
    <row r="16" customFormat="false" ht="24" hidden="false" customHeight="true" outlineLevel="0" collapsed="false">
      <c r="A16" s="61" t="str">
        <f aca="false">IF(B16="","",10)</f>
        <v/>
      </c>
      <c r="B16" s="62" t="str">
        <f aca="false">IF('ตั้งค่า Setup'!$C$35="","",'ตั้งค่า Setup'!$C$35)</f>
        <v/>
      </c>
      <c r="C16" s="61" t="str">
        <f aca="false">IF(B16="","",COUNTIFS('แผนงาน Schedule'!$B$7:$B$156,B16,'แผนงาน Schedule'!$D$7:$D$156,"&lt;&gt;"))</f>
        <v/>
      </c>
      <c r="D16" s="63" t="str">
        <f aca="false">IF(B16="","",SUMIF('แผนงาน Schedule'!$B$7:$B$156,B16,'แผนงาน Schedule'!$H$7:$H$156))</f>
        <v/>
      </c>
      <c r="E16" s="64" t="str">
        <f aca="false">IF(B16="","",SUMIF('แผนงาน Schedule'!$B$7:$B$156,B16,'แผนงาน Schedule'!$G$7:$G$156))</f>
        <v/>
      </c>
      <c r="F16" s="65" t="str">
        <f aca="false">IF(OR(B16="",N(C16)=0),"",_xlfn.MINIFS('แผนงาน Schedule'!$I$7:$I$156,'แผนงาน Schedule'!$B$7:$B$156,B16))</f>
        <v/>
      </c>
      <c r="G16" s="65" t="str">
        <f aca="false">IF(OR(B16="",N(C16)=0),"",_xlfn.MAXIFS('แผนงาน Schedule'!$J$7:$J$156,'แผนงาน Schedule'!$B$7:$B$156,B16))</f>
        <v/>
      </c>
      <c r="H16" s="65" t="str">
        <f aca="false">IF(OR(B16="",COUNTIFS('แผนงาน Schedule'!$B$7:$B$156,B16,'แผนงาน Schedule'!$N$7:$N$156,"&lt;&gt;")=0),"",_xlfn.MINIFS('แผนงาน Schedule'!$N$7:$N$156,'แผนงาน Schedule'!$B$7:$B$156,B16))</f>
        <v/>
      </c>
      <c r="I16" s="64" t="str">
        <f aca="false">IF(OR(B16="",N(E16)=0),"",SUMPRODUCT(('แผนงาน Schedule'!$B$7:$B$156=B16)*'แผนงาน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Schedule'!$I$7:$I$156+1)))/E16)</f>
        <v/>
      </c>
      <c r="J16" s="64" t="str">
        <f aca="false">IF(OR(B16="",N(E16)=0),"",SUMPRODUCT(('แผนงาน Schedule'!$B$7:$B$156=B16)*'แผนงาน Schedule'!$G$7:$G$156*'แผนงาน Schedule'!$P$7:$P$156)/E16)</f>
        <v/>
      </c>
      <c r="K16" s="66" t="str">
        <f aca="false">IF(I16="","",J16-I16)</f>
        <v/>
      </c>
      <c r="L16" s="67" t="str">
        <f aca="false">IF(OR(I16="",N(I16)=0),"",J16/I16)</f>
        <v/>
      </c>
      <c r="M16" s="65" t="str">
        <f aca="false">IF(OR(B16="",N(C16)=0),"",_xlfn.MAXIFS('แผนงาน Schedule'!$W$7:$W$156,'แผนงาน Schedule'!$B$7:$B$156,B16))</f>
        <v/>
      </c>
      <c r="N16" s="68" t="str">
        <f aca="false">IF(OR(M16="",G16=""),"",M16-G16)</f>
        <v/>
      </c>
      <c r="O16" s="61" t="str">
        <f aca="false">IF(B16="","",COUNTIFS('แผนงาน Schedule'!$B$7:$B$156,B16,'แผนงาน Schedule'!$Y$7:$Y$156,"*ล่าช้า*")+COUNTIFS('แผนงาน Schedule'!$B$7:$B$156,B16,'แผนงาน Schedule'!$Y$7:$Y$156,"*เกินกำหนด*"))</f>
        <v/>
      </c>
      <c r="P16" s="61" t="str">
        <f aca="false">IF(OR(B16="",N(C16)=0),"",IF(N(J16)&gt;=1,"แล้วเสร็จ / Completed",IF(AND(N(I16)=0,N(J16)=0),"ยังไม่เริ่ม / Not Started",IF(N(J16)&gt;=N(I16),"ตามแผน / On Track",IF(N(J16)/I16&gt;=0.9,"เฝ้าระวัง / At Risk","ล่าช้า / Behind")))))</f>
        <v/>
      </c>
      <c r="Q16" s="64" t="str">
        <f aca="false">IF(B16="","",N(I16)*N(E16))</f>
        <v/>
      </c>
      <c r="R16" s="64" t="str">
        <f aca="false">IF(B16="","",N(J16)*N(E16))</f>
        <v/>
      </c>
      <c r="S16" s="69" t="str">
        <f aca="false">IF(H16="","",IF(COUNTIFS('แผนงาน Schedule'!$B$7:$B$156,B16,'แผนงาน Schedule'!$D$7:$D$156,"&lt;&gt;",'แผนงาน Schedule'!$O$7:$O$156,"")=0,_xlfn.MAXIFS('แผนงาน Schedule'!$O$7:$O$156,'แผนงาน Schedule'!$B$7:$B$156,B16),'ตั้งค่า Setup'!$C$15))</f>
        <v/>
      </c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</row>
    <row r="17" customFormat="false" ht="24" hidden="false" customHeight="true" outlineLevel="0" collapsed="false">
      <c r="A17" s="61" t="str">
        <f aca="false">IF(B17="","",11)</f>
        <v/>
      </c>
      <c r="B17" s="62" t="str">
        <f aca="false">IF('ตั้งค่า Setup'!$C$36="","",'ตั้งค่า Setup'!$C$36)</f>
        <v/>
      </c>
      <c r="C17" s="61" t="str">
        <f aca="false">IF(B17="","",COUNTIFS('แผนงาน Schedule'!$B$7:$B$156,B17,'แผนงาน Schedule'!$D$7:$D$156,"&lt;&gt;"))</f>
        <v/>
      </c>
      <c r="D17" s="63" t="str">
        <f aca="false">IF(B17="","",SUMIF('แผนงาน Schedule'!$B$7:$B$156,B17,'แผนงาน Schedule'!$H$7:$H$156))</f>
        <v/>
      </c>
      <c r="E17" s="64" t="str">
        <f aca="false">IF(B17="","",SUMIF('แผนงาน Schedule'!$B$7:$B$156,B17,'แผนงาน Schedule'!$G$7:$G$156))</f>
        <v/>
      </c>
      <c r="F17" s="65" t="str">
        <f aca="false">IF(OR(B17="",N(C17)=0),"",_xlfn.MINIFS('แผนงาน Schedule'!$I$7:$I$156,'แผนงาน Schedule'!$B$7:$B$156,B17))</f>
        <v/>
      </c>
      <c r="G17" s="65" t="str">
        <f aca="false">IF(OR(B17="",N(C17)=0),"",_xlfn.MAXIFS('แผนงาน Schedule'!$J$7:$J$156,'แผนงาน Schedule'!$B$7:$B$156,B17))</f>
        <v/>
      </c>
      <c r="H17" s="65" t="str">
        <f aca="false">IF(OR(B17="",COUNTIFS('แผนงาน Schedule'!$B$7:$B$156,B17,'แผนงาน Schedule'!$N$7:$N$156,"&lt;&gt;")=0),"",_xlfn.MINIFS('แผนงาน Schedule'!$N$7:$N$156,'แผนงาน Schedule'!$B$7:$B$156,B17))</f>
        <v/>
      </c>
      <c r="I17" s="64" t="str">
        <f aca="false">IF(OR(B17="",N(E17)=0),"",SUMPRODUCT(('แผนงาน Schedule'!$B$7:$B$156=B17)*'แผนงาน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Schedule'!$I$7:$I$156+1)))/E17)</f>
        <v/>
      </c>
      <c r="J17" s="64" t="str">
        <f aca="false">IF(OR(B17="",N(E17)=0),"",SUMPRODUCT(('แผนงาน Schedule'!$B$7:$B$156=B17)*'แผนงาน Schedule'!$G$7:$G$156*'แผนงาน Schedule'!$P$7:$P$156)/E17)</f>
        <v/>
      </c>
      <c r="K17" s="66" t="str">
        <f aca="false">IF(I17="","",J17-I17)</f>
        <v/>
      </c>
      <c r="L17" s="67" t="str">
        <f aca="false">IF(OR(I17="",N(I17)=0),"",J17/I17)</f>
        <v/>
      </c>
      <c r="M17" s="65" t="str">
        <f aca="false">IF(OR(B17="",N(C17)=0),"",_xlfn.MAXIFS('แผนงาน Schedule'!$W$7:$W$156,'แผนงาน Schedule'!$B$7:$B$156,B17))</f>
        <v/>
      </c>
      <c r="N17" s="68" t="str">
        <f aca="false">IF(OR(M17="",G17=""),"",M17-G17)</f>
        <v/>
      </c>
      <c r="O17" s="61" t="str">
        <f aca="false">IF(B17="","",COUNTIFS('แผนงาน Schedule'!$B$7:$B$156,B17,'แผนงาน Schedule'!$Y$7:$Y$156,"*ล่าช้า*")+COUNTIFS('แผนงาน Schedule'!$B$7:$B$156,B17,'แผนงาน Schedule'!$Y$7:$Y$156,"*เกินกำหนด*"))</f>
        <v/>
      </c>
      <c r="P17" s="61" t="str">
        <f aca="false">IF(OR(B17="",N(C17)=0),"",IF(N(J17)&gt;=1,"แล้วเสร็จ / Completed",IF(AND(N(I17)=0,N(J17)=0),"ยังไม่เริ่ม / Not Started",IF(N(J17)&gt;=N(I17),"ตามแผน / On Track",IF(N(J17)/I17&gt;=0.9,"เฝ้าระวัง / At Risk","ล่าช้า / Behind")))))</f>
        <v/>
      </c>
      <c r="Q17" s="64" t="str">
        <f aca="false">IF(B17="","",N(I17)*N(E17))</f>
        <v/>
      </c>
      <c r="R17" s="64" t="str">
        <f aca="false">IF(B17="","",N(J17)*N(E17))</f>
        <v/>
      </c>
      <c r="S17" s="69" t="str">
        <f aca="false">IF(H17="","",IF(COUNTIFS('แผนงาน Schedule'!$B$7:$B$156,B17,'แผนงาน Schedule'!$D$7:$D$156,"&lt;&gt;",'แผนงาน Schedule'!$O$7:$O$156,"")=0,_xlfn.MAXIFS('แผนงาน Schedule'!$O$7:$O$156,'แผนงาน Schedule'!$B$7:$B$156,B17),'ตั้งค่า Setup'!$C$15))</f>
        <v/>
      </c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</row>
    <row r="18" customFormat="false" ht="24" hidden="false" customHeight="true" outlineLevel="0" collapsed="false">
      <c r="A18" s="61" t="str">
        <f aca="false">IF(B18="","",12)</f>
        <v/>
      </c>
      <c r="B18" s="62" t="str">
        <f aca="false">IF('ตั้งค่า Setup'!$C$37="","",'ตั้งค่า Setup'!$C$37)</f>
        <v/>
      </c>
      <c r="C18" s="61" t="str">
        <f aca="false">IF(B18="","",COUNTIFS('แผนงาน Schedule'!$B$7:$B$156,B18,'แผนงาน Schedule'!$D$7:$D$156,"&lt;&gt;"))</f>
        <v/>
      </c>
      <c r="D18" s="63" t="str">
        <f aca="false">IF(B18="","",SUMIF('แผนงาน Schedule'!$B$7:$B$156,B18,'แผนงาน Schedule'!$H$7:$H$156))</f>
        <v/>
      </c>
      <c r="E18" s="64" t="str">
        <f aca="false">IF(B18="","",SUMIF('แผนงาน Schedule'!$B$7:$B$156,B18,'แผนงาน Schedule'!$G$7:$G$156))</f>
        <v/>
      </c>
      <c r="F18" s="65" t="str">
        <f aca="false">IF(OR(B18="",N(C18)=0),"",_xlfn.MINIFS('แผนงาน Schedule'!$I$7:$I$156,'แผนงาน Schedule'!$B$7:$B$156,B18))</f>
        <v/>
      </c>
      <c r="G18" s="65" t="str">
        <f aca="false">IF(OR(B18="",N(C18)=0),"",_xlfn.MAXIFS('แผนงาน Schedule'!$J$7:$J$156,'แผนงาน Schedule'!$B$7:$B$156,B18))</f>
        <v/>
      </c>
      <c r="H18" s="65" t="str">
        <f aca="false">IF(OR(B18="",COUNTIFS('แผนงาน Schedule'!$B$7:$B$156,B18,'แผนงาน Schedule'!$N$7:$N$156,"&lt;&gt;")=0),"",_xlfn.MINIFS('แผนงาน Schedule'!$N$7:$N$156,'แผนงาน Schedule'!$B$7:$B$156,B18))</f>
        <v/>
      </c>
      <c r="I18" s="64" t="str">
        <f aca="false">IF(OR(B18="",N(E18)=0),"",SUMPRODUCT(('แผนงาน Schedule'!$B$7:$B$156=B18)*'แผนงาน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Schedule'!$I$7:$I$156+1)))/E18)</f>
        <v/>
      </c>
      <c r="J18" s="64" t="str">
        <f aca="false">IF(OR(B18="",N(E18)=0),"",SUMPRODUCT(('แผนงาน Schedule'!$B$7:$B$156=B18)*'แผนงาน Schedule'!$G$7:$G$156*'แผนงาน Schedule'!$P$7:$P$156)/E18)</f>
        <v/>
      </c>
      <c r="K18" s="66" t="str">
        <f aca="false">IF(I18="","",J18-I18)</f>
        <v/>
      </c>
      <c r="L18" s="67" t="str">
        <f aca="false">IF(OR(I18="",N(I18)=0),"",J18/I18)</f>
        <v/>
      </c>
      <c r="M18" s="65" t="str">
        <f aca="false">IF(OR(B18="",N(C18)=0),"",_xlfn.MAXIFS('แผนงาน Schedule'!$W$7:$W$156,'แผนงาน Schedule'!$B$7:$B$156,B18))</f>
        <v/>
      </c>
      <c r="N18" s="68" t="str">
        <f aca="false">IF(OR(M18="",G18=""),"",M18-G18)</f>
        <v/>
      </c>
      <c r="O18" s="61" t="str">
        <f aca="false">IF(B18="","",COUNTIFS('แผนงาน Schedule'!$B$7:$B$156,B18,'แผนงาน Schedule'!$Y$7:$Y$156,"*ล่าช้า*")+COUNTIFS('แผนงาน Schedule'!$B$7:$B$156,B18,'แผนงาน Schedule'!$Y$7:$Y$156,"*เกินกำหนด*"))</f>
        <v/>
      </c>
      <c r="P18" s="61" t="str">
        <f aca="false">IF(OR(B18="",N(C18)=0),"",IF(N(J18)&gt;=1,"แล้วเสร็จ / Completed",IF(AND(N(I18)=0,N(J18)=0),"ยังไม่เริ่ม / Not Started",IF(N(J18)&gt;=N(I18),"ตามแผน / On Track",IF(N(J18)/I18&gt;=0.9,"เฝ้าระวัง / At Risk","ล่าช้า / Behind")))))</f>
        <v/>
      </c>
      <c r="Q18" s="64" t="str">
        <f aca="false">IF(B18="","",N(I18)*N(E18))</f>
        <v/>
      </c>
      <c r="R18" s="64" t="str">
        <f aca="false">IF(B18="","",N(J18)*N(E18))</f>
        <v/>
      </c>
      <c r="S18" s="69" t="str">
        <f aca="false">IF(H18="","",IF(COUNTIFS('แผนงาน Schedule'!$B$7:$B$156,B18,'แผนงาน Schedule'!$D$7:$D$156,"&lt;&gt;",'แผนงาน Schedule'!$O$7:$O$156,"")=0,_xlfn.MAXIFS('แผนงาน Schedule'!$O$7:$O$156,'แผนงาน Schedule'!$B$7:$B$156,B18),'ตั้งค่า Setup'!$C$15))</f>
        <v/>
      </c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</row>
    <row r="19" customFormat="false" ht="24" hidden="false" customHeight="true" outlineLevel="0" collapsed="false">
      <c r="A19" s="61" t="str">
        <f aca="false">IF(B19="","",13)</f>
        <v/>
      </c>
      <c r="B19" s="62" t="str">
        <f aca="false">IF('ตั้งค่า Setup'!$C$38="","",'ตั้งค่า Setup'!$C$38)</f>
        <v/>
      </c>
      <c r="C19" s="61" t="str">
        <f aca="false">IF(B19="","",COUNTIFS('แผนงาน Schedule'!$B$7:$B$156,B19,'แผนงาน Schedule'!$D$7:$D$156,"&lt;&gt;"))</f>
        <v/>
      </c>
      <c r="D19" s="63" t="str">
        <f aca="false">IF(B19="","",SUMIF('แผนงาน Schedule'!$B$7:$B$156,B19,'แผนงาน Schedule'!$H$7:$H$156))</f>
        <v/>
      </c>
      <c r="E19" s="64" t="str">
        <f aca="false">IF(B19="","",SUMIF('แผนงาน Schedule'!$B$7:$B$156,B19,'แผนงาน Schedule'!$G$7:$G$156))</f>
        <v/>
      </c>
      <c r="F19" s="65" t="str">
        <f aca="false">IF(OR(B19="",N(C19)=0),"",_xlfn.MINIFS('แผนงาน Schedule'!$I$7:$I$156,'แผนงาน Schedule'!$B$7:$B$156,B19))</f>
        <v/>
      </c>
      <c r="G19" s="65" t="str">
        <f aca="false">IF(OR(B19="",N(C19)=0),"",_xlfn.MAXIFS('แผนงาน Schedule'!$J$7:$J$156,'แผนงาน Schedule'!$B$7:$B$156,B19))</f>
        <v/>
      </c>
      <c r="H19" s="65" t="str">
        <f aca="false">IF(OR(B19="",COUNTIFS('แผนงาน Schedule'!$B$7:$B$156,B19,'แผนงาน Schedule'!$N$7:$N$156,"&lt;&gt;")=0),"",_xlfn.MINIFS('แผนงาน Schedule'!$N$7:$N$156,'แผนงาน Schedule'!$B$7:$B$156,B19))</f>
        <v/>
      </c>
      <c r="I19" s="64" t="str">
        <f aca="false">IF(OR(B19="",N(E19)=0),"",SUMPRODUCT(('แผนงาน Schedule'!$B$7:$B$156=B19)*'แผนงาน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Schedule'!$I$7:$I$156+1)))/E19)</f>
        <v/>
      </c>
      <c r="J19" s="64" t="str">
        <f aca="false">IF(OR(B19="",N(E19)=0),"",SUMPRODUCT(('แผนงาน Schedule'!$B$7:$B$156=B19)*'แผนงาน Schedule'!$G$7:$G$156*'แผนงาน Schedule'!$P$7:$P$156)/E19)</f>
        <v/>
      </c>
      <c r="K19" s="66" t="str">
        <f aca="false">IF(I19="","",J19-I19)</f>
        <v/>
      </c>
      <c r="L19" s="67" t="str">
        <f aca="false">IF(OR(I19="",N(I19)=0),"",J19/I19)</f>
        <v/>
      </c>
      <c r="M19" s="65" t="str">
        <f aca="false">IF(OR(B19="",N(C19)=0),"",_xlfn.MAXIFS('แผนงาน Schedule'!$W$7:$W$156,'แผนงาน Schedule'!$B$7:$B$156,B19))</f>
        <v/>
      </c>
      <c r="N19" s="68" t="str">
        <f aca="false">IF(OR(M19="",G19=""),"",M19-G19)</f>
        <v/>
      </c>
      <c r="O19" s="61" t="str">
        <f aca="false">IF(B19="","",COUNTIFS('แผนงาน Schedule'!$B$7:$B$156,B19,'แผนงาน Schedule'!$Y$7:$Y$156,"*ล่าช้า*")+COUNTIFS('แผนงาน Schedule'!$B$7:$B$156,B19,'แผนงาน Schedule'!$Y$7:$Y$156,"*เกินกำหนด*"))</f>
        <v/>
      </c>
      <c r="P19" s="61" t="str">
        <f aca="false">IF(OR(B19="",N(C19)=0),"",IF(N(J19)&gt;=1,"แล้วเสร็จ / Completed",IF(AND(N(I19)=0,N(J19)=0),"ยังไม่เริ่ม / Not Started",IF(N(J19)&gt;=N(I19),"ตามแผน / On Track",IF(N(J19)/I19&gt;=0.9,"เฝ้าระวัง / At Risk","ล่าช้า / Behind")))))</f>
        <v/>
      </c>
      <c r="Q19" s="64" t="str">
        <f aca="false">IF(B19="","",N(I19)*N(E19))</f>
        <v/>
      </c>
      <c r="R19" s="64" t="str">
        <f aca="false">IF(B19="","",N(J19)*N(E19))</f>
        <v/>
      </c>
      <c r="S19" s="69" t="str">
        <f aca="false">IF(H19="","",IF(COUNTIFS('แผนงาน Schedule'!$B$7:$B$156,B19,'แผนงาน Schedule'!$D$7:$D$156,"&lt;&gt;",'แผนงาน Schedule'!$O$7:$O$156,"")=0,_xlfn.MAXIFS('แผนงาน Schedule'!$O$7:$O$156,'แผนงาน Schedule'!$B$7:$B$156,B19),'ตั้งค่า Setup'!$C$15))</f>
        <v/>
      </c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</row>
    <row r="20" customFormat="false" ht="24" hidden="false" customHeight="true" outlineLevel="0" collapsed="false">
      <c r="A20" s="61" t="str">
        <f aca="false">IF(B20="","",14)</f>
        <v/>
      </c>
      <c r="B20" s="62" t="str">
        <f aca="false">IF('ตั้งค่า Setup'!$C$39="","",'ตั้งค่า Setup'!$C$39)</f>
        <v/>
      </c>
      <c r="C20" s="61" t="str">
        <f aca="false">IF(B20="","",COUNTIFS('แผนงาน Schedule'!$B$7:$B$156,B20,'แผนงาน Schedule'!$D$7:$D$156,"&lt;&gt;"))</f>
        <v/>
      </c>
      <c r="D20" s="63" t="str">
        <f aca="false">IF(B20="","",SUMIF('แผนงาน Schedule'!$B$7:$B$156,B20,'แผนงาน Schedule'!$H$7:$H$156))</f>
        <v/>
      </c>
      <c r="E20" s="64" t="str">
        <f aca="false">IF(B20="","",SUMIF('แผนงาน Schedule'!$B$7:$B$156,B20,'แผนงาน Schedule'!$G$7:$G$156))</f>
        <v/>
      </c>
      <c r="F20" s="65" t="str">
        <f aca="false">IF(OR(B20="",N(C20)=0),"",_xlfn.MINIFS('แผนงาน Schedule'!$I$7:$I$156,'แผนงาน Schedule'!$B$7:$B$156,B20))</f>
        <v/>
      </c>
      <c r="G20" s="65" t="str">
        <f aca="false">IF(OR(B20="",N(C20)=0),"",_xlfn.MAXIFS('แผนงาน Schedule'!$J$7:$J$156,'แผนงาน Schedule'!$B$7:$B$156,B20))</f>
        <v/>
      </c>
      <c r="H20" s="65" t="str">
        <f aca="false">IF(OR(B20="",COUNTIFS('แผนงาน Schedule'!$B$7:$B$156,B20,'แผนงาน Schedule'!$N$7:$N$156,"&lt;&gt;")=0),"",_xlfn.MINIFS('แผนงาน Schedule'!$N$7:$N$156,'แผนงาน Schedule'!$B$7:$B$156,B20))</f>
        <v/>
      </c>
      <c r="I20" s="64" t="str">
        <f aca="false">IF(OR(B20="",N(E20)=0),"",SUMPRODUCT(('แผนงาน Schedule'!$B$7:$B$156=B20)*'แผนงาน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Schedule'!$I$7:$I$156+1)))/E20)</f>
        <v/>
      </c>
      <c r="J20" s="64" t="str">
        <f aca="false">IF(OR(B20="",N(E20)=0),"",SUMPRODUCT(('แผนงาน Schedule'!$B$7:$B$156=B20)*'แผนงาน Schedule'!$G$7:$G$156*'แผนงาน Schedule'!$P$7:$P$156)/E20)</f>
        <v/>
      </c>
      <c r="K20" s="66" t="str">
        <f aca="false">IF(I20="","",J20-I20)</f>
        <v/>
      </c>
      <c r="L20" s="67" t="str">
        <f aca="false">IF(OR(I20="",N(I20)=0),"",J20/I20)</f>
        <v/>
      </c>
      <c r="M20" s="65" t="str">
        <f aca="false">IF(OR(B20="",N(C20)=0),"",_xlfn.MAXIFS('แผนงาน Schedule'!$W$7:$W$156,'แผนงาน Schedule'!$B$7:$B$156,B20))</f>
        <v/>
      </c>
      <c r="N20" s="68" t="str">
        <f aca="false">IF(OR(M20="",G20=""),"",M20-G20)</f>
        <v/>
      </c>
      <c r="O20" s="61" t="str">
        <f aca="false">IF(B20="","",COUNTIFS('แผนงาน Schedule'!$B$7:$B$156,B20,'แผนงาน Schedule'!$Y$7:$Y$156,"*ล่าช้า*")+COUNTIFS('แผนงาน Schedule'!$B$7:$B$156,B20,'แผนงาน Schedule'!$Y$7:$Y$156,"*เกินกำหนด*"))</f>
        <v/>
      </c>
      <c r="P20" s="61" t="str">
        <f aca="false">IF(OR(B20="",N(C20)=0),"",IF(N(J20)&gt;=1,"แล้วเสร็จ / Completed",IF(AND(N(I20)=0,N(J20)=0),"ยังไม่เริ่ม / Not Started",IF(N(J20)&gt;=N(I20),"ตามแผน / On Track",IF(N(J20)/I20&gt;=0.9,"เฝ้าระวัง / At Risk","ล่าช้า / Behind")))))</f>
        <v/>
      </c>
      <c r="Q20" s="64" t="str">
        <f aca="false">IF(B20="","",N(I20)*N(E20))</f>
        <v/>
      </c>
      <c r="R20" s="64" t="str">
        <f aca="false">IF(B20="","",N(J20)*N(E20))</f>
        <v/>
      </c>
      <c r="S20" s="69" t="str">
        <f aca="false">IF(H20="","",IF(COUNTIFS('แผนงาน Schedule'!$B$7:$B$156,B20,'แผนงาน Schedule'!$D$7:$D$156,"&lt;&gt;",'แผนงาน Schedule'!$O$7:$O$156,"")=0,_xlfn.MAXIFS('แผนงาน Schedule'!$O$7:$O$156,'แผนงาน Schedule'!$B$7:$B$156,B20),'ตั้งค่า Setup'!$C$15))</f>
        <v/>
      </c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</row>
    <row r="21" customFormat="false" ht="24" hidden="false" customHeight="true" outlineLevel="0" collapsed="false">
      <c r="A21" s="61" t="str">
        <f aca="false">IF(B21="","",15)</f>
        <v/>
      </c>
      <c r="B21" s="62" t="str">
        <f aca="false">IF('ตั้งค่า Setup'!$C$40="","",'ตั้งค่า Setup'!$C$40)</f>
        <v/>
      </c>
      <c r="C21" s="61" t="str">
        <f aca="false">IF(B21="","",COUNTIFS('แผนงาน Schedule'!$B$7:$B$156,B21,'แผนงาน Schedule'!$D$7:$D$156,"&lt;&gt;"))</f>
        <v/>
      </c>
      <c r="D21" s="63" t="str">
        <f aca="false">IF(B21="","",SUMIF('แผนงาน Schedule'!$B$7:$B$156,B21,'แผนงาน Schedule'!$H$7:$H$156))</f>
        <v/>
      </c>
      <c r="E21" s="64" t="str">
        <f aca="false">IF(B21="","",SUMIF('แผนงาน Schedule'!$B$7:$B$156,B21,'แผนงาน Schedule'!$G$7:$G$156))</f>
        <v/>
      </c>
      <c r="F21" s="65" t="str">
        <f aca="false">IF(OR(B21="",N(C21)=0),"",_xlfn.MINIFS('แผนงาน Schedule'!$I$7:$I$156,'แผนงาน Schedule'!$B$7:$B$156,B21))</f>
        <v/>
      </c>
      <c r="G21" s="65" t="str">
        <f aca="false">IF(OR(B21="",N(C21)=0),"",_xlfn.MAXIFS('แผนงาน Schedule'!$J$7:$J$156,'แผนงาน Schedule'!$B$7:$B$156,B21))</f>
        <v/>
      </c>
      <c r="H21" s="65" t="str">
        <f aca="false">IF(OR(B21="",COUNTIFS('แผนงาน Schedule'!$B$7:$B$156,B21,'แผนงาน Schedule'!$N$7:$N$156,"&lt;&gt;")=0),"",_xlfn.MINIFS('แผนงาน Schedule'!$N$7:$N$156,'แผนงาน Schedule'!$B$7:$B$156,B21))</f>
        <v/>
      </c>
      <c r="I21" s="64" t="str">
        <f aca="false">IF(OR(B21="",N(E21)=0),"",SUMPRODUCT(('แผนงาน Schedule'!$B$7:$B$156=B21)*'แผนงาน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Schedule'!$I$7:$I$156+1)))/E21)</f>
        <v/>
      </c>
      <c r="J21" s="64" t="str">
        <f aca="false">IF(OR(B21="",N(E21)=0),"",SUMPRODUCT(('แผนงาน Schedule'!$B$7:$B$156=B21)*'แผนงาน Schedule'!$G$7:$G$156*'แผนงาน Schedule'!$P$7:$P$156)/E21)</f>
        <v/>
      </c>
      <c r="K21" s="66" t="str">
        <f aca="false">IF(I21="","",J21-I21)</f>
        <v/>
      </c>
      <c r="L21" s="67" t="str">
        <f aca="false">IF(OR(I21="",N(I21)=0),"",J21/I21)</f>
        <v/>
      </c>
      <c r="M21" s="65" t="str">
        <f aca="false">IF(OR(B21="",N(C21)=0),"",_xlfn.MAXIFS('แผนงาน Schedule'!$W$7:$W$156,'แผนงาน Schedule'!$B$7:$B$156,B21))</f>
        <v/>
      </c>
      <c r="N21" s="68" t="str">
        <f aca="false">IF(OR(M21="",G21=""),"",M21-G21)</f>
        <v/>
      </c>
      <c r="O21" s="61" t="str">
        <f aca="false">IF(B21="","",COUNTIFS('แผนงาน Schedule'!$B$7:$B$156,B21,'แผนงาน Schedule'!$Y$7:$Y$156,"*ล่าช้า*")+COUNTIFS('แผนงาน Schedule'!$B$7:$B$156,B21,'แผนงาน Schedule'!$Y$7:$Y$156,"*เกินกำหนด*"))</f>
        <v/>
      </c>
      <c r="P21" s="61" t="str">
        <f aca="false">IF(OR(B21="",N(C21)=0),"",IF(N(J21)&gt;=1,"แล้วเสร็จ / Completed",IF(AND(N(I21)=0,N(J21)=0),"ยังไม่เริ่ม / Not Started",IF(N(J21)&gt;=N(I21),"ตามแผน / On Track",IF(N(J21)/I21&gt;=0.9,"เฝ้าระวัง / At Risk","ล่าช้า / Behind")))))</f>
        <v/>
      </c>
      <c r="Q21" s="64" t="str">
        <f aca="false">IF(B21="","",N(I21)*N(E21))</f>
        <v/>
      </c>
      <c r="R21" s="64" t="str">
        <f aca="false">IF(B21="","",N(J21)*N(E21))</f>
        <v/>
      </c>
      <c r="S21" s="69" t="str">
        <f aca="false">IF(H21="","",IF(COUNTIFS('แผนงาน Schedule'!$B$7:$B$156,B21,'แผนงาน Schedule'!$D$7:$D$156,"&lt;&gt;",'แผนงาน Schedule'!$O$7:$O$156,"")=0,_xlfn.MAXIFS('แผนงาน Schedule'!$O$7:$O$156,'แผนงาน Schedule'!$B$7:$B$156,B21),'ตั้งค่า Setup'!$C$15))</f>
        <v/>
      </c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</row>
    <row r="22" customFormat="false" ht="24" hidden="false" customHeight="true" outlineLevel="0" collapsed="false">
      <c r="A22" s="61" t="str">
        <f aca="false">IF(B22="","",16)</f>
        <v/>
      </c>
      <c r="B22" s="62" t="str">
        <f aca="false">IF('ตั้งค่า Setup'!$C$41="","",'ตั้งค่า Setup'!$C$41)</f>
        <v/>
      </c>
      <c r="C22" s="61" t="str">
        <f aca="false">IF(B22="","",COUNTIFS('แผนงาน Schedule'!$B$7:$B$156,B22,'แผนงาน Schedule'!$D$7:$D$156,"&lt;&gt;"))</f>
        <v/>
      </c>
      <c r="D22" s="63" t="str">
        <f aca="false">IF(B22="","",SUMIF('แผนงาน Schedule'!$B$7:$B$156,B22,'แผนงาน Schedule'!$H$7:$H$156))</f>
        <v/>
      </c>
      <c r="E22" s="64" t="str">
        <f aca="false">IF(B22="","",SUMIF('แผนงาน Schedule'!$B$7:$B$156,B22,'แผนงาน Schedule'!$G$7:$G$156))</f>
        <v/>
      </c>
      <c r="F22" s="65" t="str">
        <f aca="false">IF(OR(B22="",N(C22)=0),"",_xlfn.MINIFS('แผนงาน Schedule'!$I$7:$I$156,'แผนงาน Schedule'!$B$7:$B$156,B22))</f>
        <v/>
      </c>
      <c r="G22" s="65" t="str">
        <f aca="false">IF(OR(B22="",N(C22)=0),"",_xlfn.MAXIFS('แผนงาน Schedule'!$J$7:$J$156,'แผนงาน Schedule'!$B$7:$B$156,B22))</f>
        <v/>
      </c>
      <c r="H22" s="65" t="str">
        <f aca="false">IF(OR(B22="",COUNTIFS('แผนงาน Schedule'!$B$7:$B$156,B22,'แผนงาน Schedule'!$N$7:$N$156,"&lt;&gt;")=0),"",_xlfn.MINIFS('แผนงาน Schedule'!$N$7:$N$156,'แผนงาน Schedule'!$B$7:$B$156,B22))</f>
        <v/>
      </c>
      <c r="I22" s="64" t="str">
        <f aca="false">IF(OR(B22="",N(E22)=0),"",SUMPRODUCT(('แผนงาน Schedule'!$B$7:$B$156=B22)*'แผนงาน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Schedule'!$I$7:$I$156+1)))/E22)</f>
        <v/>
      </c>
      <c r="J22" s="64" t="str">
        <f aca="false">IF(OR(B22="",N(E22)=0),"",SUMPRODUCT(('แผนงาน Schedule'!$B$7:$B$156=B22)*'แผนงาน Schedule'!$G$7:$G$156*'แผนงาน Schedule'!$P$7:$P$156)/E22)</f>
        <v/>
      </c>
      <c r="K22" s="66" t="str">
        <f aca="false">IF(I22="","",J22-I22)</f>
        <v/>
      </c>
      <c r="L22" s="67" t="str">
        <f aca="false">IF(OR(I22="",N(I22)=0),"",J22/I22)</f>
        <v/>
      </c>
      <c r="M22" s="65" t="str">
        <f aca="false">IF(OR(B22="",N(C22)=0),"",_xlfn.MAXIFS('แผนงาน Schedule'!$W$7:$W$156,'แผนงาน Schedule'!$B$7:$B$156,B22))</f>
        <v/>
      </c>
      <c r="N22" s="68" t="str">
        <f aca="false">IF(OR(M22="",G22=""),"",M22-G22)</f>
        <v/>
      </c>
      <c r="O22" s="61" t="str">
        <f aca="false">IF(B22="","",COUNTIFS('แผนงาน Schedule'!$B$7:$B$156,B22,'แผนงาน Schedule'!$Y$7:$Y$156,"*ล่าช้า*")+COUNTIFS('แผนงาน Schedule'!$B$7:$B$156,B22,'แผนงาน Schedule'!$Y$7:$Y$156,"*เกินกำหนด*"))</f>
        <v/>
      </c>
      <c r="P22" s="61" t="str">
        <f aca="false">IF(OR(B22="",N(C22)=0),"",IF(N(J22)&gt;=1,"แล้วเสร็จ / Completed",IF(AND(N(I22)=0,N(J22)=0),"ยังไม่เริ่ม / Not Started",IF(N(J22)&gt;=N(I22),"ตามแผน / On Track",IF(N(J22)/I22&gt;=0.9,"เฝ้าระวัง / At Risk","ล่าช้า / Behind")))))</f>
        <v/>
      </c>
      <c r="Q22" s="64" t="str">
        <f aca="false">IF(B22="","",N(I22)*N(E22))</f>
        <v/>
      </c>
      <c r="R22" s="64" t="str">
        <f aca="false">IF(B22="","",N(J22)*N(E22))</f>
        <v/>
      </c>
      <c r="S22" s="69" t="str">
        <f aca="false">IF(H22="","",IF(COUNTIFS('แผนงาน Schedule'!$B$7:$B$156,B22,'แผนงาน Schedule'!$D$7:$D$156,"&lt;&gt;",'แผนงาน Schedule'!$O$7:$O$156,"")=0,_xlfn.MAXIFS('แผนงาน Schedule'!$O$7:$O$156,'แผนงาน Schedule'!$B$7:$B$156,B22),'ตั้งค่า Setup'!$C$15))</f>
        <v/>
      </c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</row>
    <row r="23" customFormat="false" ht="24" hidden="false" customHeight="true" outlineLevel="0" collapsed="false">
      <c r="A23" s="61" t="str">
        <f aca="false">IF(B23="","",17)</f>
        <v/>
      </c>
      <c r="B23" s="62" t="str">
        <f aca="false">IF('ตั้งค่า Setup'!$C$42="","",'ตั้งค่า Setup'!$C$42)</f>
        <v/>
      </c>
      <c r="C23" s="61" t="str">
        <f aca="false">IF(B23="","",COUNTIFS('แผนงาน Schedule'!$B$7:$B$156,B23,'แผนงาน Schedule'!$D$7:$D$156,"&lt;&gt;"))</f>
        <v/>
      </c>
      <c r="D23" s="63" t="str">
        <f aca="false">IF(B23="","",SUMIF('แผนงาน Schedule'!$B$7:$B$156,B23,'แผนงาน Schedule'!$H$7:$H$156))</f>
        <v/>
      </c>
      <c r="E23" s="64" t="str">
        <f aca="false">IF(B23="","",SUMIF('แผนงาน Schedule'!$B$7:$B$156,B23,'แผนงาน Schedule'!$G$7:$G$156))</f>
        <v/>
      </c>
      <c r="F23" s="65" t="str">
        <f aca="false">IF(OR(B23="",N(C23)=0),"",_xlfn.MINIFS('แผนงาน Schedule'!$I$7:$I$156,'แผนงาน Schedule'!$B$7:$B$156,B23))</f>
        <v/>
      </c>
      <c r="G23" s="65" t="str">
        <f aca="false">IF(OR(B23="",N(C23)=0),"",_xlfn.MAXIFS('แผนงาน Schedule'!$J$7:$J$156,'แผนงาน Schedule'!$B$7:$B$156,B23))</f>
        <v/>
      </c>
      <c r="H23" s="65" t="str">
        <f aca="false">IF(OR(B23="",COUNTIFS('แผนงาน Schedule'!$B$7:$B$156,B23,'แผนงาน Schedule'!$N$7:$N$156,"&lt;&gt;")=0),"",_xlfn.MINIFS('แผนงาน Schedule'!$N$7:$N$156,'แผนงาน Schedule'!$B$7:$B$156,B23))</f>
        <v/>
      </c>
      <c r="I23" s="64" t="str">
        <f aca="false">IF(OR(B23="",N(E23)=0),"",SUMPRODUCT(('แผนงาน Schedule'!$B$7:$B$156=B23)*'แผนงาน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Schedule'!$I$7:$I$156+1)))/E23)</f>
        <v/>
      </c>
      <c r="J23" s="64" t="str">
        <f aca="false">IF(OR(B23="",N(E23)=0),"",SUMPRODUCT(('แผนงาน Schedule'!$B$7:$B$156=B23)*'แผนงาน Schedule'!$G$7:$G$156*'แผนงาน Schedule'!$P$7:$P$156)/E23)</f>
        <v/>
      </c>
      <c r="K23" s="66" t="str">
        <f aca="false">IF(I23="","",J23-I23)</f>
        <v/>
      </c>
      <c r="L23" s="67" t="str">
        <f aca="false">IF(OR(I23="",N(I23)=0),"",J23/I23)</f>
        <v/>
      </c>
      <c r="M23" s="65" t="str">
        <f aca="false">IF(OR(B23="",N(C23)=0),"",_xlfn.MAXIFS('แผนงาน Schedule'!$W$7:$W$156,'แผนงาน Schedule'!$B$7:$B$156,B23))</f>
        <v/>
      </c>
      <c r="N23" s="68" t="str">
        <f aca="false">IF(OR(M23="",G23=""),"",M23-G23)</f>
        <v/>
      </c>
      <c r="O23" s="61" t="str">
        <f aca="false">IF(B23="","",COUNTIFS('แผนงาน Schedule'!$B$7:$B$156,B23,'แผนงาน Schedule'!$Y$7:$Y$156,"*ล่าช้า*")+COUNTIFS('แผนงาน Schedule'!$B$7:$B$156,B23,'แผนงาน Schedule'!$Y$7:$Y$156,"*เกินกำหนด*"))</f>
        <v/>
      </c>
      <c r="P23" s="61" t="str">
        <f aca="false">IF(OR(B23="",N(C23)=0),"",IF(N(J23)&gt;=1,"แล้วเสร็จ / Completed",IF(AND(N(I23)=0,N(J23)=0),"ยังไม่เริ่ม / Not Started",IF(N(J23)&gt;=N(I23),"ตามแผน / On Track",IF(N(J23)/I23&gt;=0.9,"เฝ้าระวัง / At Risk","ล่าช้า / Behind")))))</f>
        <v/>
      </c>
      <c r="Q23" s="64" t="str">
        <f aca="false">IF(B23="","",N(I23)*N(E23))</f>
        <v/>
      </c>
      <c r="R23" s="64" t="str">
        <f aca="false">IF(B23="","",N(J23)*N(E23))</f>
        <v/>
      </c>
      <c r="S23" s="69" t="str">
        <f aca="false">IF(H23="","",IF(COUNTIFS('แผนงาน Schedule'!$B$7:$B$156,B23,'แผนงาน Schedule'!$D$7:$D$156,"&lt;&gt;",'แผนงาน Schedule'!$O$7:$O$156,"")=0,_xlfn.MAXIFS('แผนงาน Schedule'!$O$7:$O$156,'แผนงาน Schedule'!$B$7:$B$156,B23),'ตั้งค่า Setup'!$C$15))</f>
        <v/>
      </c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</row>
    <row r="24" customFormat="false" ht="24" hidden="false" customHeight="true" outlineLevel="0" collapsed="false">
      <c r="A24" s="61" t="str">
        <f aca="false">IF(B24="","",18)</f>
        <v/>
      </c>
      <c r="B24" s="62" t="str">
        <f aca="false">IF('ตั้งค่า Setup'!$C$43="","",'ตั้งค่า Setup'!$C$43)</f>
        <v/>
      </c>
      <c r="C24" s="61" t="str">
        <f aca="false">IF(B24="","",COUNTIFS('แผนงาน Schedule'!$B$7:$B$156,B24,'แผนงาน Schedule'!$D$7:$D$156,"&lt;&gt;"))</f>
        <v/>
      </c>
      <c r="D24" s="63" t="str">
        <f aca="false">IF(B24="","",SUMIF('แผนงาน Schedule'!$B$7:$B$156,B24,'แผนงาน Schedule'!$H$7:$H$156))</f>
        <v/>
      </c>
      <c r="E24" s="64" t="str">
        <f aca="false">IF(B24="","",SUMIF('แผนงาน Schedule'!$B$7:$B$156,B24,'แผนงาน Schedule'!$G$7:$G$156))</f>
        <v/>
      </c>
      <c r="F24" s="65" t="str">
        <f aca="false">IF(OR(B24="",N(C24)=0),"",_xlfn.MINIFS('แผนงาน Schedule'!$I$7:$I$156,'แผนงาน Schedule'!$B$7:$B$156,B24))</f>
        <v/>
      </c>
      <c r="G24" s="65" t="str">
        <f aca="false">IF(OR(B24="",N(C24)=0),"",_xlfn.MAXIFS('แผนงาน Schedule'!$J$7:$J$156,'แผนงาน Schedule'!$B$7:$B$156,B24))</f>
        <v/>
      </c>
      <c r="H24" s="65" t="str">
        <f aca="false">IF(OR(B24="",COUNTIFS('แผนงาน Schedule'!$B$7:$B$156,B24,'แผนงาน Schedule'!$N$7:$N$156,"&lt;&gt;")=0),"",_xlfn.MINIFS('แผนงาน Schedule'!$N$7:$N$156,'แผนงาน Schedule'!$B$7:$B$156,B24))</f>
        <v/>
      </c>
      <c r="I24" s="64" t="str">
        <f aca="false">IF(OR(B24="",N(E24)=0),"",SUMPRODUCT(('แผนงาน Schedule'!$B$7:$B$156=B24)*'แผนงาน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Schedule'!$I$7:$I$156+1)))/E24)</f>
        <v/>
      </c>
      <c r="J24" s="64" t="str">
        <f aca="false">IF(OR(B24="",N(E24)=0),"",SUMPRODUCT(('แผนงาน Schedule'!$B$7:$B$156=B24)*'แผนงาน Schedule'!$G$7:$G$156*'แผนงาน Schedule'!$P$7:$P$156)/E24)</f>
        <v/>
      </c>
      <c r="K24" s="66" t="str">
        <f aca="false">IF(I24="","",J24-I24)</f>
        <v/>
      </c>
      <c r="L24" s="67" t="str">
        <f aca="false">IF(OR(I24="",N(I24)=0),"",J24/I24)</f>
        <v/>
      </c>
      <c r="M24" s="65" t="str">
        <f aca="false">IF(OR(B24="",N(C24)=0),"",_xlfn.MAXIFS('แผนงาน Schedule'!$W$7:$W$156,'แผนงาน Schedule'!$B$7:$B$156,B24))</f>
        <v/>
      </c>
      <c r="N24" s="68" t="str">
        <f aca="false">IF(OR(M24="",G24=""),"",M24-G24)</f>
        <v/>
      </c>
      <c r="O24" s="61" t="str">
        <f aca="false">IF(B24="","",COUNTIFS('แผนงาน Schedule'!$B$7:$B$156,B24,'แผนงาน Schedule'!$Y$7:$Y$156,"*ล่าช้า*")+COUNTIFS('แผนงาน Schedule'!$B$7:$B$156,B24,'แผนงาน Schedule'!$Y$7:$Y$156,"*เกินกำหนด*"))</f>
        <v/>
      </c>
      <c r="P24" s="61" t="str">
        <f aca="false">IF(OR(B24="",N(C24)=0),"",IF(N(J24)&gt;=1,"แล้วเสร็จ / Completed",IF(AND(N(I24)=0,N(J24)=0),"ยังไม่เริ่ม / Not Started",IF(N(J24)&gt;=N(I24),"ตามแผน / On Track",IF(N(J24)/I24&gt;=0.9,"เฝ้าระวัง / At Risk","ล่าช้า / Behind")))))</f>
        <v/>
      </c>
      <c r="Q24" s="64" t="str">
        <f aca="false">IF(B24="","",N(I24)*N(E24))</f>
        <v/>
      </c>
      <c r="R24" s="64" t="str">
        <f aca="false">IF(B24="","",N(J24)*N(E24))</f>
        <v/>
      </c>
      <c r="S24" s="69" t="str">
        <f aca="false">IF(H24="","",IF(COUNTIFS('แผนงาน Schedule'!$B$7:$B$156,B24,'แผนงาน Schedule'!$D$7:$D$156,"&lt;&gt;",'แผนงาน Schedule'!$O$7:$O$156,"")=0,_xlfn.MAXIFS('แผนงาน Schedule'!$O$7:$O$156,'แผนงาน Schedule'!$B$7:$B$156,B24),'ตั้งค่า Setup'!$C$15))</f>
        <v/>
      </c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</row>
    <row r="25" customFormat="false" ht="24" hidden="false" customHeight="true" outlineLevel="0" collapsed="false">
      <c r="A25" s="61" t="str">
        <f aca="false">IF(B25="","",19)</f>
        <v/>
      </c>
      <c r="B25" s="62" t="str">
        <f aca="false">IF('ตั้งค่า Setup'!$C$44="","",'ตั้งค่า Setup'!$C$44)</f>
        <v/>
      </c>
      <c r="C25" s="61" t="str">
        <f aca="false">IF(B25="","",COUNTIFS('แผนงาน Schedule'!$B$7:$B$156,B25,'แผนงาน Schedule'!$D$7:$D$156,"&lt;&gt;"))</f>
        <v/>
      </c>
      <c r="D25" s="63" t="str">
        <f aca="false">IF(B25="","",SUMIF('แผนงาน Schedule'!$B$7:$B$156,B25,'แผนงาน Schedule'!$H$7:$H$156))</f>
        <v/>
      </c>
      <c r="E25" s="64" t="str">
        <f aca="false">IF(B25="","",SUMIF('แผนงาน Schedule'!$B$7:$B$156,B25,'แผนงาน Schedule'!$G$7:$G$156))</f>
        <v/>
      </c>
      <c r="F25" s="65" t="str">
        <f aca="false">IF(OR(B25="",N(C25)=0),"",_xlfn.MINIFS('แผนงาน Schedule'!$I$7:$I$156,'แผนงาน Schedule'!$B$7:$B$156,B25))</f>
        <v/>
      </c>
      <c r="G25" s="65" t="str">
        <f aca="false">IF(OR(B25="",N(C25)=0),"",_xlfn.MAXIFS('แผนงาน Schedule'!$J$7:$J$156,'แผนงาน Schedule'!$B$7:$B$156,B25))</f>
        <v/>
      </c>
      <c r="H25" s="65" t="str">
        <f aca="false">IF(OR(B25="",COUNTIFS('แผนงาน Schedule'!$B$7:$B$156,B25,'แผนงาน Schedule'!$N$7:$N$156,"&lt;&gt;")=0),"",_xlfn.MINIFS('แผนงาน Schedule'!$N$7:$N$156,'แผนงาน Schedule'!$B$7:$B$156,B25))</f>
        <v/>
      </c>
      <c r="I25" s="64" t="str">
        <f aca="false">IF(OR(B25="",N(E25)=0),"",SUMPRODUCT(('แผนงาน Schedule'!$B$7:$B$156=B25)*'แผนงาน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Schedule'!$I$7:$I$156+1)))/E25)</f>
        <v/>
      </c>
      <c r="J25" s="64" t="str">
        <f aca="false">IF(OR(B25="",N(E25)=0),"",SUMPRODUCT(('แผนงาน Schedule'!$B$7:$B$156=B25)*'แผนงาน Schedule'!$G$7:$G$156*'แผนงาน Schedule'!$P$7:$P$156)/E25)</f>
        <v/>
      </c>
      <c r="K25" s="66" t="str">
        <f aca="false">IF(I25="","",J25-I25)</f>
        <v/>
      </c>
      <c r="L25" s="67" t="str">
        <f aca="false">IF(OR(I25="",N(I25)=0),"",J25/I25)</f>
        <v/>
      </c>
      <c r="M25" s="65" t="str">
        <f aca="false">IF(OR(B25="",N(C25)=0),"",_xlfn.MAXIFS('แผนงาน Schedule'!$W$7:$W$156,'แผนงาน Schedule'!$B$7:$B$156,B25))</f>
        <v/>
      </c>
      <c r="N25" s="68" t="str">
        <f aca="false">IF(OR(M25="",G25=""),"",M25-G25)</f>
        <v/>
      </c>
      <c r="O25" s="61" t="str">
        <f aca="false">IF(B25="","",COUNTIFS('แผนงาน Schedule'!$B$7:$B$156,B25,'แผนงาน Schedule'!$Y$7:$Y$156,"*ล่าช้า*")+COUNTIFS('แผนงาน Schedule'!$B$7:$B$156,B25,'แผนงาน Schedule'!$Y$7:$Y$156,"*เกินกำหนด*"))</f>
        <v/>
      </c>
      <c r="P25" s="61" t="str">
        <f aca="false">IF(OR(B25="",N(C25)=0),"",IF(N(J25)&gt;=1,"แล้วเสร็จ / Completed",IF(AND(N(I25)=0,N(J25)=0),"ยังไม่เริ่ม / Not Started",IF(N(J25)&gt;=N(I25),"ตามแผน / On Track",IF(N(J25)/I25&gt;=0.9,"เฝ้าระวัง / At Risk","ล่าช้า / Behind")))))</f>
        <v/>
      </c>
      <c r="Q25" s="64" t="str">
        <f aca="false">IF(B25="","",N(I25)*N(E25))</f>
        <v/>
      </c>
      <c r="R25" s="64" t="str">
        <f aca="false">IF(B25="","",N(J25)*N(E25))</f>
        <v/>
      </c>
      <c r="S25" s="69" t="str">
        <f aca="false">IF(H25="","",IF(COUNTIFS('แผนงาน Schedule'!$B$7:$B$156,B25,'แผนงาน Schedule'!$D$7:$D$156,"&lt;&gt;",'แผนงาน Schedule'!$O$7:$O$156,"")=0,_xlfn.MAXIFS('แผนงาน Schedule'!$O$7:$O$156,'แผนงาน Schedule'!$B$7:$B$156,B25),'ตั้งค่า Setup'!$C$15))</f>
        <v/>
      </c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</row>
    <row r="26" customFormat="false" ht="24" hidden="false" customHeight="true" outlineLevel="0" collapsed="false">
      <c r="A26" s="61" t="str">
        <f aca="false">IF(B26="","",20)</f>
        <v/>
      </c>
      <c r="B26" s="62" t="str">
        <f aca="false">IF('ตั้งค่า Setup'!$C$45="","",'ตั้งค่า Setup'!$C$45)</f>
        <v/>
      </c>
      <c r="C26" s="61" t="str">
        <f aca="false">IF(B26="","",COUNTIFS('แผนงาน Schedule'!$B$7:$B$156,B26,'แผนงาน Schedule'!$D$7:$D$156,"&lt;&gt;"))</f>
        <v/>
      </c>
      <c r="D26" s="63" t="str">
        <f aca="false">IF(B26="","",SUMIF('แผนงาน Schedule'!$B$7:$B$156,B26,'แผนงาน Schedule'!$H$7:$H$156))</f>
        <v/>
      </c>
      <c r="E26" s="64" t="str">
        <f aca="false">IF(B26="","",SUMIF('แผนงาน Schedule'!$B$7:$B$156,B26,'แผนงาน Schedule'!$G$7:$G$156))</f>
        <v/>
      </c>
      <c r="F26" s="65" t="str">
        <f aca="false">IF(OR(B26="",N(C26)=0),"",_xlfn.MINIFS('แผนงาน Schedule'!$I$7:$I$156,'แผนงาน Schedule'!$B$7:$B$156,B26))</f>
        <v/>
      </c>
      <c r="G26" s="65" t="str">
        <f aca="false">IF(OR(B26="",N(C26)=0),"",_xlfn.MAXIFS('แผนงาน Schedule'!$J$7:$J$156,'แผนงาน Schedule'!$B$7:$B$156,B26))</f>
        <v/>
      </c>
      <c r="H26" s="65" t="str">
        <f aca="false">IF(OR(B26="",COUNTIFS('แผนงาน Schedule'!$B$7:$B$156,B26,'แผนงาน Schedule'!$N$7:$N$156,"&lt;&gt;")=0),"",_xlfn.MINIFS('แผนงาน Schedule'!$N$7:$N$156,'แผนงาน Schedule'!$B$7:$B$156,B26))</f>
        <v/>
      </c>
      <c r="I26" s="64" t="str">
        <f aca="false">IF(OR(B26="",N(E26)=0),"",SUMPRODUCT(('แผนงาน Schedule'!$B$7:$B$156=B26)*'แผนงาน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Schedule'!$I$7:$I$156+1)))/E26)</f>
        <v/>
      </c>
      <c r="J26" s="64" t="str">
        <f aca="false">IF(OR(B26="",N(E26)=0),"",SUMPRODUCT(('แผนงาน Schedule'!$B$7:$B$156=B26)*'แผนงาน Schedule'!$G$7:$G$156*'แผนงาน Schedule'!$P$7:$P$156)/E26)</f>
        <v/>
      </c>
      <c r="K26" s="66" t="str">
        <f aca="false">IF(I26="","",J26-I26)</f>
        <v/>
      </c>
      <c r="L26" s="67" t="str">
        <f aca="false">IF(OR(I26="",N(I26)=0),"",J26/I26)</f>
        <v/>
      </c>
      <c r="M26" s="65" t="str">
        <f aca="false">IF(OR(B26="",N(C26)=0),"",_xlfn.MAXIFS('แผนงาน Schedule'!$W$7:$W$156,'แผนงาน Schedule'!$B$7:$B$156,B26))</f>
        <v/>
      </c>
      <c r="N26" s="68" t="str">
        <f aca="false">IF(OR(M26="",G26=""),"",M26-G26)</f>
        <v/>
      </c>
      <c r="O26" s="61" t="str">
        <f aca="false">IF(B26="","",COUNTIFS('แผนงาน Schedule'!$B$7:$B$156,B26,'แผนงาน Schedule'!$Y$7:$Y$156,"*ล่าช้า*")+COUNTIFS('แผนงาน Schedule'!$B$7:$B$156,B26,'แผนงาน Schedule'!$Y$7:$Y$156,"*เกินกำหนด*"))</f>
        <v/>
      </c>
      <c r="P26" s="61" t="str">
        <f aca="false">IF(OR(B26="",N(C26)=0),"",IF(N(J26)&gt;=1,"แล้วเสร็จ / Completed",IF(AND(N(I26)=0,N(J26)=0),"ยังไม่เริ่ม / Not Started",IF(N(J26)&gt;=N(I26),"ตามแผน / On Track",IF(N(J26)/I26&gt;=0.9,"เฝ้าระวัง / At Risk","ล่าช้า / Behind")))))</f>
        <v/>
      </c>
      <c r="Q26" s="64" t="str">
        <f aca="false">IF(B26="","",N(I26)*N(E26))</f>
        <v/>
      </c>
      <c r="R26" s="64" t="str">
        <f aca="false">IF(B26="","",N(J26)*N(E26))</f>
        <v/>
      </c>
      <c r="S26" s="69" t="str">
        <f aca="false">IF(H26="","",IF(COUNTIFS('แผนงาน Schedule'!$B$7:$B$156,B26,'แผนงาน Schedule'!$D$7:$D$156,"&lt;&gt;",'แผนงาน Schedule'!$O$7:$O$156,"")=0,_xlfn.MAXIFS('แผนงาน Schedule'!$O$7:$O$156,'แผนงาน Schedule'!$B$7:$B$156,B26),'ตั้งค่า Setup'!$C$15))</f>
        <v/>
      </c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</row>
    <row r="27" customFormat="false" ht="24" hidden="false" customHeight="true" outlineLevel="0" collapsed="false">
      <c r="A27" s="61" t="str">
        <f aca="false">IF(B27="","",21)</f>
        <v/>
      </c>
      <c r="B27" s="62" t="str">
        <f aca="false">IF('ตั้งค่า Setup'!$C$46="","",'ตั้งค่า Setup'!$C$46)</f>
        <v/>
      </c>
      <c r="C27" s="61" t="str">
        <f aca="false">IF(B27="","",COUNTIFS('แผนงาน Schedule'!$B$7:$B$156,B27,'แผนงาน Schedule'!$D$7:$D$156,"&lt;&gt;"))</f>
        <v/>
      </c>
      <c r="D27" s="63" t="str">
        <f aca="false">IF(B27="","",SUMIF('แผนงาน Schedule'!$B$7:$B$156,B27,'แผนงาน Schedule'!$H$7:$H$156))</f>
        <v/>
      </c>
      <c r="E27" s="64" t="str">
        <f aca="false">IF(B27="","",SUMIF('แผนงาน Schedule'!$B$7:$B$156,B27,'แผนงาน Schedule'!$G$7:$G$156))</f>
        <v/>
      </c>
      <c r="F27" s="65" t="str">
        <f aca="false">IF(OR(B27="",N(C27)=0),"",_xlfn.MINIFS('แผนงาน Schedule'!$I$7:$I$156,'แผนงาน Schedule'!$B$7:$B$156,B27))</f>
        <v/>
      </c>
      <c r="G27" s="65" t="str">
        <f aca="false">IF(OR(B27="",N(C27)=0),"",_xlfn.MAXIFS('แผนงาน Schedule'!$J$7:$J$156,'แผนงาน Schedule'!$B$7:$B$156,B27))</f>
        <v/>
      </c>
      <c r="H27" s="65" t="str">
        <f aca="false">IF(OR(B27="",COUNTIFS('แผนงาน Schedule'!$B$7:$B$156,B27,'แผนงาน Schedule'!$N$7:$N$156,"&lt;&gt;")=0),"",_xlfn.MINIFS('แผนงาน Schedule'!$N$7:$N$156,'แผนงาน Schedule'!$B$7:$B$156,B27))</f>
        <v/>
      </c>
      <c r="I27" s="64" t="str">
        <f aca="false">IF(OR(B27="",N(E27)=0),"",SUMPRODUCT(('แผนงาน Schedule'!$B$7:$B$156=B27)*'แผนงาน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Schedule'!$I$7:$I$156+1)))/E27)</f>
        <v/>
      </c>
      <c r="J27" s="64" t="str">
        <f aca="false">IF(OR(B27="",N(E27)=0),"",SUMPRODUCT(('แผนงาน Schedule'!$B$7:$B$156=B27)*'แผนงาน Schedule'!$G$7:$G$156*'แผนงาน Schedule'!$P$7:$P$156)/E27)</f>
        <v/>
      </c>
      <c r="K27" s="66" t="str">
        <f aca="false">IF(I27="","",J27-I27)</f>
        <v/>
      </c>
      <c r="L27" s="67" t="str">
        <f aca="false">IF(OR(I27="",N(I27)=0),"",J27/I27)</f>
        <v/>
      </c>
      <c r="M27" s="65" t="str">
        <f aca="false">IF(OR(B27="",N(C27)=0),"",_xlfn.MAXIFS('แผนงาน Schedule'!$W$7:$W$156,'แผนงาน Schedule'!$B$7:$B$156,B27))</f>
        <v/>
      </c>
      <c r="N27" s="68" t="str">
        <f aca="false">IF(OR(M27="",G27=""),"",M27-G27)</f>
        <v/>
      </c>
      <c r="O27" s="61" t="str">
        <f aca="false">IF(B27="","",COUNTIFS('แผนงาน Schedule'!$B$7:$B$156,B27,'แผนงาน Schedule'!$Y$7:$Y$156,"*ล่าช้า*")+COUNTIFS('แผนงาน Schedule'!$B$7:$B$156,B27,'แผนงาน Schedule'!$Y$7:$Y$156,"*เกินกำหนด*"))</f>
        <v/>
      </c>
      <c r="P27" s="61" t="str">
        <f aca="false">IF(OR(B27="",N(C27)=0),"",IF(N(J27)&gt;=1,"แล้วเสร็จ / Completed",IF(AND(N(I27)=0,N(J27)=0),"ยังไม่เริ่ม / Not Started",IF(N(J27)&gt;=N(I27),"ตามแผน / On Track",IF(N(J27)/I27&gt;=0.9,"เฝ้าระวัง / At Risk","ล่าช้า / Behind")))))</f>
        <v/>
      </c>
      <c r="Q27" s="64" t="str">
        <f aca="false">IF(B27="","",N(I27)*N(E27))</f>
        <v/>
      </c>
      <c r="R27" s="64" t="str">
        <f aca="false">IF(B27="","",N(J27)*N(E27))</f>
        <v/>
      </c>
      <c r="S27" s="69" t="str">
        <f aca="false">IF(H27="","",IF(COUNTIFS('แผนงาน Schedule'!$B$7:$B$156,B27,'แผนงาน Schedule'!$D$7:$D$156,"&lt;&gt;",'แผนงาน Schedule'!$O$7:$O$156,"")=0,_xlfn.MAXIFS('แผนงาน Schedule'!$O$7:$O$156,'แผนงาน Schedule'!$B$7:$B$156,B27),'ตั้งค่า Setup'!$C$15))</f>
        <v/>
      </c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</row>
    <row r="28" customFormat="false" ht="24" hidden="false" customHeight="true" outlineLevel="0" collapsed="false">
      <c r="A28" s="61" t="str">
        <f aca="false">IF(B28="","",22)</f>
        <v/>
      </c>
      <c r="B28" s="62" t="str">
        <f aca="false">IF('ตั้งค่า Setup'!$C$47="","",'ตั้งค่า Setup'!$C$47)</f>
        <v/>
      </c>
      <c r="C28" s="61" t="str">
        <f aca="false">IF(B28="","",COUNTIFS('แผนงาน Schedule'!$B$7:$B$156,B28,'แผนงาน Schedule'!$D$7:$D$156,"&lt;&gt;"))</f>
        <v/>
      </c>
      <c r="D28" s="63" t="str">
        <f aca="false">IF(B28="","",SUMIF('แผนงาน Schedule'!$B$7:$B$156,B28,'แผนงาน Schedule'!$H$7:$H$156))</f>
        <v/>
      </c>
      <c r="E28" s="64" t="str">
        <f aca="false">IF(B28="","",SUMIF('แผนงาน Schedule'!$B$7:$B$156,B28,'แผนงาน Schedule'!$G$7:$G$156))</f>
        <v/>
      </c>
      <c r="F28" s="65" t="str">
        <f aca="false">IF(OR(B28="",N(C28)=0),"",_xlfn.MINIFS('แผนงาน Schedule'!$I$7:$I$156,'แผนงาน Schedule'!$B$7:$B$156,B28))</f>
        <v/>
      </c>
      <c r="G28" s="65" t="str">
        <f aca="false">IF(OR(B28="",N(C28)=0),"",_xlfn.MAXIFS('แผนงาน Schedule'!$J$7:$J$156,'แผนงาน Schedule'!$B$7:$B$156,B28))</f>
        <v/>
      </c>
      <c r="H28" s="65" t="str">
        <f aca="false">IF(OR(B28="",COUNTIFS('แผนงาน Schedule'!$B$7:$B$156,B28,'แผนงาน Schedule'!$N$7:$N$156,"&lt;&gt;")=0),"",_xlfn.MINIFS('แผนงาน Schedule'!$N$7:$N$156,'แผนงาน Schedule'!$B$7:$B$156,B28))</f>
        <v/>
      </c>
      <c r="I28" s="64" t="str">
        <f aca="false">IF(OR(B28="",N(E28)=0),"",SUMPRODUCT(('แผนงาน Schedule'!$B$7:$B$156=B28)*'แผนงาน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Schedule'!$I$7:$I$156+1)))/E28)</f>
        <v/>
      </c>
      <c r="J28" s="64" t="str">
        <f aca="false">IF(OR(B28="",N(E28)=0),"",SUMPRODUCT(('แผนงาน Schedule'!$B$7:$B$156=B28)*'แผนงาน Schedule'!$G$7:$G$156*'แผนงาน Schedule'!$P$7:$P$156)/E28)</f>
        <v/>
      </c>
      <c r="K28" s="66" t="str">
        <f aca="false">IF(I28="","",J28-I28)</f>
        <v/>
      </c>
      <c r="L28" s="67" t="str">
        <f aca="false">IF(OR(I28="",N(I28)=0),"",J28/I28)</f>
        <v/>
      </c>
      <c r="M28" s="65" t="str">
        <f aca="false">IF(OR(B28="",N(C28)=0),"",_xlfn.MAXIFS('แผนงาน Schedule'!$W$7:$W$156,'แผนงาน Schedule'!$B$7:$B$156,B28))</f>
        <v/>
      </c>
      <c r="N28" s="68" t="str">
        <f aca="false">IF(OR(M28="",G28=""),"",M28-G28)</f>
        <v/>
      </c>
      <c r="O28" s="61" t="str">
        <f aca="false">IF(B28="","",COUNTIFS('แผนงาน Schedule'!$B$7:$B$156,B28,'แผนงาน Schedule'!$Y$7:$Y$156,"*ล่าช้า*")+COUNTIFS('แผนงาน Schedule'!$B$7:$B$156,B28,'แผนงาน Schedule'!$Y$7:$Y$156,"*เกินกำหนด*"))</f>
        <v/>
      </c>
      <c r="P28" s="61" t="str">
        <f aca="false">IF(OR(B28="",N(C28)=0),"",IF(N(J28)&gt;=1,"แล้วเสร็จ / Completed",IF(AND(N(I28)=0,N(J28)=0),"ยังไม่เริ่ม / Not Started",IF(N(J28)&gt;=N(I28),"ตามแผน / On Track",IF(N(J28)/I28&gt;=0.9,"เฝ้าระวัง / At Risk","ล่าช้า / Behind")))))</f>
        <v/>
      </c>
      <c r="Q28" s="64" t="str">
        <f aca="false">IF(B28="","",N(I28)*N(E28))</f>
        <v/>
      </c>
      <c r="R28" s="64" t="str">
        <f aca="false">IF(B28="","",N(J28)*N(E28))</f>
        <v/>
      </c>
      <c r="S28" s="69" t="str">
        <f aca="false">IF(H28="","",IF(COUNTIFS('แผนงาน Schedule'!$B$7:$B$156,B28,'แผนงาน Schedule'!$D$7:$D$156,"&lt;&gt;",'แผนงาน Schedule'!$O$7:$O$156,"")=0,_xlfn.MAXIFS('แผนงาน Schedule'!$O$7:$O$156,'แผนงาน Schedule'!$B$7:$B$156,B28),'ตั้งค่า Setup'!$C$15))</f>
        <v/>
      </c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</row>
    <row r="29" customFormat="false" ht="24" hidden="false" customHeight="true" outlineLevel="0" collapsed="false">
      <c r="A29" s="61" t="str">
        <f aca="false">IF(B29="","",23)</f>
        <v/>
      </c>
      <c r="B29" s="62" t="str">
        <f aca="false">IF('ตั้งค่า Setup'!$C$48="","",'ตั้งค่า Setup'!$C$48)</f>
        <v/>
      </c>
      <c r="C29" s="61" t="str">
        <f aca="false">IF(B29="","",COUNTIFS('แผนงาน Schedule'!$B$7:$B$156,B29,'แผนงาน Schedule'!$D$7:$D$156,"&lt;&gt;"))</f>
        <v/>
      </c>
      <c r="D29" s="63" t="str">
        <f aca="false">IF(B29="","",SUMIF('แผนงาน Schedule'!$B$7:$B$156,B29,'แผนงาน Schedule'!$H$7:$H$156))</f>
        <v/>
      </c>
      <c r="E29" s="64" t="str">
        <f aca="false">IF(B29="","",SUMIF('แผนงาน Schedule'!$B$7:$B$156,B29,'แผนงาน Schedule'!$G$7:$G$156))</f>
        <v/>
      </c>
      <c r="F29" s="65" t="str">
        <f aca="false">IF(OR(B29="",N(C29)=0),"",_xlfn.MINIFS('แผนงาน Schedule'!$I$7:$I$156,'แผนงาน Schedule'!$B$7:$B$156,B29))</f>
        <v/>
      </c>
      <c r="G29" s="65" t="str">
        <f aca="false">IF(OR(B29="",N(C29)=0),"",_xlfn.MAXIFS('แผนงาน Schedule'!$J$7:$J$156,'แผนงาน Schedule'!$B$7:$B$156,B29))</f>
        <v/>
      </c>
      <c r="H29" s="65" t="str">
        <f aca="false">IF(OR(B29="",COUNTIFS('แผนงาน Schedule'!$B$7:$B$156,B29,'แผนงาน Schedule'!$N$7:$N$156,"&lt;&gt;")=0),"",_xlfn.MINIFS('แผนงาน Schedule'!$N$7:$N$156,'แผนงาน Schedule'!$B$7:$B$156,B29))</f>
        <v/>
      </c>
      <c r="I29" s="64" t="str">
        <f aca="false">IF(OR(B29="",N(E29)=0),"",SUMPRODUCT(('แผนงาน Schedule'!$B$7:$B$156=B29)*'แผนงาน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Schedule'!$I$7:$I$156+1)))/E29)</f>
        <v/>
      </c>
      <c r="J29" s="64" t="str">
        <f aca="false">IF(OR(B29="",N(E29)=0),"",SUMPRODUCT(('แผนงาน Schedule'!$B$7:$B$156=B29)*'แผนงาน Schedule'!$G$7:$G$156*'แผนงาน Schedule'!$P$7:$P$156)/E29)</f>
        <v/>
      </c>
      <c r="K29" s="66" t="str">
        <f aca="false">IF(I29="","",J29-I29)</f>
        <v/>
      </c>
      <c r="L29" s="67" t="str">
        <f aca="false">IF(OR(I29="",N(I29)=0),"",J29/I29)</f>
        <v/>
      </c>
      <c r="M29" s="65" t="str">
        <f aca="false">IF(OR(B29="",N(C29)=0),"",_xlfn.MAXIFS('แผนงาน Schedule'!$W$7:$W$156,'แผนงาน Schedule'!$B$7:$B$156,B29))</f>
        <v/>
      </c>
      <c r="N29" s="68" t="str">
        <f aca="false">IF(OR(M29="",G29=""),"",M29-G29)</f>
        <v/>
      </c>
      <c r="O29" s="61" t="str">
        <f aca="false">IF(B29="","",COUNTIFS('แผนงาน Schedule'!$B$7:$B$156,B29,'แผนงาน Schedule'!$Y$7:$Y$156,"*ล่าช้า*")+COUNTIFS('แผนงาน Schedule'!$B$7:$B$156,B29,'แผนงาน Schedule'!$Y$7:$Y$156,"*เกินกำหนด*"))</f>
        <v/>
      </c>
      <c r="P29" s="61" t="str">
        <f aca="false">IF(OR(B29="",N(C29)=0),"",IF(N(J29)&gt;=1,"แล้วเสร็จ / Completed",IF(AND(N(I29)=0,N(J29)=0),"ยังไม่เริ่ม / Not Started",IF(N(J29)&gt;=N(I29),"ตามแผน / On Track",IF(N(J29)/I29&gt;=0.9,"เฝ้าระวัง / At Risk","ล่าช้า / Behind")))))</f>
        <v/>
      </c>
      <c r="Q29" s="64" t="str">
        <f aca="false">IF(B29="","",N(I29)*N(E29))</f>
        <v/>
      </c>
      <c r="R29" s="64" t="str">
        <f aca="false">IF(B29="","",N(J29)*N(E29))</f>
        <v/>
      </c>
      <c r="S29" s="69" t="str">
        <f aca="false">IF(H29="","",IF(COUNTIFS('แผนงาน Schedule'!$B$7:$B$156,B29,'แผนงาน Schedule'!$D$7:$D$156,"&lt;&gt;",'แผนงาน Schedule'!$O$7:$O$156,"")=0,_xlfn.MAXIFS('แผนงาน Schedule'!$O$7:$O$156,'แผนงาน Schedule'!$B$7:$B$156,B29),'ตั้งค่า Setup'!$C$15))</f>
        <v/>
      </c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</row>
    <row r="30" customFormat="false" ht="24" hidden="false" customHeight="true" outlineLevel="0" collapsed="false">
      <c r="A30" s="61" t="str">
        <f aca="false">IF(B30="","",24)</f>
        <v/>
      </c>
      <c r="B30" s="62" t="str">
        <f aca="false">IF('ตั้งค่า Setup'!$C$49="","",'ตั้งค่า Setup'!$C$49)</f>
        <v/>
      </c>
      <c r="C30" s="61" t="str">
        <f aca="false">IF(B30="","",COUNTIFS('แผนงาน Schedule'!$B$7:$B$156,B30,'แผนงาน Schedule'!$D$7:$D$156,"&lt;&gt;"))</f>
        <v/>
      </c>
      <c r="D30" s="63" t="str">
        <f aca="false">IF(B30="","",SUMIF('แผนงาน Schedule'!$B$7:$B$156,B30,'แผนงาน Schedule'!$H$7:$H$156))</f>
        <v/>
      </c>
      <c r="E30" s="64" t="str">
        <f aca="false">IF(B30="","",SUMIF('แผนงาน Schedule'!$B$7:$B$156,B30,'แผนงาน Schedule'!$G$7:$G$156))</f>
        <v/>
      </c>
      <c r="F30" s="65" t="str">
        <f aca="false">IF(OR(B30="",N(C30)=0),"",_xlfn.MINIFS('แผนงาน Schedule'!$I$7:$I$156,'แผนงาน Schedule'!$B$7:$B$156,B30))</f>
        <v/>
      </c>
      <c r="G30" s="65" t="str">
        <f aca="false">IF(OR(B30="",N(C30)=0),"",_xlfn.MAXIFS('แผนงาน Schedule'!$J$7:$J$156,'แผนงาน Schedule'!$B$7:$B$156,B30))</f>
        <v/>
      </c>
      <c r="H30" s="65" t="str">
        <f aca="false">IF(OR(B30="",COUNTIFS('แผนงาน Schedule'!$B$7:$B$156,B30,'แผนงาน Schedule'!$N$7:$N$156,"&lt;&gt;")=0),"",_xlfn.MINIFS('แผนงาน Schedule'!$N$7:$N$156,'แผนงาน Schedule'!$B$7:$B$156,B30))</f>
        <v/>
      </c>
      <c r="I30" s="64" t="str">
        <f aca="false">IF(OR(B30="",N(E30)=0),"",SUMPRODUCT(('แผนงาน Schedule'!$B$7:$B$156=B30)*'แผนงาน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Schedule'!$I$7:$I$156+1)))/E30)</f>
        <v/>
      </c>
      <c r="J30" s="64" t="str">
        <f aca="false">IF(OR(B30="",N(E30)=0),"",SUMPRODUCT(('แผนงาน Schedule'!$B$7:$B$156=B30)*'แผนงาน Schedule'!$G$7:$G$156*'แผนงาน Schedule'!$P$7:$P$156)/E30)</f>
        <v/>
      </c>
      <c r="K30" s="66" t="str">
        <f aca="false">IF(I30="","",J30-I30)</f>
        <v/>
      </c>
      <c r="L30" s="67" t="str">
        <f aca="false">IF(OR(I30="",N(I30)=0),"",J30/I30)</f>
        <v/>
      </c>
      <c r="M30" s="65" t="str">
        <f aca="false">IF(OR(B30="",N(C30)=0),"",_xlfn.MAXIFS('แผนงาน Schedule'!$W$7:$W$156,'แผนงาน Schedule'!$B$7:$B$156,B30))</f>
        <v/>
      </c>
      <c r="N30" s="68" t="str">
        <f aca="false">IF(OR(M30="",G30=""),"",M30-G30)</f>
        <v/>
      </c>
      <c r="O30" s="61" t="str">
        <f aca="false">IF(B30="","",COUNTIFS('แผนงาน Schedule'!$B$7:$B$156,B30,'แผนงาน Schedule'!$Y$7:$Y$156,"*ล่าช้า*")+COUNTIFS('แผนงาน Schedule'!$B$7:$B$156,B30,'แผนงาน Schedule'!$Y$7:$Y$156,"*เกินกำหนด*"))</f>
        <v/>
      </c>
      <c r="P30" s="61" t="str">
        <f aca="false">IF(OR(B30="",N(C30)=0),"",IF(N(J30)&gt;=1,"แล้วเสร็จ / Completed",IF(AND(N(I30)=0,N(J30)=0),"ยังไม่เริ่ม / Not Started",IF(N(J30)&gt;=N(I30),"ตามแผน / On Track",IF(N(J30)/I30&gt;=0.9,"เฝ้าระวัง / At Risk","ล่าช้า / Behind")))))</f>
        <v/>
      </c>
      <c r="Q30" s="64" t="str">
        <f aca="false">IF(B30="","",N(I30)*N(E30))</f>
        <v/>
      </c>
      <c r="R30" s="64" t="str">
        <f aca="false">IF(B30="","",N(J30)*N(E30))</f>
        <v/>
      </c>
      <c r="S30" s="69" t="str">
        <f aca="false">IF(H30="","",IF(COUNTIFS('แผนงาน Schedule'!$B$7:$B$156,B30,'แผนงาน Schedule'!$D$7:$D$156,"&lt;&gt;",'แผนงาน Schedule'!$O$7:$O$156,"")=0,_xlfn.MAXIFS('แผนงาน Schedule'!$O$7:$O$156,'แผนงาน Schedule'!$B$7:$B$156,B30),'ตั้งค่า Setup'!$C$15))</f>
        <v/>
      </c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</row>
    <row r="31" customFormat="false" ht="24" hidden="false" customHeight="true" outlineLevel="0" collapsed="false">
      <c r="A31" s="61" t="str">
        <f aca="false">IF(B31="","",25)</f>
        <v/>
      </c>
      <c r="B31" s="62" t="str">
        <f aca="false">IF('ตั้งค่า Setup'!$C$50="","",'ตั้งค่า Setup'!$C$50)</f>
        <v/>
      </c>
      <c r="C31" s="61" t="str">
        <f aca="false">IF(B31="","",COUNTIFS('แผนงาน Schedule'!$B$7:$B$156,B31,'แผนงาน Schedule'!$D$7:$D$156,"&lt;&gt;"))</f>
        <v/>
      </c>
      <c r="D31" s="63" t="str">
        <f aca="false">IF(B31="","",SUMIF('แผนงาน Schedule'!$B$7:$B$156,B31,'แผนงาน Schedule'!$H$7:$H$156))</f>
        <v/>
      </c>
      <c r="E31" s="64" t="str">
        <f aca="false">IF(B31="","",SUMIF('แผนงาน Schedule'!$B$7:$B$156,B31,'แผนงาน Schedule'!$G$7:$G$156))</f>
        <v/>
      </c>
      <c r="F31" s="65" t="str">
        <f aca="false">IF(OR(B31="",N(C31)=0),"",_xlfn.MINIFS('แผนงาน Schedule'!$I$7:$I$156,'แผนงาน Schedule'!$B$7:$B$156,B31))</f>
        <v/>
      </c>
      <c r="G31" s="65" t="str">
        <f aca="false">IF(OR(B31="",N(C31)=0),"",_xlfn.MAXIFS('แผนงาน Schedule'!$J$7:$J$156,'แผนงาน Schedule'!$B$7:$B$156,B31))</f>
        <v/>
      </c>
      <c r="H31" s="65" t="str">
        <f aca="false">IF(OR(B31="",COUNTIFS('แผนงาน Schedule'!$B$7:$B$156,B31,'แผนงาน Schedule'!$N$7:$N$156,"&lt;&gt;")=0),"",_xlfn.MINIFS('แผนงาน Schedule'!$N$7:$N$156,'แผนงาน Schedule'!$B$7:$B$156,B31))</f>
        <v/>
      </c>
      <c r="I31" s="64" t="str">
        <f aca="false">IF(OR(B31="",N(E31)=0),"",SUMPRODUCT(('แผนงาน Schedule'!$B$7:$B$156=B31)*'แผนงาน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Schedule'!$I$7:$I$156+1)))/E31)</f>
        <v/>
      </c>
      <c r="J31" s="64" t="str">
        <f aca="false">IF(OR(B31="",N(E31)=0),"",SUMPRODUCT(('แผนงาน Schedule'!$B$7:$B$156=B31)*'แผนงาน Schedule'!$G$7:$G$156*'แผนงาน Schedule'!$P$7:$P$156)/E31)</f>
        <v/>
      </c>
      <c r="K31" s="66" t="str">
        <f aca="false">IF(I31="","",J31-I31)</f>
        <v/>
      </c>
      <c r="L31" s="67" t="str">
        <f aca="false">IF(OR(I31="",N(I31)=0),"",J31/I31)</f>
        <v/>
      </c>
      <c r="M31" s="65" t="str">
        <f aca="false">IF(OR(B31="",N(C31)=0),"",_xlfn.MAXIFS('แผนงาน Schedule'!$W$7:$W$156,'แผนงาน Schedule'!$B$7:$B$156,B31))</f>
        <v/>
      </c>
      <c r="N31" s="68" t="str">
        <f aca="false">IF(OR(M31="",G31=""),"",M31-G31)</f>
        <v/>
      </c>
      <c r="O31" s="61" t="str">
        <f aca="false">IF(B31="","",COUNTIFS('แผนงาน Schedule'!$B$7:$B$156,B31,'แผนงาน Schedule'!$Y$7:$Y$156,"*ล่าช้า*")+COUNTIFS('แผนงาน Schedule'!$B$7:$B$156,B31,'แผนงาน Schedule'!$Y$7:$Y$156,"*เกินกำหนด*"))</f>
        <v/>
      </c>
      <c r="P31" s="61" t="str">
        <f aca="false">IF(OR(B31="",N(C31)=0),"",IF(N(J31)&gt;=1,"แล้วเสร็จ / Completed",IF(AND(N(I31)=0,N(J31)=0),"ยังไม่เริ่ม / Not Started",IF(N(J31)&gt;=N(I31),"ตามแผน / On Track",IF(N(J31)/I31&gt;=0.9,"เฝ้าระวัง / At Risk","ล่าช้า / Behind")))))</f>
        <v/>
      </c>
      <c r="Q31" s="64" t="str">
        <f aca="false">IF(B31="","",N(I31)*N(E31))</f>
        <v/>
      </c>
      <c r="R31" s="64" t="str">
        <f aca="false">IF(B31="","",N(J31)*N(E31))</f>
        <v/>
      </c>
      <c r="S31" s="69" t="str">
        <f aca="false">IF(H31="","",IF(COUNTIFS('แผนงาน Schedule'!$B$7:$B$156,B31,'แผนงาน Schedule'!$D$7:$D$156,"&lt;&gt;",'แผนงาน Schedule'!$O$7:$O$156,"")=0,_xlfn.MAXIFS('แผนงาน Schedule'!$O$7:$O$156,'แผนงาน Schedule'!$B$7:$B$156,B31),'ตั้งค่า Setup'!$C$15))</f>
        <v/>
      </c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</row>
    <row r="32" customFormat="false" ht="24" hidden="false" customHeight="true" outlineLevel="0" collapsed="false">
      <c r="A32" s="61" t="str">
        <f aca="false">IF(B32="","",26)</f>
        <v/>
      </c>
      <c r="B32" s="62" t="str">
        <f aca="false">IF('ตั้งค่า Setup'!$C$51="","",'ตั้งค่า Setup'!$C$51)</f>
        <v/>
      </c>
      <c r="C32" s="61" t="str">
        <f aca="false">IF(B32="","",COUNTIFS('แผนงาน Schedule'!$B$7:$B$156,B32,'แผนงาน Schedule'!$D$7:$D$156,"&lt;&gt;"))</f>
        <v/>
      </c>
      <c r="D32" s="63" t="str">
        <f aca="false">IF(B32="","",SUMIF('แผนงาน Schedule'!$B$7:$B$156,B32,'แผนงาน Schedule'!$H$7:$H$156))</f>
        <v/>
      </c>
      <c r="E32" s="64" t="str">
        <f aca="false">IF(B32="","",SUMIF('แผนงาน Schedule'!$B$7:$B$156,B32,'แผนงาน Schedule'!$G$7:$G$156))</f>
        <v/>
      </c>
      <c r="F32" s="65" t="str">
        <f aca="false">IF(OR(B32="",N(C32)=0),"",_xlfn.MINIFS('แผนงาน Schedule'!$I$7:$I$156,'แผนงาน Schedule'!$B$7:$B$156,B32))</f>
        <v/>
      </c>
      <c r="G32" s="65" t="str">
        <f aca="false">IF(OR(B32="",N(C32)=0),"",_xlfn.MAXIFS('แผนงาน Schedule'!$J$7:$J$156,'แผนงาน Schedule'!$B$7:$B$156,B32))</f>
        <v/>
      </c>
      <c r="H32" s="65" t="str">
        <f aca="false">IF(OR(B32="",COUNTIFS('แผนงาน Schedule'!$B$7:$B$156,B32,'แผนงาน Schedule'!$N$7:$N$156,"&lt;&gt;")=0),"",_xlfn.MINIFS('แผนงาน Schedule'!$N$7:$N$156,'แผนงาน Schedule'!$B$7:$B$156,B32))</f>
        <v/>
      </c>
      <c r="I32" s="64" t="str">
        <f aca="false">IF(OR(B32="",N(E32)=0),"",SUMPRODUCT(('แผนงาน Schedule'!$B$7:$B$156=B32)*'แผนงาน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Schedule'!$I$7:$I$156+1)))/E32)</f>
        <v/>
      </c>
      <c r="J32" s="64" t="str">
        <f aca="false">IF(OR(B32="",N(E32)=0),"",SUMPRODUCT(('แผนงาน Schedule'!$B$7:$B$156=B32)*'แผนงาน Schedule'!$G$7:$G$156*'แผนงาน Schedule'!$P$7:$P$156)/E32)</f>
        <v/>
      </c>
      <c r="K32" s="66" t="str">
        <f aca="false">IF(I32="","",J32-I32)</f>
        <v/>
      </c>
      <c r="L32" s="67" t="str">
        <f aca="false">IF(OR(I32="",N(I32)=0),"",J32/I32)</f>
        <v/>
      </c>
      <c r="M32" s="65" t="str">
        <f aca="false">IF(OR(B32="",N(C32)=0),"",_xlfn.MAXIFS('แผนงาน Schedule'!$W$7:$W$156,'แผนงาน Schedule'!$B$7:$B$156,B32))</f>
        <v/>
      </c>
      <c r="N32" s="68" t="str">
        <f aca="false">IF(OR(M32="",G32=""),"",M32-G32)</f>
        <v/>
      </c>
      <c r="O32" s="61" t="str">
        <f aca="false">IF(B32="","",COUNTIFS('แผนงาน Schedule'!$B$7:$B$156,B32,'แผนงาน Schedule'!$Y$7:$Y$156,"*ล่าช้า*")+COUNTIFS('แผนงาน Schedule'!$B$7:$B$156,B32,'แผนงาน Schedule'!$Y$7:$Y$156,"*เกินกำหนด*"))</f>
        <v/>
      </c>
      <c r="P32" s="61" t="str">
        <f aca="false">IF(OR(B32="",N(C32)=0),"",IF(N(J32)&gt;=1,"แล้วเสร็จ / Completed",IF(AND(N(I32)=0,N(J32)=0),"ยังไม่เริ่ม / Not Started",IF(N(J32)&gt;=N(I32),"ตามแผน / On Track",IF(N(J32)/I32&gt;=0.9,"เฝ้าระวัง / At Risk","ล่าช้า / Behind")))))</f>
        <v/>
      </c>
      <c r="Q32" s="64" t="str">
        <f aca="false">IF(B32="","",N(I32)*N(E32))</f>
        <v/>
      </c>
      <c r="R32" s="64" t="str">
        <f aca="false">IF(B32="","",N(J32)*N(E32))</f>
        <v/>
      </c>
      <c r="S32" s="69" t="str">
        <f aca="false">IF(H32="","",IF(COUNTIFS('แผนงาน Schedule'!$B$7:$B$156,B32,'แผนงาน Schedule'!$D$7:$D$156,"&lt;&gt;",'แผนงาน Schedule'!$O$7:$O$156,"")=0,_xlfn.MAXIFS('แผนงาน Schedule'!$O$7:$O$156,'แผนงาน Schedule'!$B$7:$B$156,B32),'ตั้งค่า Setup'!$C$15))</f>
        <v/>
      </c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</row>
    <row r="33" customFormat="false" ht="24" hidden="false" customHeight="true" outlineLevel="0" collapsed="false">
      <c r="A33" s="61" t="str">
        <f aca="false">IF(B33="","",27)</f>
        <v/>
      </c>
      <c r="B33" s="62" t="str">
        <f aca="false">IF('ตั้งค่า Setup'!$C$52="","",'ตั้งค่า Setup'!$C$52)</f>
        <v/>
      </c>
      <c r="C33" s="61" t="str">
        <f aca="false">IF(B33="","",COUNTIFS('แผนงาน Schedule'!$B$7:$B$156,B33,'แผนงาน Schedule'!$D$7:$D$156,"&lt;&gt;"))</f>
        <v/>
      </c>
      <c r="D33" s="63" t="str">
        <f aca="false">IF(B33="","",SUMIF('แผนงาน Schedule'!$B$7:$B$156,B33,'แผนงาน Schedule'!$H$7:$H$156))</f>
        <v/>
      </c>
      <c r="E33" s="64" t="str">
        <f aca="false">IF(B33="","",SUMIF('แผนงาน Schedule'!$B$7:$B$156,B33,'แผนงาน Schedule'!$G$7:$G$156))</f>
        <v/>
      </c>
      <c r="F33" s="65" t="str">
        <f aca="false">IF(OR(B33="",N(C33)=0),"",_xlfn.MINIFS('แผนงาน Schedule'!$I$7:$I$156,'แผนงาน Schedule'!$B$7:$B$156,B33))</f>
        <v/>
      </c>
      <c r="G33" s="65" t="str">
        <f aca="false">IF(OR(B33="",N(C33)=0),"",_xlfn.MAXIFS('แผนงาน Schedule'!$J$7:$J$156,'แผนงาน Schedule'!$B$7:$B$156,B33))</f>
        <v/>
      </c>
      <c r="H33" s="65" t="str">
        <f aca="false">IF(OR(B33="",COUNTIFS('แผนงาน Schedule'!$B$7:$B$156,B33,'แผนงาน Schedule'!$N$7:$N$156,"&lt;&gt;")=0),"",_xlfn.MINIFS('แผนงาน Schedule'!$N$7:$N$156,'แผนงาน Schedule'!$B$7:$B$156,B33))</f>
        <v/>
      </c>
      <c r="I33" s="64" t="str">
        <f aca="false">IF(OR(B33="",N(E33)=0),"",SUMPRODUCT(('แผนงาน Schedule'!$B$7:$B$156=B33)*'แผนงาน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Schedule'!$I$7:$I$156+1)))/E33)</f>
        <v/>
      </c>
      <c r="J33" s="64" t="str">
        <f aca="false">IF(OR(B33="",N(E33)=0),"",SUMPRODUCT(('แผนงาน Schedule'!$B$7:$B$156=B33)*'แผนงาน Schedule'!$G$7:$G$156*'แผนงาน Schedule'!$P$7:$P$156)/E33)</f>
        <v/>
      </c>
      <c r="K33" s="66" t="str">
        <f aca="false">IF(I33="","",J33-I33)</f>
        <v/>
      </c>
      <c r="L33" s="67" t="str">
        <f aca="false">IF(OR(I33="",N(I33)=0),"",J33/I33)</f>
        <v/>
      </c>
      <c r="M33" s="65" t="str">
        <f aca="false">IF(OR(B33="",N(C33)=0),"",_xlfn.MAXIFS('แผนงาน Schedule'!$W$7:$W$156,'แผนงาน Schedule'!$B$7:$B$156,B33))</f>
        <v/>
      </c>
      <c r="N33" s="68" t="str">
        <f aca="false">IF(OR(M33="",G33=""),"",M33-G33)</f>
        <v/>
      </c>
      <c r="O33" s="61" t="str">
        <f aca="false">IF(B33="","",COUNTIFS('แผนงาน Schedule'!$B$7:$B$156,B33,'แผนงาน Schedule'!$Y$7:$Y$156,"*ล่าช้า*")+COUNTIFS('แผนงาน Schedule'!$B$7:$B$156,B33,'แผนงาน Schedule'!$Y$7:$Y$156,"*เกินกำหนด*"))</f>
        <v/>
      </c>
      <c r="P33" s="61" t="str">
        <f aca="false">IF(OR(B33="",N(C33)=0),"",IF(N(J33)&gt;=1,"แล้วเสร็จ / Completed",IF(AND(N(I33)=0,N(J33)=0),"ยังไม่เริ่ม / Not Started",IF(N(J33)&gt;=N(I33),"ตามแผน / On Track",IF(N(J33)/I33&gt;=0.9,"เฝ้าระวัง / At Risk","ล่าช้า / Behind")))))</f>
        <v/>
      </c>
      <c r="Q33" s="64" t="str">
        <f aca="false">IF(B33="","",N(I33)*N(E33))</f>
        <v/>
      </c>
      <c r="R33" s="64" t="str">
        <f aca="false">IF(B33="","",N(J33)*N(E33))</f>
        <v/>
      </c>
      <c r="S33" s="69" t="str">
        <f aca="false">IF(H33="","",IF(COUNTIFS('แผนงาน Schedule'!$B$7:$B$156,B33,'แผนงาน Schedule'!$D$7:$D$156,"&lt;&gt;",'แผนงาน Schedule'!$O$7:$O$156,"")=0,_xlfn.MAXIFS('แผนงาน Schedule'!$O$7:$O$156,'แผนงาน Schedule'!$B$7:$B$156,B33),'ตั้งค่า Setup'!$C$15))</f>
        <v/>
      </c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</row>
    <row r="34" customFormat="false" ht="24" hidden="false" customHeight="true" outlineLevel="0" collapsed="false">
      <c r="A34" s="61" t="str">
        <f aca="false">IF(B34="","",28)</f>
        <v/>
      </c>
      <c r="B34" s="62" t="str">
        <f aca="false">IF('ตั้งค่า Setup'!$C$53="","",'ตั้งค่า Setup'!$C$53)</f>
        <v/>
      </c>
      <c r="C34" s="61" t="str">
        <f aca="false">IF(B34="","",COUNTIFS('แผนงาน Schedule'!$B$7:$B$156,B34,'แผนงาน Schedule'!$D$7:$D$156,"&lt;&gt;"))</f>
        <v/>
      </c>
      <c r="D34" s="63" t="str">
        <f aca="false">IF(B34="","",SUMIF('แผนงาน Schedule'!$B$7:$B$156,B34,'แผนงาน Schedule'!$H$7:$H$156))</f>
        <v/>
      </c>
      <c r="E34" s="64" t="str">
        <f aca="false">IF(B34="","",SUMIF('แผนงาน Schedule'!$B$7:$B$156,B34,'แผนงาน Schedule'!$G$7:$G$156))</f>
        <v/>
      </c>
      <c r="F34" s="65" t="str">
        <f aca="false">IF(OR(B34="",N(C34)=0),"",_xlfn.MINIFS('แผนงาน Schedule'!$I$7:$I$156,'แผนงาน Schedule'!$B$7:$B$156,B34))</f>
        <v/>
      </c>
      <c r="G34" s="65" t="str">
        <f aca="false">IF(OR(B34="",N(C34)=0),"",_xlfn.MAXIFS('แผนงาน Schedule'!$J$7:$J$156,'แผนงาน Schedule'!$B$7:$B$156,B34))</f>
        <v/>
      </c>
      <c r="H34" s="65" t="str">
        <f aca="false">IF(OR(B34="",COUNTIFS('แผนงาน Schedule'!$B$7:$B$156,B34,'แผนงาน Schedule'!$N$7:$N$156,"&lt;&gt;")=0),"",_xlfn.MINIFS('แผนงาน Schedule'!$N$7:$N$156,'แผนงาน Schedule'!$B$7:$B$156,B34))</f>
        <v/>
      </c>
      <c r="I34" s="64" t="str">
        <f aca="false">IF(OR(B34="",N(E34)=0),"",SUMPRODUCT(('แผนงาน Schedule'!$B$7:$B$156=B34)*'แผนงาน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Schedule'!$I$7:$I$156+1)))/E34)</f>
        <v/>
      </c>
      <c r="J34" s="64" t="str">
        <f aca="false">IF(OR(B34="",N(E34)=0),"",SUMPRODUCT(('แผนงาน Schedule'!$B$7:$B$156=B34)*'แผนงาน Schedule'!$G$7:$G$156*'แผนงาน Schedule'!$P$7:$P$156)/E34)</f>
        <v/>
      </c>
      <c r="K34" s="66" t="str">
        <f aca="false">IF(I34="","",J34-I34)</f>
        <v/>
      </c>
      <c r="L34" s="67" t="str">
        <f aca="false">IF(OR(I34="",N(I34)=0),"",J34/I34)</f>
        <v/>
      </c>
      <c r="M34" s="65" t="str">
        <f aca="false">IF(OR(B34="",N(C34)=0),"",_xlfn.MAXIFS('แผนงาน Schedule'!$W$7:$W$156,'แผนงาน Schedule'!$B$7:$B$156,B34))</f>
        <v/>
      </c>
      <c r="N34" s="68" t="str">
        <f aca="false">IF(OR(M34="",G34=""),"",M34-G34)</f>
        <v/>
      </c>
      <c r="O34" s="61" t="str">
        <f aca="false">IF(B34="","",COUNTIFS('แผนงาน Schedule'!$B$7:$B$156,B34,'แผนงาน Schedule'!$Y$7:$Y$156,"*ล่าช้า*")+COUNTIFS('แผนงาน Schedule'!$B$7:$B$156,B34,'แผนงาน Schedule'!$Y$7:$Y$156,"*เกินกำหนด*"))</f>
        <v/>
      </c>
      <c r="P34" s="61" t="str">
        <f aca="false">IF(OR(B34="",N(C34)=0),"",IF(N(J34)&gt;=1,"แล้วเสร็จ / Completed",IF(AND(N(I34)=0,N(J34)=0),"ยังไม่เริ่ม / Not Started",IF(N(J34)&gt;=N(I34),"ตามแผน / On Track",IF(N(J34)/I34&gt;=0.9,"เฝ้าระวัง / At Risk","ล่าช้า / Behind")))))</f>
        <v/>
      </c>
      <c r="Q34" s="64" t="str">
        <f aca="false">IF(B34="","",N(I34)*N(E34))</f>
        <v/>
      </c>
      <c r="R34" s="64" t="str">
        <f aca="false">IF(B34="","",N(J34)*N(E34))</f>
        <v/>
      </c>
      <c r="S34" s="69" t="str">
        <f aca="false">IF(H34="","",IF(COUNTIFS('แผนงาน Schedule'!$B$7:$B$156,B34,'แผนงาน Schedule'!$D$7:$D$156,"&lt;&gt;",'แผนงาน Schedule'!$O$7:$O$156,"")=0,_xlfn.MAXIFS('แผนงาน Schedule'!$O$7:$O$156,'แผนงาน Schedule'!$B$7:$B$156,B34),'ตั้งค่า Setup'!$C$15))</f>
        <v/>
      </c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</row>
    <row r="35" customFormat="false" ht="24" hidden="false" customHeight="true" outlineLevel="0" collapsed="false">
      <c r="A35" s="61" t="str">
        <f aca="false">IF(B35="","",29)</f>
        <v/>
      </c>
      <c r="B35" s="62" t="str">
        <f aca="false">IF('ตั้งค่า Setup'!$C$54="","",'ตั้งค่า Setup'!$C$54)</f>
        <v/>
      </c>
      <c r="C35" s="61" t="str">
        <f aca="false">IF(B35="","",COUNTIFS('แผนงาน Schedule'!$B$7:$B$156,B35,'แผนงาน Schedule'!$D$7:$D$156,"&lt;&gt;"))</f>
        <v/>
      </c>
      <c r="D35" s="63" t="str">
        <f aca="false">IF(B35="","",SUMIF('แผนงาน Schedule'!$B$7:$B$156,B35,'แผนงาน Schedule'!$H$7:$H$156))</f>
        <v/>
      </c>
      <c r="E35" s="64" t="str">
        <f aca="false">IF(B35="","",SUMIF('แผนงาน Schedule'!$B$7:$B$156,B35,'แผนงาน Schedule'!$G$7:$G$156))</f>
        <v/>
      </c>
      <c r="F35" s="65" t="str">
        <f aca="false">IF(OR(B35="",N(C35)=0),"",_xlfn.MINIFS('แผนงาน Schedule'!$I$7:$I$156,'แผนงาน Schedule'!$B$7:$B$156,B35))</f>
        <v/>
      </c>
      <c r="G35" s="65" t="str">
        <f aca="false">IF(OR(B35="",N(C35)=0),"",_xlfn.MAXIFS('แผนงาน Schedule'!$J$7:$J$156,'แผนงาน Schedule'!$B$7:$B$156,B35))</f>
        <v/>
      </c>
      <c r="H35" s="65" t="str">
        <f aca="false">IF(OR(B35="",COUNTIFS('แผนงาน Schedule'!$B$7:$B$156,B35,'แผนงาน Schedule'!$N$7:$N$156,"&lt;&gt;")=0),"",_xlfn.MINIFS('แผนงาน Schedule'!$N$7:$N$156,'แผนงาน Schedule'!$B$7:$B$156,B35))</f>
        <v/>
      </c>
      <c r="I35" s="64" t="str">
        <f aca="false">IF(OR(B35="",N(E35)=0),"",SUMPRODUCT(('แผนงาน Schedule'!$B$7:$B$156=B35)*'แผนงาน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Schedule'!$I$7:$I$156+1)))/E35)</f>
        <v/>
      </c>
      <c r="J35" s="64" t="str">
        <f aca="false">IF(OR(B35="",N(E35)=0),"",SUMPRODUCT(('แผนงาน Schedule'!$B$7:$B$156=B35)*'แผนงาน Schedule'!$G$7:$G$156*'แผนงาน Schedule'!$P$7:$P$156)/E35)</f>
        <v/>
      </c>
      <c r="K35" s="66" t="str">
        <f aca="false">IF(I35="","",J35-I35)</f>
        <v/>
      </c>
      <c r="L35" s="67" t="str">
        <f aca="false">IF(OR(I35="",N(I35)=0),"",J35/I35)</f>
        <v/>
      </c>
      <c r="M35" s="65" t="str">
        <f aca="false">IF(OR(B35="",N(C35)=0),"",_xlfn.MAXIFS('แผนงาน Schedule'!$W$7:$W$156,'แผนงาน Schedule'!$B$7:$B$156,B35))</f>
        <v/>
      </c>
      <c r="N35" s="68" t="str">
        <f aca="false">IF(OR(M35="",G35=""),"",M35-G35)</f>
        <v/>
      </c>
      <c r="O35" s="61" t="str">
        <f aca="false">IF(B35="","",COUNTIFS('แผนงาน Schedule'!$B$7:$B$156,B35,'แผนงาน Schedule'!$Y$7:$Y$156,"*ล่าช้า*")+COUNTIFS('แผนงาน Schedule'!$B$7:$B$156,B35,'แผนงาน Schedule'!$Y$7:$Y$156,"*เกินกำหนด*"))</f>
        <v/>
      </c>
      <c r="P35" s="61" t="str">
        <f aca="false">IF(OR(B35="",N(C35)=0),"",IF(N(J35)&gt;=1,"แล้วเสร็จ / Completed",IF(AND(N(I35)=0,N(J35)=0),"ยังไม่เริ่ม / Not Started",IF(N(J35)&gt;=N(I35),"ตามแผน / On Track",IF(N(J35)/I35&gt;=0.9,"เฝ้าระวัง / At Risk","ล่าช้า / Behind")))))</f>
        <v/>
      </c>
      <c r="Q35" s="64" t="str">
        <f aca="false">IF(B35="","",N(I35)*N(E35))</f>
        <v/>
      </c>
      <c r="R35" s="64" t="str">
        <f aca="false">IF(B35="","",N(J35)*N(E35))</f>
        <v/>
      </c>
      <c r="S35" s="69" t="str">
        <f aca="false">IF(H35="","",IF(COUNTIFS('แผนงาน Schedule'!$B$7:$B$156,B35,'แผนงาน Schedule'!$D$7:$D$156,"&lt;&gt;",'แผนงาน Schedule'!$O$7:$O$156,"")=0,_xlfn.MAXIFS('แผนงาน Schedule'!$O$7:$O$156,'แผนงาน Schedule'!$B$7:$B$156,B35),'ตั้งค่า Setup'!$C$15))</f>
        <v/>
      </c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</row>
    <row r="36" customFormat="false" ht="24" hidden="false" customHeight="true" outlineLevel="0" collapsed="false">
      <c r="A36" s="61" t="str">
        <f aca="false">IF(B36="","",30)</f>
        <v/>
      </c>
      <c r="B36" s="62" t="str">
        <f aca="false">IF('ตั้งค่า Setup'!$C$55="","",'ตั้งค่า Setup'!$C$55)</f>
        <v/>
      </c>
      <c r="C36" s="61" t="str">
        <f aca="false">IF(B36="","",COUNTIFS('แผนงาน Schedule'!$B$7:$B$156,B36,'แผนงาน Schedule'!$D$7:$D$156,"&lt;&gt;"))</f>
        <v/>
      </c>
      <c r="D36" s="63" t="str">
        <f aca="false">IF(B36="","",SUMIF('แผนงาน Schedule'!$B$7:$B$156,B36,'แผนงาน Schedule'!$H$7:$H$156))</f>
        <v/>
      </c>
      <c r="E36" s="64" t="str">
        <f aca="false">IF(B36="","",SUMIF('แผนงาน Schedule'!$B$7:$B$156,B36,'แผนงาน Schedule'!$G$7:$G$156))</f>
        <v/>
      </c>
      <c r="F36" s="65" t="str">
        <f aca="false">IF(OR(B36="",N(C36)=0),"",_xlfn.MINIFS('แผนงาน Schedule'!$I$7:$I$156,'แผนงาน Schedule'!$B$7:$B$156,B36))</f>
        <v/>
      </c>
      <c r="G36" s="65" t="str">
        <f aca="false">IF(OR(B36="",N(C36)=0),"",_xlfn.MAXIFS('แผนงาน Schedule'!$J$7:$J$156,'แผนงาน Schedule'!$B$7:$B$156,B36))</f>
        <v/>
      </c>
      <c r="H36" s="65" t="str">
        <f aca="false">IF(OR(B36="",COUNTIFS('แผนงาน Schedule'!$B$7:$B$156,B36,'แผนงาน Schedule'!$N$7:$N$156,"&lt;&gt;")=0),"",_xlfn.MINIFS('แผนงาน Schedule'!$N$7:$N$156,'แผนงาน Schedule'!$B$7:$B$156,B36))</f>
        <v/>
      </c>
      <c r="I36" s="64" t="str">
        <f aca="false">IF(OR(B36="",N(E36)=0),"",SUMPRODUCT(('แผนงาน Schedule'!$B$7:$B$156=B36)*'แผนงาน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Schedule'!$I$7:$I$156+1)))/E36)</f>
        <v/>
      </c>
      <c r="J36" s="64" t="str">
        <f aca="false">IF(OR(B36="",N(E36)=0),"",SUMPRODUCT(('แผนงาน Schedule'!$B$7:$B$156=B36)*'แผนงาน Schedule'!$G$7:$G$156*'แผนงาน Schedule'!$P$7:$P$156)/E36)</f>
        <v/>
      </c>
      <c r="K36" s="66" t="str">
        <f aca="false">IF(I36="","",J36-I36)</f>
        <v/>
      </c>
      <c r="L36" s="67" t="str">
        <f aca="false">IF(OR(I36="",N(I36)=0),"",J36/I36)</f>
        <v/>
      </c>
      <c r="M36" s="65" t="str">
        <f aca="false">IF(OR(B36="",N(C36)=0),"",_xlfn.MAXIFS('แผนงาน Schedule'!$W$7:$W$156,'แผนงาน Schedule'!$B$7:$B$156,B36))</f>
        <v/>
      </c>
      <c r="N36" s="68" t="str">
        <f aca="false">IF(OR(M36="",G36=""),"",M36-G36)</f>
        <v/>
      </c>
      <c r="O36" s="61" t="str">
        <f aca="false">IF(B36="","",COUNTIFS('แผนงาน Schedule'!$B$7:$B$156,B36,'แผนงาน Schedule'!$Y$7:$Y$156,"*ล่าช้า*")+COUNTIFS('แผนงาน Schedule'!$B$7:$B$156,B36,'แผนงาน Schedule'!$Y$7:$Y$156,"*เกินกำหนด*"))</f>
        <v/>
      </c>
      <c r="P36" s="61" t="str">
        <f aca="false">IF(OR(B36="",N(C36)=0),"",IF(N(J36)&gt;=1,"แล้วเสร็จ / Completed",IF(AND(N(I36)=0,N(J36)=0),"ยังไม่เริ่ม / Not Started",IF(N(J36)&gt;=N(I36),"ตามแผน / On Track",IF(N(J36)/I36&gt;=0.9,"เฝ้าระวัง / At Risk","ล่าช้า / Behind")))))</f>
        <v/>
      </c>
      <c r="Q36" s="64" t="str">
        <f aca="false">IF(B36="","",N(I36)*N(E36))</f>
        <v/>
      </c>
      <c r="R36" s="64" t="str">
        <f aca="false">IF(B36="","",N(J36)*N(E36))</f>
        <v/>
      </c>
      <c r="S36" s="69" t="str">
        <f aca="false">IF(H36="","",IF(COUNTIFS('แผนงาน Schedule'!$B$7:$B$156,B36,'แผนงาน Schedule'!$D$7:$D$156,"&lt;&gt;",'แผนงาน Schedule'!$O$7:$O$156,"")=0,_xlfn.MAXIFS('แผนงาน Schedule'!$O$7:$O$156,'แผนงาน Schedule'!$B$7:$B$156,B36),'ตั้งค่า Setup'!$C$15))</f>
        <v/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</row>
    <row r="37" customFormat="false" ht="24" hidden="false" customHeight="true" outlineLevel="0" collapsed="false">
      <c r="A37" s="61" t="str">
        <f aca="false">IF(B37="","",31)</f>
        <v/>
      </c>
      <c r="B37" s="62" t="str">
        <f aca="false">IF('ตั้งค่า Setup'!$C$56="","",'ตั้งค่า Setup'!$C$56)</f>
        <v/>
      </c>
      <c r="C37" s="61" t="str">
        <f aca="false">IF(B37="","",COUNTIFS('แผนงาน Schedule'!$B$7:$B$156,B37,'แผนงาน Schedule'!$D$7:$D$156,"&lt;&gt;"))</f>
        <v/>
      </c>
      <c r="D37" s="63" t="str">
        <f aca="false">IF(B37="","",SUMIF('แผนงาน Schedule'!$B$7:$B$156,B37,'แผนงาน Schedule'!$H$7:$H$156))</f>
        <v/>
      </c>
      <c r="E37" s="64" t="str">
        <f aca="false">IF(B37="","",SUMIF('แผนงาน Schedule'!$B$7:$B$156,B37,'แผนงาน Schedule'!$G$7:$G$156))</f>
        <v/>
      </c>
      <c r="F37" s="65" t="str">
        <f aca="false">IF(OR(B37="",N(C37)=0),"",_xlfn.MINIFS('แผนงาน Schedule'!$I$7:$I$156,'แผนงาน Schedule'!$B$7:$B$156,B37))</f>
        <v/>
      </c>
      <c r="G37" s="65" t="str">
        <f aca="false">IF(OR(B37="",N(C37)=0),"",_xlfn.MAXIFS('แผนงาน Schedule'!$J$7:$J$156,'แผนงาน Schedule'!$B$7:$B$156,B37))</f>
        <v/>
      </c>
      <c r="H37" s="65" t="str">
        <f aca="false">IF(OR(B37="",COUNTIFS('แผนงาน Schedule'!$B$7:$B$156,B37,'แผนงาน Schedule'!$N$7:$N$156,"&lt;&gt;")=0),"",_xlfn.MINIFS('แผนงาน Schedule'!$N$7:$N$156,'แผนงาน Schedule'!$B$7:$B$156,B37))</f>
        <v/>
      </c>
      <c r="I37" s="64" t="str">
        <f aca="false">IF(OR(B37="",N(E37)=0),"",SUMPRODUCT(('แผนงาน Schedule'!$B$7:$B$156=B37)*'แผนงาน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Schedule'!$I$7:$I$156+1)))/E37)</f>
        <v/>
      </c>
      <c r="J37" s="64" t="str">
        <f aca="false">IF(OR(B37="",N(E37)=0),"",SUMPRODUCT(('แผนงาน Schedule'!$B$7:$B$156=B37)*'แผนงาน Schedule'!$G$7:$G$156*'แผนงาน Schedule'!$P$7:$P$156)/E37)</f>
        <v/>
      </c>
      <c r="K37" s="66" t="str">
        <f aca="false">IF(I37="","",J37-I37)</f>
        <v/>
      </c>
      <c r="L37" s="67" t="str">
        <f aca="false">IF(OR(I37="",N(I37)=0),"",J37/I37)</f>
        <v/>
      </c>
      <c r="M37" s="65" t="str">
        <f aca="false">IF(OR(B37="",N(C37)=0),"",_xlfn.MAXIFS('แผนงาน Schedule'!$W$7:$W$156,'แผนงาน Schedule'!$B$7:$B$156,B37))</f>
        <v/>
      </c>
      <c r="N37" s="68" t="str">
        <f aca="false">IF(OR(M37="",G37=""),"",M37-G37)</f>
        <v/>
      </c>
      <c r="O37" s="61" t="str">
        <f aca="false">IF(B37="","",COUNTIFS('แผนงาน Schedule'!$B$7:$B$156,B37,'แผนงาน Schedule'!$Y$7:$Y$156,"*ล่าช้า*")+COUNTIFS('แผนงาน Schedule'!$B$7:$B$156,B37,'แผนงาน Schedule'!$Y$7:$Y$156,"*เกินกำหนด*"))</f>
        <v/>
      </c>
      <c r="P37" s="61" t="str">
        <f aca="false">IF(OR(B37="",N(C37)=0),"",IF(N(J37)&gt;=1,"แล้วเสร็จ / Completed",IF(AND(N(I37)=0,N(J37)=0),"ยังไม่เริ่ม / Not Started",IF(N(J37)&gt;=N(I37),"ตามแผน / On Track",IF(N(J37)/I37&gt;=0.9,"เฝ้าระวัง / At Risk","ล่าช้า / Behind")))))</f>
        <v/>
      </c>
      <c r="Q37" s="64" t="str">
        <f aca="false">IF(B37="","",N(I37)*N(E37))</f>
        <v/>
      </c>
      <c r="R37" s="64" t="str">
        <f aca="false">IF(B37="","",N(J37)*N(E37))</f>
        <v/>
      </c>
      <c r="S37" s="69" t="str">
        <f aca="false">IF(H37="","",IF(COUNTIFS('แผนงาน Schedule'!$B$7:$B$156,B37,'แผนงาน Schedule'!$D$7:$D$156,"&lt;&gt;",'แผนงาน Schedule'!$O$7:$O$156,"")=0,_xlfn.MAXIFS('แผนงาน Schedule'!$O$7:$O$156,'แผนงาน Schedule'!$B$7:$B$156,B37),'ตั้งค่า Setup'!$C$15))</f>
        <v/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</row>
    <row r="38" customFormat="false" ht="24" hidden="false" customHeight="true" outlineLevel="0" collapsed="false">
      <c r="A38" s="61" t="str">
        <f aca="false">IF(B38="","",32)</f>
        <v/>
      </c>
      <c r="B38" s="62" t="str">
        <f aca="false">IF('ตั้งค่า Setup'!$C$57="","",'ตั้งค่า Setup'!$C$57)</f>
        <v/>
      </c>
      <c r="C38" s="61" t="str">
        <f aca="false">IF(B38="","",COUNTIFS('แผนงาน Schedule'!$B$7:$B$156,B38,'แผนงาน Schedule'!$D$7:$D$156,"&lt;&gt;"))</f>
        <v/>
      </c>
      <c r="D38" s="63" t="str">
        <f aca="false">IF(B38="","",SUMIF('แผนงาน Schedule'!$B$7:$B$156,B38,'แผนงาน Schedule'!$H$7:$H$156))</f>
        <v/>
      </c>
      <c r="E38" s="64" t="str">
        <f aca="false">IF(B38="","",SUMIF('แผนงาน Schedule'!$B$7:$B$156,B38,'แผนงาน Schedule'!$G$7:$G$156))</f>
        <v/>
      </c>
      <c r="F38" s="65" t="str">
        <f aca="false">IF(OR(B38="",N(C38)=0),"",_xlfn.MINIFS('แผนงาน Schedule'!$I$7:$I$156,'แผนงาน Schedule'!$B$7:$B$156,B38))</f>
        <v/>
      </c>
      <c r="G38" s="65" t="str">
        <f aca="false">IF(OR(B38="",N(C38)=0),"",_xlfn.MAXIFS('แผนงาน Schedule'!$J$7:$J$156,'แผนงาน Schedule'!$B$7:$B$156,B38))</f>
        <v/>
      </c>
      <c r="H38" s="65" t="str">
        <f aca="false">IF(OR(B38="",COUNTIFS('แผนงาน Schedule'!$B$7:$B$156,B38,'แผนงาน Schedule'!$N$7:$N$156,"&lt;&gt;")=0),"",_xlfn.MINIFS('แผนงาน Schedule'!$N$7:$N$156,'แผนงาน Schedule'!$B$7:$B$156,B38))</f>
        <v/>
      </c>
      <c r="I38" s="64" t="str">
        <f aca="false">IF(OR(B38="",N(E38)=0),"",SUMPRODUCT(('แผนงาน Schedule'!$B$7:$B$156=B38)*'แผนงาน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Schedule'!$I$7:$I$156+1)))/E38)</f>
        <v/>
      </c>
      <c r="J38" s="64" t="str">
        <f aca="false">IF(OR(B38="",N(E38)=0),"",SUMPRODUCT(('แผนงาน Schedule'!$B$7:$B$156=B38)*'แผนงาน Schedule'!$G$7:$G$156*'แผนงาน Schedule'!$P$7:$P$156)/E38)</f>
        <v/>
      </c>
      <c r="K38" s="66" t="str">
        <f aca="false">IF(I38="","",J38-I38)</f>
        <v/>
      </c>
      <c r="L38" s="67" t="str">
        <f aca="false">IF(OR(I38="",N(I38)=0),"",J38/I38)</f>
        <v/>
      </c>
      <c r="M38" s="65" t="str">
        <f aca="false">IF(OR(B38="",N(C38)=0),"",_xlfn.MAXIFS('แผนงาน Schedule'!$W$7:$W$156,'แผนงาน Schedule'!$B$7:$B$156,B38))</f>
        <v/>
      </c>
      <c r="N38" s="68" t="str">
        <f aca="false">IF(OR(M38="",G38=""),"",M38-G38)</f>
        <v/>
      </c>
      <c r="O38" s="61" t="str">
        <f aca="false">IF(B38="","",COUNTIFS('แผนงาน Schedule'!$B$7:$B$156,B38,'แผนงาน Schedule'!$Y$7:$Y$156,"*ล่าช้า*")+COUNTIFS('แผนงาน Schedule'!$B$7:$B$156,B38,'แผนงาน Schedule'!$Y$7:$Y$156,"*เกินกำหนด*"))</f>
        <v/>
      </c>
      <c r="P38" s="61" t="str">
        <f aca="false">IF(OR(B38="",N(C38)=0),"",IF(N(J38)&gt;=1,"แล้วเสร็จ / Completed",IF(AND(N(I38)=0,N(J38)=0),"ยังไม่เริ่ม / Not Started",IF(N(J38)&gt;=N(I38),"ตามแผน / On Track",IF(N(J38)/I38&gt;=0.9,"เฝ้าระวัง / At Risk","ล่าช้า / Behind")))))</f>
        <v/>
      </c>
      <c r="Q38" s="64" t="str">
        <f aca="false">IF(B38="","",N(I38)*N(E38))</f>
        <v/>
      </c>
      <c r="R38" s="64" t="str">
        <f aca="false">IF(B38="","",N(J38)*N(E38))</f>
        <v/>
      </c>
      <c r="S38" s="69" t="str">
        <f aca="false">IF(H38="","",IF(COUNTIFS('แผนงาน Schedule'!$B$7:$B$156,B38,'แผนงาน Schedule'!$D$7:$D$156,"&lt;&gt;",'แผนงาน Schedule'!$O$7:$O$156,"")=0,_xlfn.MAXIFS('แผนงาน Schedule'!$O$7:$O$156,'แผนงาน Schedule'!$B$7:$B$156,B38),'ตั้งค่า Setup'!$C$15))</f>
        <v/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</row>
    <row r="39" customFormat="false" ht="24" hidden="false" customHeight="true" outlineLevel="0" collapsed="false">
      <c r="A39" s="61" t="str">
        <f aca="false">IF(B39="","",33)</f>
        <v/>
      </c>
      <c r="B39" s="62" t="str">
        <f aca="false">IF('ตั้งค่า Setup'!$C$58="","",'ตั้งค่า Setup'!$C$58)</f>
        <v/>
      </c>
      <c r="C39" s="61" t="str">
        <f aca="false">IF(B39="","",COUNTIFS('แผนงาน Schedule'!$B$7:$B$156,B39,'แผนงาน Schedule'!$D$7:$D$156,"&lt;&gt;"))</f>
        <v/>
      </c>
      <c r="D39" s="63" t="str">
        <f aca="false">IF(B39="","",SUMIF('แผนงาน Schedule'!$B$7:$B$156,B39,'แผนงาน Schedule'!$H$7:$H$156))</f>
        <v/>
      </c>
      <c r="E39" s="64" t="str">
        <f aca="false">IF(B39="","",SUMIF('แผนงาน Schedule'!$B$7:$B$156,B39,'แผนงาน Schedule'!$G$7:$G$156))</f>
        <v/>
      </c>
      <c r="F39" s="65" t="str">
        <f aca="false">IF(OR(B39="",N(C39)=0),"",_xlfn.MINIFS('แผนงาน Schedule'!$I$7:$I$156,'แผนงาน Schedule'!$B$7:$B$156,B39))</f>
        <v/>
      </c>
      <c r="G39" s="65" t="str">
        <f aca="false">IF(OR(B39="",N(C39)=0),"",_xlfn.MAXIFS('แผนงาน Schedule'!$J$7:$J$156,'แผนงาน Schedule'!$B$7:$B$156,B39))</f>
        <v/>
      </c>
      <c r="H39" s="65" t="str">
        <f aca="false">IF(OR(B39="",COUNTIFS('แผนงาน Schedule'!$B$7:$B$156,B39,'แผนงาน Schedule'!$N$7:$N$156,"&lt;&gt;")=0),"",_xlfn.MINIFS('แผนงาน Schedule'!$N$7:$N$156,'แผนงาน Schedule'!$B$7:$B$156,B39))</f>
        <v/>
      </c>
      <c r="I39" s="64" t="str">
        <f aca="false">IF(OR(B39="",N(E39)=0),"",SUMPRODUCT(('แผนงาน Schedule'!$B$7:$B$156=B39)*'แผนงาน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Schedule'!$I$7:$I$156+1)))/E39)</f>
        <v/>
      </c>
      <c r="J39" s="64" t="str">
        <f aca="false">IF(OR(B39="",N(E39)=0),"",SUMPRODUCT(('แผนงาน Schedule'!$B$7:$B$156=B39)*'แผนงาน Schedule'!$G$7:$G$156*'แผนงาน Schedule'!$P$7:$P$156)/E39)</f>
        <v/>
      </c>
      <c r="K39" s="66" t="str">
        <f aca="false">IF(I39="","",J39-I39)</f>
        <v/>
      </c>
      <c r="L39" s="67" t="str">
        <f aca="false">IF(OR(I39="",N(I39)=0),"",J39/I39)</f>
        <v/>
      </c>
      <c r="M39" s="65" t="str">
        <f aca="false">IF(OR(B39="",N(C39)=0),"",_xlfn.MAXIFS('แผนงาน Schedule'!$W$7:$W$156,'แผนงาน Schedule'!$B$7:$B$156,B39))</f>
        <v/>
      </c>
      <c r="N39" s="68" t="str">
        <f aca="false">IF(OR(M39="",G39=""),"",M39-G39)</f>
        <v/>
      </c>
      <c r="O39" s="61" t="str">
        <f aca="false">IF(B39="","",COUNTIFS('แผนงาน Schedule'!$B$7:$B$156,B39,'แผนงาน Schedule'!$Y$7:$Y$156,"*ล่าช้า*")+COUNTIFS('แผนงาน Schedule'!$B$7:$B$156,B39,'แผนงาน Schedule'!$Y$7:$Y$156,"*เกินกำหนด*"))</f>
        <v/>
      </c>
      <c r="P39" s="61" t="str">
        <f aca="false">IF(OR(B39="",N(C39)=0),"",IF(N(J39)&gt;=1,"แล้วเสร็จ / Completed",IF(AND(N(I39)=0,N(J39)=0),"ยังไม่เริ่ม / Not Started",IF(N(J39)&gt;=N(I39),"ตามแผน / On Track",IF(N(J39)/I39&gt;=0.9,"เฝ้าระวัง / At Risk","ล่าช้า / Behind")))))</f>
        <v/>
      </c>
      <c r="Q39" s="64" t="str">
        <f aca="false">IF(B39="","",N(I39)*N(E39))</f>
        <v/>
      </c>
      <c r="R39" s="64" t="str">
        <f aca="false">IF(B39="","",N(J39)*N(E39))</f>
        <v/>
      </c>
      <c r="S39" s="69" t="str">
        <f aca="false">IF(H39="","",IF(COUNTIFS('แผนงาน Schedule'!$B$7:$B$156,B39,'แผนงาน Schedule'!$D$7:$D$156,"&lt;&gt;",'แผนงาน Schedule'!$O$7:$O$156,"")=0,_xlfn.MAXIFS('แผนงาน Schedule'!$O$7:$O$156,'แผนงาน Schedule'!$B$7:$B$156,B39),'ตั้งค่า Setup'!$C$15))</f>
        <v/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0"/>
      <c r="CF39" s="70"/>
      <c r="CG39" s="70"/>
      <c r="CH39" s="70"/>
      <c r="CI39" s="70"/>
      <c r="CJ39" s="70"/>
      <c r="CK39" s="70"/>
      <c r="CL39" s="70"/>
      <c r="CM39" s="70"/>
      <c r="CN39" s="70"/>
      <c r="CO39" s="70"/>
      <c r="CP39" s="70"/>
      <c r="CQ39" s="70"/>
      <c r="CR39" s="70"/>
      <c r="CS39" s="70"/>
      <c r="CT39" s="70"/>
      <c r="CU39" s="70"/>
      <c r="CV39" s="70"/>
    </row>
    <row r="40" customFormat="false" ht="24" hidden="false" customHeight="true" outlineLevel="0" collapsed="false">
      <c r="A40" s="61" t="str">
        <f aca="false">IF(B40="","",34)</f>
        <v/>
      </c>
      <c r="B40" s="62" t="str">
        <f aca="false">IF('ตั้งค่า Setup'!$C$59="","",'ตั้งค่า Setup'!$C$59)</f>
        <v/>
      </c>
      <c r="C40" s="61" t="str">
        <f aca="false">IF(B40="","",COUNTIFS('แผนงาน Schedule'!$B$7:$B$156,B40,'แผนงาน Schedule'!$D$7:$D$156,"&lt;&gt;"))</f>
        <v/>
      </c>
      <c r="D40" s="63" t="str">
        <f aca="false">IF(B40="","",SUMIF('แผนงาน Schedule'!$B$7:$B$156,B40,'แผนงาน Schedule'!$H$7:$H$156))</f>
        <v/>
      </c>
      <c r="E40" s="64" t="str">
        <f aca="false">IF(B40="","",SUMIF('แผนงาน Schedule'!$B$7:$B$156,B40,'แผนงาน Schedule'!$G$7:$G$156))</f>
        <v/>
      </c>
      <c r="F40" s="65" t="str">
        <f aca="false">IF(OR(B40="",N(C40)=0),"",_xlfn.MINIFS('แผนงาน Schedule'!$I$7:$I$156,'แผนงาน Schedule'!$B$7:$B$156,B40))</f>
        <v/>
      </c>
      <c r="G40" s="65" t="str">
        <f aca="false">IF(OR(B40="",N(C40)=0),"",_xlfn.MAXIFS('แผนงาน Schedule'!$J$7:$J$156,'แผนงาน Schedule'!$B$7:$B$156,B40))</f>
        <v/>
      </c>
      <c r="H40" s="65" t="str">
        <f aca="false">IF(OR(B40="",COUNTIFS('แผนงาน Schedule'!$B$7:$B$156,B40,'แผนงาน Schedule'!$N$7:$N$156,"&lt;&gt;")=0),"",_xlfn.MINIFS('แผนงาน Schedule'!$N$7:$N$156,'แผนงาน Schedule'!$B$7:$B$156,B40))</f>
        <v/>
      </c>
      <c r="I40" s="64" t="str">
        <f aca="false">IF(OR(B40="",N(E40)=0),"",SUMPRODUCT(('แผนงาน Schedule'!$B$7:$B$156=B40)*'แผนงาน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Schedule'!$I$7:$I$156+1)))/E40)</f>
        <v/>
      </c>
      <c r="J40" s="64" t="str">
        <f aca="false">IF(OR(B40="",N(E40)=0),"",SUMPRODUCT(('แผนงาน Schedule'!$B$7:$B$156=B40)*'แผนงาน Schedule'!$G$7:$G$156*'แผนงาน Schedule'!$P$7:$P$156)/E40)</f>
        <v/>
      </c>
      <c r="K40" s="66" t="str">
        <f aca="false">IF(I40="","",J40-I40)</f>
        <v/>
      </c>
      <c r="L40" s="67" t="str">
        <f aca="false">IF(OR(I40="",N(I40)=0),"",J40/I40)</f>
        <v/>
      </c>
      <c r="M40" s="65" t="str">
        <f aca="false">IF(OR(B40="",N(C40)=0),"",_xlfn.MAXIFS('แผนงาน Schedule'!$W$7:$W$156,'แผนงาน Schedule'!$B$7:$B$156,B40))</f>
        <v/>
      </c>
      <c r="N40" s="68" t="str">
        <f aca="false">IF(OR(M40="",G40=""),"",M40-G40)</f>
        <v/>
      </c>
      <c r="O40" s="61" t="str">
        <f aca="false">IF(B40="","",COUNTIFS('แผนงาน Schedule'!$B$7:$B$156,B40,'แผนงาน Schedule'!$Y$7:$Y$156,"*ล่าช้า*")+COUNTIFS('แผนงาน Schedule'!$B$7:$B$156,B40,'แผนงาน Schedule'!$Y$7:$Y$156,"*เกินกำหนด*"))</f>
        <v/>
      </c>
      <c r="P40" s="61" t="str">
        <f aca="false">IF(OR(B40="",N(C40)=0),"",IF(N(J40)&gt;=1,"แล้วเสร็จ / Completed",IF(AND(N(I40)=0,N(J40)=0),"ยังไม่เริ่ม / Not Started",IF(N(J40)&gt;=N(I40),"ตามแผน / On Track",IF(N(J40)/I40&gt;=0.9,"เฝ้าระวัง / At Risk","ล่าช้า / Behind")))))</f>
        <v/>
      </c>
      <c r="Q40" s="64" t="str">
        <f aca="false">IF(B40="","",N(I40)*N(E40))</f>
        <v/>
      </c>
      <c r="R40" s="64" t="str">
        <f aca="false">IF(B40="","",N(J40)*N(E40))</f>
        <v/>
      </c>
      <c r="S40" s="69" t="str">
        <f aca="false">IF(H40="","",IF(COUNTIFS('แผนงาน Schedule'!$B$7:$B$156,B40,'แผนงาน Schedule'!$D$7:$D$156,"&lt;&gt;",'แผนงาน Schedule'!$O$7:$O$156,"")=0,_xlfn.MAXIFS('แผนงาน Schedule'!$O$7:$O$156,'แผนงาน Schedule'!$B$7:$B$156,B40),'ตั้งค่า Setup'!$C$15))</f>
        <v/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0"/>
      <c r="CF40" s="70"/>
      <c r="CG40" s="70"/>
      <c r="CH40" s="70"/>
      <c r="CI40" s="70"/>
      <c r="CJ40" s="70"/>
      <c r="CK40" s="70"/>
      <c r="CL40" s="70"/>
      <c r="CM40" s="70"/>
      <c r="CN40" s="70"/>
      <c r="CO40" s="70"/>
      <c r="CP40" s="70"/>
      <c r="CQ40" s="70"/>
      <c r="CR40" s="70"/>
      <c r="CS40" s="70"/>
      <c r="CT40" s="70"/>
      <c r="CU40" s="70"/>
      <c r="CV40" s="70"/>
    </row>
    <row r="41" customFormat="false" ht="24" hidden="false" customHeight="true" outlineLevel="0" collapsed="false">
      <c r="A41" s="61" t="str">
        <f aca="false">IF(B41="","",35)</f>
        <v/>
      </c>
      <c r="B41" s="62" t="str">
        <f aca="false">IF('ตั้งค่า Setup'!$C$60="","",'ตั้งค่า Setup'!$C$60)</f>
        <v/>
      </c>
      <c r="C41" s="61" t="str">
        <f aca="false">IF(B41="","",COUNTIFS('แผนงาน Schedule'!$B$7:$B$156,B41,'แผนงาน Schedule'!$D$7:$D$156,"&lt;&gt;"))</f>
        <v/>
      </c>
      <c r="D41" s="63" t="str">
        <f aca="false">IF(B41="","",SUMIF('แผนงาน Schedule'!$B$7:$B$156,B41,'แผนงาน Schedule'!$H$7:$H$156))</f>
        <v/>
      </c>
      <c r="E41" s="64" t="str">
        <f aca="false">IF(B41="","",SUMIF('แผนงาน Schedule'!$B$7:$B$156,B41,'แผนงาน Schedule'!$G$7:$G$156))</f>
        <v/>
      </c>
      <c r="F41" s="65" t="str">
        <f aca="false">IF(OR(B41="",N(C41)=0),"",_xlfn.MINIFS('แผนงาน Schedule'!$I$7:$I$156,'แผนงาน Schedule'!$B$7:$B$156,B41))</f>
        <v/>
      </c>
      <c r="G41" s="65" t="str">
        <f aca="false">IF(OR(B41="",N(C41)=0),"",_xlfn.MAXIFS('แผนงาน Schedule'!$J$7:$J$156,'แผนงาน Schedule'!$B$7:$B$156,B41))</f>
        <v/>
      </c>
      <c r="H41" s="65" t="str">
        <f aca="false">IF(OR(B41="",COUNTIFS('แผนงาน Schedule'!$B$7:$B$156,B41,'แผนงาน Schedule'!$N$7:$N$156,"&lt;&gt;")=0),"",_xlfn.MINIFS('แผนงาน Schedule'!$N$7:$N$156,'แผนงาน Schedule'!$B$7:$B$156,B41))</f>
        <v/>
      </c>
      <c r="I41" s="64" t="str">
        <f aca="false">IF(OR(B41="",N(E41)=0),"",SUMPRODUCT(('แผนงาน Schedule'!$B$7:$B$156=B41)*'แผนงาน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Schedule'!$I$7:$I$156+1)))/E41)</f>
        <v/>
      </c>
      <c r="J41" s="64" t="str">
        <f aca="false">IF(OR(B41="",N(E41)=0),"",SUMPRODUCT(('แผนงาน Schedule'!$B$7:$B$156=B41)*'แผนงาน Schedule'!$G$7:$G$156*'แผนงาน Schedule'!$P$7:$P$156)/E41)</f>
        <v/>
      </c>
      <c r="K41" s="66" t="str">
        <f aca="false">IF(I41="","",J41-I41)</f>
        <v/>
      </c>
      <c r="L41" s="67" t="str">
        <f aca="false">IF(OR(I41="",N(I41)=0),"",J41/I41)</f>
        <v/>
      </c>
      <c r="M41" s="65" t="str">
        <f aca="false">IF(OR(B41="",N(C41)=0),"",_xlfn.MAXIFS('แผนงาน Schedule'!$W$7:$W$156,'แผนงาน Schedule'!$B$7:$B$156,B41))</f>
        <v/>
      </c>
      <c r="N41" s="68" t="str">
        <f aca="false">IF(OR(M41="",G41=""),"",M41-G41)</f>
        <v/>
      </c>
      <c r="O41" s="61" t="str">
        <f aca="false">IF(B41="","",COUNTIFS('แผนงาน Schedule'!$B$7:$B$156,B41,'แผนงาน Schedule'!$Y$7:$Y$156,"*ล่าช้า*")+COUNTIFS('แผนงาน Schedule'!$B$7:$B$156,B41,'แผนงาน Schedule'!$Y$7:$Y$156,"*เกินกำหนด*"))</f>
        <v/>
      </c>
      <c r="P41" s="61" t="str">
        <f aca="false">IF(OR(B41="",N(C41)=0),"",IF(N(J41)&gt;=1,"แล้วเสร็จ / Completed",IF(AND(N(I41)=0,N(J41)=0),"ยังไม่เริ่ม / Not Started",IF(N(J41)&gt;=N(I41),"ตามแผน / On Track",IF(N(J41)/I41&gt;=0.9,"เฝ้าระวัง / At Risk","ล่าช้า / Behind")))))</f>
        <v/>
      </c>
      <c r="Q41" s="64" t="str">
        <f aca="false">IF(B41="","",N(I41)*N(E41))</f>
        <v/>
      </c>
      <c r="R41" s="64" t="str">
        <f aca="false">IF(B41="","",N(J41)*N(E41))</f>
        <v/>
      </c>
      <c r="S41" s="69" t="str">
        <f aca="false">IF(H41="","",IF(COUNTIFS('แผนงาน Schedule'!$B$7:$B$156,B41,'แผนงาน Schedule'!$D$7:$D$156,"&lt;&gt;",'แผนงาน Schedule'!$O$7:$O$156,"")=0,_xlfn.MAXIFS('แผนงาน Schedule'!$O$7:$O$156,'แผนงาน Schedule'!$B$7:$B$156,B41),'ตั้งค่า Setup'!$C$15))</f>
        <v/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N41" s="70"/>
      <c r="BO41" s="70"/>
      <c r="BP41" s="70"/>
      <c r="BQ41" s="70"/>
      <c r="BR41" s="70"/>
      <c r="BS41" s="70"/>
      <c r="BT41" s="70"/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0"/>
      <c r="CF41" s="70"/>
      <c r="CG41" s="70"/>
      <c r="CH41" s="70"/>
      <c r="CI41" s="70"/>
      <c r="CJ41" s="70"/>
      <c r="CK41" s="70"/>
      <c r="CL41" s="70"/>
      <c r="CM41" s="70"/>
      <c r="CN41" s="70"/>
      <c r="CO41" s="70"/>
      <c r="CP41" s="70"/>
      <c r="CQ41" s="70"/>
      <c r="CR41" s="70"/>
      <c r="CS41" s="70"/>
      <c r="CT41" s="70"/>
      <c r="CU41" s="70"/>
      <c r="CV41" s="70"/>
    </row>
    <row r="42" customFormat="false" ht="24" hidden="false" customHeight="true" outlineLevel="0" collapsed="false">
      <c r="A42" s="61" t="str">
        <f aca="false">IF(B42="","",36)</f>
        <v/>
      </c>
      <c r="B42" s="62" t="str">
        <f aca="false">IF('ตั้งค่า Setup'!$C$61="","",'ตั้งค่า Setup'!$C$61)</f>
        <v/>
      </c>
      <c r="C42" s="61" t="str">
        <f aca="false">IF(B42="","",COUNTIFS('แผนงาน Schedule'!$B$7:$B$156,B42,'แผนงาน Schedule'!$D$7:$D$156,"&lt;&gt;"))</f>
        <v/>
      </c>
      <c r="D42" s="63" t="str">
        <f aca="false">IF(B42="","",SUMIF('แผนงาน Schedule'!$B$7:$B$156,B42,'แผนงาน Schedule'!$H$7:$H$156))</f>
        <v/>
      </c>
      <c r="E42" s="64" t="str">
        <f aca="false">IF(B42="","",SUMIF('แผนงาน Schedule'!$B$7:$B$156,B42,'แผนงาน Schedule'!$G$7:$G$156))</f>
        <v/>
      </c>
      <c r="F42" s="65" t="str">
        <f aca="false">IF(OR(B42="",N(C42)=0),"",_xlfn.MINIFS('แผนงาน Schedule'!$I$7:$I$156,'แผนงาน Schedule'!$B$7:$B$156,B42))</f>
        <v/>
      </c>
      <c r="G42" s="65" t="str">
        <f aca="false">IF(OR(B42="",N(C42)=0),"",_xlfn.MAXIFS('แผนงาน Schedule'!$J$7:$J$156,'แผนงาน Schedule'!$B$7:$B$156,B42))</f>
        <v/>
      </c>
      <c r="H42" s="65" t="str">
        <f aca="false">IF(OR(B42="",COUNTIFS('แผนงาน Schedule'!$B$7:$B$156,B42,'แผนงาน Schedule'!$N$7:$N$156,"&lt;&gt;")=0),"",_xlfn.MINIFS('แผนงาน Schedule'!$N$7:$N$156,'แผนงาน Schedule'!$B$7:$B$156,B42))</f>
        <v/>
      </c>
      <c r="I42" s="64" t="str">
        <f aca="false">IF(OR(B42="",N(E42)=0),"",SUMPRODUCT(('แผนงาน Schedule'!$B$7:$B$156=B42)*'แผนงาน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Schedule'!$I$7:$I$156+1)))/E42)</f>
        <v/>
      </c>
      <c r="J42" s="64" t="str">
        <f aca="false">IF(OR(B42="",N(E42)=0),"",SUMPRODUCT(('แผนงาน Schedule'!$B$7:$B$156=B42)*'แผนงาน Schedule'!$G$7:$G$156*'แผนงาน Schedule'!$P$7:$P$156)/E42)</f>
        <v/>
      </c>
      <c r="K42" s="66" t="str">
        <f aca="false">IF(I42="","",J42-I42)</f>
        <v/>
      </c>
      <c r="L42" s="67" t="str">
        <f aca="false">IF(OR(I42="",N(I42)=0),"",J42/I42)</f>
        <v/>
      </c>
      <c r="M42" s="65" t="str">
        <f aca="false">IF(OR(B42="",N(C42)=0),"",_xlfn.MAXIFS('แผนงาน Schedule'!$W$7:$W$156,'แผนงาน Schedule'!$B$7:$B$156,B42))</f>
        <v/>
      </c>
      <c r="N42" s="68" t="str">
        <f aca="false">IF(OR(M42="",G42=""),"",M42-G42)</f>
        <v/>
      </c>
      <c r="O42" s="61" t="str">
        <f aca="false">IF(B42="","",COUNTIFS('แผนงาน Schedule'!$B$7:$B$156,B42,'แผนงาน Schedule'!$Y$7:$Y$156,"*ล่าช้า*")+COUNTIFS('แผนงาน Schedule'!$B$7:$B$156,B42,'แผนงาน Schedule'!$Y$7:$Y$156,"*เกินกำหนด*"))</f>
        <v/>
      </c>
      <c r="P42" s="61" t="str">
        <f aca="false">IF(OR(B42="",N(C42)=0),"",IF(N(J42)&gt;=1,"แล้วเสร็จ / Completed",IF(AND(N(I42)=0,N(J42)=0),"ยังไม่เริ่ม / Not Started",IF(N(J42)&gt;=N(I42),"ตามแผน / On Track",IF(N(J42)/I42&gt;=0.9,"เฝ้าระวัง / At Risk","ล่าช้า / Behind")))))</f>
        <v/>
      </c>
      <c r="Q42" s="64" t="str">
        <f aca="false">IF(B42="","",N(I42)*N(E42))</f>
        <v/>
      </c>
      <c r="R42" s="64" t="str">
        <f aca="false">IF(B42="","",N(J42)*N(E42))</f>
        <v/>
      </c>
      <c r="S42" s="69" t="str">
        <f aca="false">IF(H42="","",IF(COUNTIFS('แผนงาน Schedule'!$B$7:$B$156,B42,'แผนงาน Schedule'!$D$7:$D$156,"&lt;&gt;",'แผนงาน Schedule'!$O$7:$O$156,"")=0,_xlfn.MAXIFS('แผนงาน Schedule'!$O$7:$O$156,'แผนงาน Schedule'!$B$7:$B$156,B42),'ตั้งค่า Setup'!$C$15))</f>
        <v/>
      </c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N42" s="70"/>
      <c r="BO42" s="70"/>
      <c r="BP42" s="70"/>
      <c r="BQ42" s="70"/>
      <c r="BR42" s="70"/>
      <c r="BS42" s="70"/>
      <c r="BT42" s="70"/>
      <c r="BU42" s="70"/>
      <c r="BV42" s="70"/>
      <c r="BW42" s="70"/>
      <c r="BX42" s="70"/>
      <c r="BY42" s="70"/>
      <c r="BZ42" s="70"/>
      <c r="CA42" s="70"/>
      <c r="CB42" s="70"/>
      <c r="CC42" s="70"/>
      <c r="CD42" s="70"/>
      <c r="CE42" s="70"/>
      <c r="CF42" s="70"/>
      <c r="CG42" s="70"/>
      <c r="CH42" s="70"/>
      <c r="CI42" s="70"/>
      <c r="CJ42" s="70"/>
      <c r="CK42" s="70"/>
      <c r="CL42" s="70"/>
      <c r="CM42" s="70"/>
      <c r="CN42" s="70"/>
      <c r="CO42" s="70"/>
      <c r="CP42" s="70"/>
      <c r="CQ42" s="70"/>
      <c r="CR42" s="70"/>
      <c r="CS42" s="70"/>
      <c r="CT42" s="70"/>
      <c r="CU42" s="70"/>
      <c r="CV42" s="70"/>
    </row>
    <row r="43" customFormat="false" ht="24" hidden="false" customHeight="true" outlineLevel="0" collapsed="false">
      <c r="A43" s="61" t="str">
        <f aca="false">IF(B43="","",37)</f>
        <v/>
      </c>
      <c r="B43" s="62" t="str">
        <f aca="false">IF('ตั้งค่า Setup'!$C$62="","",'ตั้งค่า Setup'!$C$62)</f>
        <v/>
      </c>
      <c r="C43" s="61" t="str">
        <f aca="false">IF(B43="","",COUNTIFS('แผนงาน Schedule'!$B$7:$B$156,B43,'แผนงาน Schedule'!$D$7:$D$156,"&lt;&gt;"))</f>
        <v/>
      </c>
      <c r="D43" s="63" t="str">
        <f aca="false">IF(B43="","",SUMIF('แผนงาน Schedule'!$B$7:$B$156,B43,'แผนงาน Schedule'!$H$7:$H$156))</f>
        <v/>
      </c>
      <c r="E43" s="64" t="str">
        <f aca="false">IF(B43="","",SUMIF('แผนงาน Schedule'!$B$7:$B$156,B43,'แผนงาน Schedule'!$G$7:$G$156))</f>
        <v/>
      </c>
      <c r="F43" s="65" t="str">
        <f aca="false">IF(OR(B43="",N(C43)=0),"",_xlfn.MINIFS('แผนงาน Schedule'!$I$7:$I$156,'แผนงาน Schedule'!$B$7:$B$156,B43))</f>
        <v/>
      </c>
      <c r="G43" s="65" t="str">
        <f aca="false">IF(OR(B43="",N(C43)=0),"",_xlfn.MAXIFS('แผนงาน Schedule'!$J$7:$J$156,'แผนงาน Schedule'!$B$7:$B$156,B43))</f>
        <v/>
      </c>
      <c r="H43" s="65" t="str">
        <f aca="false">IF(OR(B43="",COUNTIFS('แผนงาน Schedule'!$B$7:$B$156,B43,'แผนงาน Schedule'!$N$7:$N$156,"&lt;&gt;")=0),"",_xlfn.MINIFS('แผนงาน Schedule'!$N$7:$N$156,'แผนงาน Schedule'!$B$7:$B$156,B43))</f>
        <v/>
      </c>
      <c r="I43" s="64" t="str">
        <f aca="false">IF(OR(B43="",N(E43)=0),"",SUMPRODUCT(('แผนงาน Schedule'!$B$7:$B$156=B43)*'แผนงาน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Schedule'!$I$7:$I$156+1)))/E43)</f>
        <v/>
      </c>
      <c r="J43" s="64" t="str">
        <f aca="false">IF(OR(B43="",N(E43)=0),"",SUMPRODUCT(('แผนงาน Schedule'!$B$7:$B$156=B43)*'แผนงาน Schedule'!$G$7:$G$156*'แผนงาน Schedule'!$P$7:$P$156)/E43)</f>
        <v/>
      </c>
      <c r="K43" s="66" t="str">
        <f aca="false">IF(I43="","",J43-I43)</f>
        <v/>
      </c>
      <c r="L43" s="67" t="str">
        <f aca="false">IF(OR(I43="",N(I43)=0),"",J43/I43)</f>
        <v/>
      </c>
      <c r="M43" s="65" t="str">
        <f aca="false">IF(OR(B43="",N(C43)=0),"",_xlfn.MAXIFS('แผนงาน Schedule'!$W$7:$W$156,'แผนงาน Schedule'!$B$7:$B$156,B43))</f>
        <v/>
      </c>
      <c r="N43" s="68" t="str">
        <f aca="false">IF(OR(M43="",G43=""),"",M43-G43)</f>
        <v/>
      </c>
      <c r="O43" s="61" t="str">
        <f aca="false">IF(B43="","",COUNTIFS('แผนงาน Schedule'!$B$7:$B$156,B43,'แผนงาน Schedule'!$Y$7:$Y$156,"*ล่าช้า*")+COUNTIFS('แผนงาน Schedule'!$B$7:$B$156,B43,'แผนงาน Schedule'!$Y$7:$Y$156,"*เกินกำหนด*"))</f>
        <v/>
      </c>
      <c r="P43" s="61" t="str">
        <f aca="false">IF(OR(B43="",N(C43)=0),"",IF(N(J43)&gt;=1,"แล้วเสร็จ / Completed",IF(AND(N(I43)=0,N(J43)=0),"ยังไม่เริ่ม / Not Started",IF(N(J43)&gt;=N(I43),"ตามแผน / On Track",IF(N(J43)/I43&gt;=0.9,"เฝ้าระวัง / At Risk","ล่าช้า / Behind")))))</f>
        <v/>
      </c>
      <c r="Q43" s="64" t="str">
        <f aca="false">IF(B43="","",N(I43)*N(E43))</f>
        <v/>
      </c>
      <c r="R43" s="64" t="str">
        <f aca="false">IF(B43="","",N(J43)*N(E43))</f>
        <v/>
      </c>
      <c r="S43" s="69" t="str">
        <f aca="false">IF(H43="","",IF(COUNTIFS('แผนงาน Schedule'!$B$7:$B$156,B43,'แผนงาน Schedule'!$D$7:$D$156,"&lt;&gt;",'แผนงาน Schedule'!$O$7:$O$156,"")=0,_xlfn.MAXIFS('แผนงาน Schedule'!$O$7:$O$156,'แผนงาน Schedule'!$B$7:$B$156,B43),'ตั้งค่า Setup'!$C$15))</f>
        <v/>
      </c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  <c r="BM43" s="70"/>
      <c r="BN43" s="70"/>
      <c r="BO43" s="70"/>
      <c r="BP43" s="70"/>
      <c r="BQ43" s="70"/>
      <c r="BR43" s="70"/>
      <c r="BS43" s="70"/>
      <c r="BT43" s="70"/>
      <c r="BU43" s="70"/>
      <c r="BV43" s="70"/>
      <c r="BW43" s="70"/>
      <c r="BX43" s="70"/>
      <c r="BY43" s="70"/>
      <c r="BZ43" s="70"/>
      <c r="CA43" s="70"/>
      <c r="CB43" s="70"/>
      <c r="CC43" s="70"/>
      <c r="CD43" s="70"/>
      <c r="CE43" s="70"/>
      <c r="CF43" s="70"/>
      <c r="CG43" s="70"/>
      <c r="CH43" s="70"/>
      <c r="CI43" s="70"/>
      <c r="CJ43" s="70"/>
      <c r="CK43" s="70"/>
      <c r="CL43" s="70"/>
      <c r="CM43" s="70"/>
      <c r="CN43" s="70"/>
      <c r="CO43" s="70"/>
      <c r="CP43" s="70"/>
      <c r="CQ43" s="70"/>
      <c r="CR43" s="70"/>
      <c r="CS43" s="70"/>
      <c r="CT43" s="70"/>
      <c r="CU43" s="70"/>
      <c r="CV43" s="70"/>
    </row>
    <row r="44" customFormat="false" ht="24" hidden="false" customHeight="true" outlineLevel="0" collapsed="false">
      <c r="A44" s="61" t="str">
        <f aca="false">IF(B44="","",38)</f>
        <v/>
      </c>
      <c r="B44" s="62" t="str">
        <f aca="false">IF('ตั้งค่า Setup'!$C$63="","",'ตั้งค่า Setup'!$C$63)</f>
        <v/>
      </c>
      <c r="C44" s="61" t="str">
        <f aca="false">IF(B44="","",COUNTIFS('แผนงาน Schedule'!$B$7:$B$156,B44,'แผนงาน Schedule'!$D$7:$D$156,"&lt;&gt;"))</f>
        <v/>
      </c>
      <c r="D44" s="63" t="str">
        <f aca="false">IF(B44="","",SUMIF('แผนงาน Schedule'!$B$7:$B$156,B44,'แผนงาน Schedule'!$H$7:$H$156))</f>
        <v/>
      </c>
      <c r="E44" s="64" t="str">
        <f aca="false">IF(B44="","",SUMIF('แผนงาน Schedule'!$B$7:$B$156,B44,'แผนงาน Schedule'!$G$7:$G$156))</f>
        <v/>
      </c>
      <c r="F44" s="65" t="str">
        <f aca="false">IF(OR(B44="",N(C44)=0),"",_xlfn.MINIFS('แผนงาน Schedule'!$I$7:$I$156,'แผนงาน Schedule'!$B$7:$B$156,B44))</f>
        <v/>
      </c>
      <c r="G44" s="65" t="str">
        <f aca="false">IF(OR(B44="",N(C44)=0),"",_xlfn.MAXIFS('แผนงาน Schedule'!$J$7:$J$156,'แผนงาน Schedule'!$B$7:$B$156,B44))</f>
        <v/>
      </c>
      <c r="H44" s="65" t="str">
        <f aca="false">IF(OR(B44="",COUNTIFS('แผนงาน Schedule'!$B$7:$B$156,B44,'แผนงาน Schedule'!$N$7:$N$156,"&lt;&gt;")=0),"",_xlfn.MINIFS('แผนงาน Schedule'!$N$7:$N$156,'แผนงาน Schedule'!$B$7:$B$156,B44))</f>
        <v/>
      </c>
      <c r="I44" s="64" t="str">
        <f aca="false">IF(OR(B44="",N(E44)=0),"",SUMPRODUCT(('แผนงาน Schedule'!$B$7:$B$156=B44)*'แผนงาน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Schedule'!$I$7:$I$156+1)))/E44)</f>
        <v/>
      </c>
      <c r="J44" s="64" t="str">
        <f aca="false">IF(OR(B44="",N(E44)=0),"",SUMPRODUCT(('แผนงาน Schedule'!$B$7:$B$156=B44)*'แผนงาน Schedule'!$G$7:$G$156*'แผนงาน Schedule'!$P$7:$P$156)/E44)</f>
        <v/>
      </c>
      <c r="K44" s="66" t="str">
        <f aca="false">IF(I44="","",J44-I44)</f>
        <v/>
      </c>
      <c r="L44" s="67" t="str">
        <f aca="false">IF(OR(I44="",N(I44)=0),"",J44/I44)</f>
        <v/>
      </c>
      <c r="M44" s="65" t="str">
        <f aca="false">IF(OR(B44="",N(C44)=0),"",_xlfn.MAXIFS('แผนงาน Schedule'!$W$7:$W$156,'แผนงาน Schedule'!$B$7:$B$156,B44))</f>
        <v/>
      </c>
      <c r="N44" s="68" t="str">
        <f aca="false">IF(OR(M44="",G44=""),"",M44-G44)</f>
        <v/>
      </c>
      <c r="O44" s="61" t="str">
        <f aca="false">IF(B44="","",COUNTIFS('แผนงาน Schedule'!$B$7:$B$156,B44,'แผนงาน Schedule'!$Y$7:$Y$156,"*ล่าช้า*")+COUNTIFS('แผนงาน Schedule'!$B$7:$B$156,B44,'แผนงาน Schedule'!$Y$7:$Y$156,"*เกินกำหนด*"))</f>
        <v/>
      </c>
      <c r="P44" s="61" t="str">
        <f aca="false">IF(OR(B44="",N(C44)=0),"",IF(N(J44)&gt;=1,"แล้วเสร็จ / Completed",IF(AND(N(I44)=0,N(J44)=0),"ยังไม่เริ่ม / Not Started",IF(N(J44)&gt;=N(I44),"ตามแผน / On Track",IF(N(J44)/I44&gt;=0.9,"เฝ้าระวัง / At Risk","ล่าช้า / Behind")))))</f>
        <v/>
      </c>
      <c r="Q44" s="64" t="str">
        <f aca="false">IF(B44="","",N(I44)*N(E44))</f>
        <v/>
      </c>
      <c r="R44" s="64" t="str">
        <f aca="false">IF(B44="","",N(J44)*N(E44))</f>
        <v/>
      </c>
      <c r="S44" s="69" t="str">
        <f aca="false">IF(H44="","",IF(COUNTIFS('แผนงาน Schedule'!$B$7:$B$156,B44,'แผนงาน Schedule'!$D$7:$D$156,"&lt;&gt;",'แผนงาน Schedule'!$O$7:$O$156,"")=0,_xlfn.MAXIFS('แผนงาน Schedule'!$O$7:$O$156,'แผนงาน Schedule'!$B$7:$B$156,B44),'ตั้งค่า Setup'!$C$15))</f>
        <v/>
      </c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  <c r="BP44" s="70"/>
      <c r="BQ44" s="70"/>
      <c r="BR44" s="70"/>
      <c r="BS44" s="70"/>
      <c r="BT44" s="70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0"/>
      <c r="CF44" s="70"/>
      <c r="CG44" s="70"/>
      <c r="CH44" s="70"/>
      <c r="CI44" s="70"/>
      <c r="CJ44" s="70"/>
      <c r="CK44" s="70"/>
      <c r="CL44" s="70"/>
      <c r="CM44" s="70"/>
      <c r="CN44" s="70"/>
      <c r="CO44" s="70"/>
      <c r="CP44" s="70"/>
      <c r="CQ44" s="70"/>
      <c r="CR44" s="70"/>
      <c r="CS44" s="70"/>
      <c r="CT44" s="70"/>
      <c r="CU44" s="70"/>
      <c r="CV44" s="70"/>
    </row>
    <row r="45" customFormat="false" ht="24" hidden="false" customHeight="true" outlineLevel="0" collapsed="false">
      <c r="A45" s="61" t="str">
        <f aca="false">IF(B45="","",39)</f>
        <v/>
      </c>
      <c r="B45" s="62" t="str">
        <f aca="false">IF('ตั้งค่า Setup'!$C$64="","",'ตั้งค่า Setup'!$C$64)</f>
        <v/>
      </c>
      <c r="C45" s="61" t="str">
        <f aca="false">IF(B45="","",COUNTIFS('แผนงาน Schedule'!$B$7:$B$156,B45,'แผนงาน Schedule'!$D$7:$D$156,"&lt;&gt;"))</f>
        <v/>
      </c>
      <c r="D45" s="63" t="str">
        <f aca="false">IF(B45="","",SUMIF('แผนงาน Schedule'!$B$7:$B$156,B45,'แผนงาน Schedule'!$H$7:$H$156))</f>
        <v/>
      </c>
      <c r="E45" s="64" t="str">
        <f aca="false">IF(B45="","",SUMIF('แผนงาน Schedule'!$B$7:$B$156,B45,'แผนงาน Schedule'!$G$7:$G$156))</f>
        <v/>
      </c>
      <c r="F45" s="65" t="str">
        <f aca="false">IF(OR(B45="",N(C45)=0),"",_xlfn.MINIFS('แผนงาน Schedule'!$I$7:$I$156,'แผนงาน Schedule'!$B$7:$B$156,B45))</f>
        <v/>
      </c>
      <c r="G45" s="65" t="str">
        <f aca="false">IF(OR(B45="",N(C45)=0),"",_xlfn.MAXIFS('แผนงาน Schedule'!$J$7:$J$156,'แผนงาน Schedule'!$B$7:$B$156,B45))</f>
        <v/>
      </c>
      <c r="H45" s="65" t="str">
        <f aca="false">IF(OR(B45="",COUNTIFS('แผนงาน Schedule'!$B$7:$B$156,B45,'แผนงาน Schedule'!$N$7:$N$156,"&lt;&gt;")=0),"",_xlfn.MINIFS('แผนงาน Schedule'!$N$7:$N$156,'แผนงาน Schedule'!$B$7:$B$156,B45))</f>
        <v/>
      </c>
      <c r="I45" s="64" t="str">
        <f aca="false">IF(OR(B45="",N(E45)=0),"",SUMPRODUCT(('แผนงาน Schedule'!$B$7:$B$156=B45)*'แผนงาน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Schedule'!$I$7:$I$156+1)))/E45)</f>
        <v/>
      </c>
      <c r="J45" s="64" t="str">
        <f aca="false">IF(OR(B45="",N(E45)=0),"",SUMPRODUCT(('แผนงาน Schedule'!$B$7:$B$156=B45)*'แผนงาน Schedule'!$G$7:$G$156*'แผนงาน Schedule'!$P$7:$P$156)/E45)</f>
        <v/>
      </c>
      <c r="K45" s="66" t="str">
        <f aca="false">IF(I45="","",J45-I45)</f>
        <v/>
      </c>
      <c r="L45" s="67" t="str">
        <f aca="false">IF(OR(I45="",N(I45)=0),"",J45/I45)</f>
        <v/>
      </c>
      <c r="M45" s="65" t="str">
        <f aca="false">IF(OR(B45="",N(C45)=0),"",_xlfn.MAXIFS('แผนงาน Schedule'!$W$7:$W$156,'แผนงาน Schedule'!$B$7:$B$156,B45))</f>
        <v/>
      </c>
      <c r="N45" s="68" t="str">
        <f aca="false">IF(OR(M45="",G45=""),"",M45-G45)</f>
        <v/>
      </c>
      <c r="O45" s="61" t="str">
        <f aca="false">IF(B45="","",COUNTIFS('แผนงาน Schedule'!$B$7:$B$156,B45,'แผนงาน Schedule'!$Y$7:$Y$156,"*ล่าช้า*")+COUNTIFS('แผนงาน Schedule'!$B$7:$B$156,B45,'แผนงาน Schedule'!$Y$7:$Y$156,"*เกินกำหนด*"))</f>
        <v/>
      </c>
      <c r="P45" s="61" t="str">
        <f aca="false">IF(OR(B45="",N(C45)=0),"",IF(N(J45)&gt;=1,"แล้วเสร็จ / Completed",IF(AND(N(I45)=0,N(J45)=0),"ยังไม่เริ่ม / Not Started",IF(N(J45)&gt;=N(I45),"ตามแผน / On Track",IF(N(J45)/I45&gt;=0.9,"เฝ้าระวัง / At Risk","ล่าช้า / Behind")))))</f>
        <v/>
      </c>
      <c r="Q45" s="64" t="str">
        <f aca="false">IF(B45="","",N(I45)*N(E45))</f>
        <v/>
      </c>
      <c r="R45" s="64" t="str">
        <f aca="false">IF(B45="","",N(J45)*N(E45))</f>
        <v/>
      </c>
      <c r="S45" s="69" t="str">
        <f aca="false">IF(H45="","",IF(COUNTIFS('แผนงาน Schedule'!$B$7:$B$156,B45,'แผนงาน Schedule'!$D$7:$D$156,"&lt;&gt;",'แผนงาน Schedule'!$O$7:$O$156,"")=0,_xlfn.MAXIFS('แผนงาน Schedule'!$O$7:$O$156,'แผนงาน Schedule'!$B$7:$B$156,B45),'ตั้งค่า Setup'!$C$15))</f>
        <v/>
      </c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  <c r="BN45" s="70"/>
      <c r="BO45" s="70"/>
      <c r="BP45" s="70"/>
      <c r="BQ45" s="70"/>
      <c r="BR45" s="70"/>
      <c r="BS45" s="70"/>
      <c r="BT45" s="70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0"/>
      <c r="CF45" s="70"/>
      <c r="CG45" s="70"/>
      <c r="CH45" s="70"/>
      <c r="CI45" s="70"/>
      <c r="CJ45" s="70"/>
      <c r="CK45" s="70"/>
      <c r="CL45" s="70"/>
      <c r="CM45" s="70"/>
      <c r="CN45" s="70"/>
      <c r="CO45" s="70"/>
      <c r="CP45" s="70"/>
      <c r="CQ45" s="70"/>
      <c r="CR45" s="70"/>
      <c r="CS45" s="70"/>
      <c r="CT45" s="70"/>
      <c r="CU45" s="70"/>
      <c r="CV45" s="70"/>
    </row>
    <row r="46" customFormat="false" ht="24" hidden="false" customHeight="true" outlineLevel="0" collapsed="false">
      <c r="A46" s="61" t="str">
        <f aca="false">IF(B46="","",40)</f>
        <v/>
      </c>
      <c r="B46" s="62" t="str">
        <f aca="false">IF('ตั้งค่า Setup'!$C$65="","",'ตั้งค่า Setup'!$C$65)</f>
        <v/>
      </c>
      <c r="C46" s="61" t="str">
        <f aca="false">IF(B46="","",COUNTIFS('แผนงาน Schedule'!$B$7:$B$156,B46,'แผนงาน Schedule'!$D$7:$D$156,"&lt;&gt;"))</f>
        <v/>
      </c>
      <c r="D46" s="63" t="str">
        <f aca="false">IF(B46="","",SUMIF('แผนงาน Schedule'!$B$7:$B$156,B46,'แผนงาน Schedule'!$H$7:$H$156))</f>
        <v/>
      </c>
      <c r="E46" s="64" t="str">
        <f aca="false">IF(B46="","",SUMIF('แผนงาน Schedule'!$B$7:$B$156,B46,'แผนงาน Schedule'!$G$7:$G$156))</f>
        <v/>
      </c>
      <c r="F46" s="65" t="str">
        <f aca="false">IF(OR(B46="",N(C46)=0),"",_xlfn.MINIFS('แผนงาน Schedule'!$I$7:$I$156,'แผนงาน Schedule'!$B$7:$B$156,B46))</f>
        <v/>
      </c>
      <c r="G46" s="65" t="str">
        <f aca="false">IF(OR(B46="",N(C46)=0),"",_xlfn.MAXIFS('แผนงาน Schedule'!$J$7:$J$156,'แผนงาน Schedule'!$B$7:$B$156,B46))</f>
        <v/>
      </c>
      <c r="H46" s="65" t="str">
        <f aca="false">IF(OR(B46="",COUNTIFS('แผนงาน Schedule'!$B$7:$B$156,B46,'แผนงาน Schedule'!$N$7:$N$156,"&lt;&gt;")=0),"",_xlfn.MINIFS('แผนงาน Schedule'!$N$7:$N$156,'แผนงาน Schedule'!$B$7:$B$156,B46))</f>
        <v/>
      </c>
      <c r="I46" s="64" t="str">
        <f aca="false">IF(OR(B46="",N(E46)=0),"",SUMPRODUCT(('แผนงาน Schedule'!$B$7:$B$156=B46)*'แผนงาน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Schedule'!$I$7:$I$156+1)))/E46)</f>
        <v/>
      </c>
      <c r="J46" s="64" t="str">
        <f aca="false">IF(OR(B46="",N(E46)=0),"",SUMPRODUCT(('แผนงาน Schedule'!$B$7:$B$156=B46)*'แผนงาน Schedule'!$G$7:$G$156*'แผนงาน Schedule'!$P$7:$P$156)/E46)</f>
        <v/>
      </c>
      <c r="K46" s="66" t="str">
        <f aca="false">IF(I46="","",J46-I46)</f>
        <v/>
      </c>
      <c r="L46" s="67" t="str">
        <f aca="false">IF(OR(I46="",N(I46)=0),"",J46/I46)</f>
        <v/>
      </c>
      <c r="M46" s="65" t="str">
        <f aca="false">IF(OR(B46="",N(C46)=0),"",_xlfn.MAXIFS('แผนงาน Schedule'!$W$7:$W$156,'แผนงาน Schedule'!$B$7:$B$156,B46))</f>
        <v/>
      </c>
      <c r="N46" s="68" t="str">
        <f aca="false">IF(OR(M46="",G46=""),"",M46-G46)</f>
        <v/>
      </c>
      <c r="O46" s="61" t="str">
        <f aca="false">IF(B46="","",COUNTIFS('แผนงาน Schedule'!$B$7:$B$156,B46,'แผนงาน Schedule'!$Y$7:$Y$156,"*ล่าช้า*")+COUNTIFS('แผนงาน Schedule'!$B$7:$B$156,B46,'แผนงาน Schedule'!$Y$7:$Y$156,"*เกินกำหนด*"))</f>
        <v/>
      </c>
      <c r="P46" s="61" t="str">
        <f aca="false">IF(OR(B46="",N(C46)=0),"",IF(N(J46)&gt;=1,"แล้วเสร็จ / Completed",IF(AND(N(I46)=0,N(J46)=0),"ยังไม่เริ่ม / Not Started",IF(N(J46)&gt;=N(I46),"ตามแผน / On Track",IF(N(J46)/I46&gt;=0.9,"เฝ้าระวัง / At Risk","ล่าช้า / Behind")))))</f>
        <v/>
      </c>
      <c r="Q46" s="64" t="str">
        <f aca="false">IF(B46="","",N(I46)*N(E46))</f>
        <v/>
      </c>
      <c r="R46" s="64" t="str">
        <f aca="false">IF(B46="","",N(J46)*N(E46))</f>
        <v/>
      </c>
      <c r="S46" s="69" t="str">
        <f aca="false">IF(H46="","",IF(COUNTIFS('แผนงาน Schedule'!$B$7:$B$156,B46,'แผนงาน Schedule'!$D$7:$D$156,"&lt;&gt;",'แผนงาน Schedule'!$O$7:$O$156,"")=0,_xlfn.MAXIFS('แผนงาน Schedule'!$O$7:$O$156,'แผนงาน Schedule'!$B$7:$B$156,B46),'ตั้งค่า Setup'!$C$15))</f>
        <v/>
      </c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0"/>
      <c r="CF46" s="70"/>
      <c r="CG46" s="70"/>
      <c r="CH46" s="70"/>
      <c r="CI46" s="70"/>
      <c r="CJ46" s="70"/>
      <c r="CK46" s="70"/>
      <c r="CL46" s="70"/>
      <c r="CM46" s="70"/>
      <c r="CN46" s="70"/>
      <c r="CO46" s="70"/>
      <c r="CP46" s="70"/>
      <c r="CQ46" s="70"/>
      <c r="CR46" s="70"/>
      <c r="CS46" s="70"/>
      <c r="CT46" s="70"/>
      <c r="CU46" s="70"/>
      <c r="CV46" s="70"/>
    </row>
    <row r="47" customFormat="false" ht="15" hidden="false" customHeight="false" outlineLevel="0" collapsed="false">
      <c r="A47" s="71"/>
      <c r="B47" s="72" t="s">
        <v>412</v>
      </c>
      <c r="C47" s="73" t="n">
        <f aca="false">SUM(C7:C46)</f>
        <v>21</v>
      </c>
      <c r="D47" s="74" t="n">
        <f aca="false">SUM(D7:D46)</f>
        <v>24200000</v>
      </c>
      <c r="E47" s="75" t="n">
        <f aca="false">SUM(E7:E46)</f>
        <v>1</v>
      </c>
      <c r="F47" s="76" t="n">
        <f aca="false">Dashboard!C9</f>
        <v>46174</v>
      </c>
      <c r="G47" s="76" t="n">
        <f aca="false">Dashboard!C10</f>
        <v>46473</v>
      </c>
      <c r="H47" s="71"/>
      <c r="I47" s="75" t="n">
        <f aca="false">Dashboard!C16</f>
        <v>0.253650514082705</v>
      </c>
      <c r="J47" s="75" t="n">
        <f aca="false">Dashboard!C19</f>
        <v>0.187809917355372</v>
      </c>
      <c r="K47" s="77" t="n">
        <f aca="false">J47-I47</f>
        <v>-0.065840596727333</v>
      </c>
      <c r="L47" s="78" t="n">
        <f aca="false">Dashboard!C22</f>
        <v>0.740427899523732</v>
      </c>
      <c r="M47" s="76" t="n">
        <f aca="false">Dashboard!C27</f>
        <v>46473</v>
      </c>
      <c r="N47" s="79" t="n">
        <f aca="false">IFERROR(M47-G47,"")</f>
        <v>0</v>
      </c>
      <c r="O47" s="73" t="n">
        <f aca="false">SUM(O7:O46)</f>
        <v>5</v>
      </c>
      <c r="P47" s="80" t="str">
        <f aca="false">Dashboard!C32</f>
        <v>ล่าช้ามาก / Critical Delay</v>
      </c>
      <c r="Q47" s="75" t="n">
        <f aca="false">SUM(Q7:Q46)</f>
        <v>0.253650514082705</v>
      </c>
      <c r="R47" s="75" t="n">
        <f aca="false">SUM(R7:R46)</f>
        <v>0.187809917355372</v>
      </c>
    </row>
    <row r="48" customFormat="false" ht="15" hidden="false" customHeight="false" outlineLevel="0" collapsed="false">
      <c r="B48" s="81" t="s">
        <v>413</v>
      </c>
    </row>
    <row r="70" customFormat="false" ht="15" hidden="false" customHeight="true" outlineLevel="0" collapsed="false">
      <c r="A70" s="57" t="s">
        <v>414</v>
      </c>
      <c r="B70" s="57"/>
      <c r="C70" s="57"/>
      <c r="D70" s="57"/>
      <c r="E70" s="57"/>
      <c r="F70" s="57"/>
      <c r="G70" s="57"/>
      <c r="H70" s="57"/>
      <c r="I70" s="57"/>
      <c r="J70" s="57"/>
      <c r="K70" s="57"/>
    </row>
    <row r="71" customFormat="false" ht="36" hidden="false" customHeight="true" outlineLevel="0" collapsed="false">
      <c r="A71" s="59" t="s">
        <v>394</v>
      </c>
      <c r="B71" s="18" t="s">
        <v>415</v>
      </c>
      <c r="C71" s="18" t="s">
        <v>396</v>
      </c>
      <c r="D71" s="18" t="s">
        <v>397</v>
      </c>
      <c r="E71" s="18" t="s">
        <v>398</v>
      </c>
      <c r="F71" s="59" t="s">
        <v>402</v>
      </c>
      <c r="G71" s="59" t="s">
        <v>403</v>
      </c>
      <c r="H71" s="18" t="s">
        <v>404</v>
      </c>
      <c r="I71" s="59" t="s">
        <v>101</v>
      </c>
      <c r="J71" s="18" t="s">
        <v>409</v>
      </c>
      <c r="K71" s="18" t="s">
        <v>410</v>
      </c>
    </row>
    <row r="72" customFormat="false" ht="15" hidden="false" customHeight="false" outlineLevel="0" collapsed="false">
      <c r="A72" s="61" t="n">
        <f aca="false">IF(B72="","",1)</f>
        <v>1</v>
      </c>
      <c r="B72" s="62" t="str">
        <f aca="false">IF('ตั้งค่า Setup'!$C$68="","",'ตั้งค่า Setup'!$C$68)</f>
        <v>งานเตรียมการ / Preliminaries</v>
      </c>
      <c r="C72" s="61" t="n">
        <f aca="false">IF(B72="","",COUNTIFS('แผนงาน Schedule'!$C$7:$C$156,B72,'แผนงาน Schedule'!$D$7:$D$156,"&lt;&gt;"))</f>
        <v>1</v>
      </c>
      <c r="D72" s="63" t="n">
        <f aca="false">IF(B72="","",SUMIF('แผนงาน Schedule'!$C$7:$C$156,B72,'แผนงาน Schedule'!$H$7:$H$156))</f>
        <v>350000</v>
      </c>
      <c r="E72" s="64" t="n">
        <f aca="false">IF(B72="","",SUMIF('แผนงาน Schedule'!$C$7:$C$156,B72,'แผนงาน Schedule'!$G$7:$G$156))</f>
        <v>0.0144628099173554</v>
      </c>
      <c r="F72" s="64" t="n">
        <f aca="false">IF(OR(B72="",N(E72)=0),"",SUMPRODUCT(('แผนงาน Schedule'!$C$7:$C$156=B72)*'แผนงาน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Schedule'!$I$7:$I$156+1)))/E72)</f>
        <v>1</v>
      </c>
      <c r="G72" s="64" t="n">
        <f aca="false">IF(OR(B72="",N(E72)=0),"",SUMPRODUCT(('แผนงาน Schedule'!$C$7:$C$156=B72)*'แผนงาน Schedule'!$G$7:$G$156*'แผนงาน Schedule'!$P$7:$P$156)/E72)</f>
        <v>1</v>
      </c>
      <c r="H72" s="66" t="n">
        <f aca="false">IF(F72="","",G72-F72)</f>
        <v>0</v>
      </c>
      <c r="I72" s="67" t="n">
        <f aca="false">IF(OR(F72="",N(F72)=0),"",G72/F72)</f>
        <v>1</v>
      </c>
      <c r="J72" s="64" t="n">
        <f aca="false">IF(B72="","",N(F72)*N(E72))</f>
        <v>0.0144628099173554</v>
      </c>
      <c r="K72" s="64" t="n">
        <f aca="false">IF(B72="","",N(G72)*N(E72))</f>
        <v>0.0144628099173554</v>
      </c>
    </row>
    <row r="73" customFormat="false" ht="15" hidden="false" customHeight="false" outlineLevel="0" collapsed="false">
      <c r="A73" s="61" t="n">
        <f aca="false">IF(B73="","",2)</f>
        <v>2</v>
      </c>
      <c r="B73" s="62" t="str">
        <f aca="false">IF('ตั้งค่า Setup'!$C$69="","",'ตั้งค่า Setup'!$C$69)</f>
        <v>งานดิน / Earthworks</v>
      </c>
      <c r="C73" s="61" t="n">
        <f aca="false">IF(B73="","",COUNTIFS('แผนงาน Schedule'!$C$7:$C$156,B73,'แผนงาน Schedule'!$D$7:$D$156,"&lt;&gt;"))</f>
        <v>3</v>
      </c>
      <c r="D73" s="63" t="n">
        <f aca="false">IF(B73="","",SUMIF('แผนงาน Schedule'!$C$7:$C$156,B73,'แผนงาน Schedule'!$H$7:$H$156))</f>
        <v>3600000</v>
      </c>
      <c r="E73" s="64" t="n">
        <f aca="false">IF(B73="","",SUMIF('แผนงาน Schedule'!$C$7:$C$156,B73,'แผนงาน Schedule'!$G$7:$G$156))</f>
        <v>0.148760330578512</v>
      </c>
      <c r="F73" s="64" t="n">
        <f aca="false">IF(OR(B73="",N(E73)=0),"",SUMPRODUCT(('แผนงาน Schedule'!$C$7:$C$156=B73)*'แผนงาน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Schedule'!$I$7:$I$156+1)))/E73)</f>
        <v>0.75</v>
      </c>
      <c r="G73" s="64" t="n">
        <f aca="false">IF(OR(B73="",N(E73)=0),"",SUMPRODUCT(('แผนงาน Schedule'!$C$7:$C$156=B73)*'แผนงาน Schedule'!$G$7:$G$156*'แผนงาน Schedule'!$P$7:$P$156)/E73)</f>
        <v>0.733333333333333</v>
      </c>
      <c r="H73" s="66" t="n">
        <f aca="false">IF(F73="","",G73-F73)</f>
        <v>-0.0166666666666666</v>
      </c>
      <c r="I73" s="67" t="n">
        <f aca="false">IF(OR(F73="",N(F73)=0),"",G73/F73)</f>
        <v>0.977777777777778</v>
      </c>
      <c r="J73" s="64" t="n">
        <f aca="false">IF(B73="","",N(F73)*N(E73))</f>
        <v>0.111570247933884</v>
      </c>
      <c r="K73" s="64" t="n">
        <f aca="false">IF(B73="","",N(G73)*N(E73))</f>
        <v>0.109090909090909</v>
      </c>
    </row>
    <row r="74" customFormat="false" ht="15" hidden="false" customHeight="false" outlineLevel="0" collapsed="false">
      <c r="A74" s="61" t="n">
        <f aca="false">IF(B74="","",3)</f>
        <v>3</v>
      </c>
      <c r="B74" s="62" t="str">
        <f aca="false">IF('ตั้งค่า Setup'!$C$70="","",'ตั้งค่า Setup'!$C$70)</f>
        <v>งานโครงสร้าง / Structural</v>
      </c>
      <c r="C74" s="61" t="n">
        <f aca="false">IF(B74="","",COUNTIFS('แผนงาน Schedule'!$C$7:$C$156,B74,'แผนงาน Schedule'!$D$7:$D$156,"&lt;&gt;"))</f>
        <v>8</v>
      </c>
      <c r="D74" s="63" t="n">
        <f aca="false">IF(B74="","",SUMIF('แผนงาน Schedule'!$C$7:$C$156,B74,'แผนงาน Schedule'!$H$7:$H$156))</f>
        <v>11650000</v>
      </c>
      <c r="E74" s="64" t="n">
        <f aca="false">IF(B74="","",SUMIF('แผนงาน Schedule'!$C$7:$C$156,B74,'แผนงาน Schedule'!$G$7:$G$156))</f>
        <v>0.481404958677686</v>
      </c>
      <c r="F74" s="64" t="n">
        <f aca="false">IF(OR(B74="",N(E74)=0),"",SUMPRODUCT(('แผนงาน Schedule'!$C$7:$C$156=B74)*'แผนงาน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Schedule'!$I$7:$I$156+1)))/E74)</f>
        <v>0.265093771742614</v>
      </c>
      <c r="G74" s="64" t="n">
        <f aca="false">IF(OR(B74="",N(E74)=0),"",SUMPRODUCT(('แผนงาน Schedule'!$C$7:$C$156=B74)*'แผนงาน Schedule'!$G$7:$G$156*'แผนงาน Schedule'!$P$7:$P$156)/E74)</f>
        <v>0.133476394849785</v>
      </c>
      <c r="H74" s="66" t="n">
        <f aca="false">IF(F74="","",G74-F74)</f>
        <v>-0.131617376892829</v>
      </c>
      <c r="I74" s="67" t="n">
        <f aca="false">IF(OR(F74="",N(F74)=0),"",G74/F74)</f>
        <v>0.503506340312592</v>
      </c>
      <c r="J74" s="64" t="n">
        <f aca="false">IF(B74="","",N(F74)*N(E74))</f>
        <v>0.127617456231465</v>
      </c>
      <c r="K74" s="64" t="n">
        <f aca="false">IF(B74="","",N(G74)*N(E74))</f>
        <v>0.0642561983471074</v>
      </c>
    </row>
    <row r="75" customFormat="false" ht="15" hidden="false" customHeight="false" outlineLevel="0" collapsed="false">
      <c r="A75" s="61" t="n">
        <f aca="false">IF(B75="","",4)</f>
        <v>4</v>
      </c>
      <c r="B75" s="62" t="str">
        <f aca="false">IF('ตั้งค่า Setup'!$C$71="","",'ตั้งค่า Setup'!$C$71)</f>
        <v>งานสถาปัตยกรรม / Architectural</v>
      </c>
      <c r="C75" s="61" t="n">
        <f aca="false">IF(B75="","",COUNTIFS('แผนงาน Schedule'!$C$7:$C$156,B75,'แผนงาน Schedule'!$D$7:$D$156,"&lt;&gt;"))</f>
        <v>5</v>
      </c>
      <c r="D75" s="63" t="n">
        <f aca="false">IF(B75="","",SUMIF('แผนงาน Schedule'!$C$7:$C$156,B75,'แผนงาน Schedule'!$H$7:$H$156))</f>
        <v>6350000</v>
      </c>
      <c r="E75" s="64" t="n">
        <f aca="false">IF(B75="","",SUMIF('แผนงาน Schedule'!$C$7:$C$156,B75,'แผนงาน Schedule'!$G$7:$G$156))</f>
        <v>0.262396694214876</v>
      </c>
      <c r="F75" s="64" t="n">
        <f aca="false">IF(OR(B75="",N(E75)=0),"",SUMPRODUCT(('แผนงาน Schedule'!$C$7:$C$156=B75)*'แผนงาน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Schedule'!$I$7:$I$156+1)))/E75)</f>
        <v>0</v>
      </c>
      <c r="G75" s="64" t="n">
        <f aca="false">IF(OR(B75="",N(E75)=0),"",SUMPRODUCT(('แผนงาน Schedule'!$C$7:$C$156=B75)*'แผนงาน Schedule'!$G$7:$G$156*'แผนงาน Schedule'!$P$7:$P$156)/E75)</f>
        <v>0</v>
      </c>
      <c r="H75" s="66" t="n">
        <f aca="false">IF(F75="","",G75-F75)</f>
        <v>0</v>
      </c>
      <c r="I75" s="67" t="str">
        <f aca="false">IF(OR(F75="",N(F75)=0),"",G75/F75)</f>
        <v/>
      </c>
      <c r="J75" s="64" t="n">
        <f aca="false">IF(B75="","",N(F75)*N(E75))</f>
        <v>0</v>
      </c>
      <c r="K75" s="64" t="n">
        <f aca="false">IF(B75="","",N(G75)*N(E75))</f>
        <v>0</v>
      </c>
    </row>
    <row r="76" customFormat="false" ht="15" hidden="false" customHeight="false" outlineLevel="0" collapsed="false">
      <c r="A76" s="61" t="n">
        <f aca="false">IF(B76="","",5)</f>
        <v>5</v>
      </c>
      <c r="B76" s="62" t="str">
        <f aca="false">IF('ตั้งค่า Setup'!$C$72="","",'ตั้งค่า Setup'!$C$72)</f>
        <v>งานระบบ / MEP</v>
      </c>
      <c r="C76" s="61" t="n">
        <f aca="false">IF(B76="","",COUNTIFS('แผนงาน Schedule'!$C$7:$C$156,B76,'แผนงาน Schedule'!$D$7:$D$156,"&lt;&gt;"))</f>
        <v>3</v>
      </c>
      <c r="D76" s="63" t="n">
        <f aca="false">IF(B76="","",SUMIF('แผนงาน Schedule'!$C$7:$C$156,B76,'แผนงาน Schedule'!$H$7:$H$156))</f>
        <v>2000000</v>
      </c>
      <c r="E76" s="64" t="n">
        <f aca="false">IF(B76="","",SUMIF('แผนงาน Schedule'!$C$7:$C$156,B76,'แผนงาน Schedule'!$G$7:$G$156))</f>
        <v>0.0826446280991736</v>
      </c>
      <c r="F76" s="64" t="n">
        <f aca="false">IF(OR(B76="",N(E76)=0),"",SUMPRODUCT(('แผนงาน Schedule'!$C$7:$C$156=B76)*'แผนงาน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Schedule'!$I$7:$I$156+1)))/E76)</f>
        <v>0</v>
      </c>
      <c r="G76" s="64" t="n">
        <f aca="false">IF(OR(B76="",N(E76)=0),"",SUMPRODUCT(('แผนงาน Schedule'!$C$7:$C$156=B76)*'แผนงาน Schedule'!$G$7:$G$156*'แผนงาน Schedule'!$P$7:$P$156)/E76)</f>
        <v>0</v>
      </c>
      <c r="H76" s="66" t="n">
        <f aca="false">IF(F76="","",G76-F76)</f>
        <v>0</v>
      </c>
      <c r="I76" s="67" t="str">
        <f aca="false">IF(OR(F76="",N(F76)=0),"",G76/F76)</f>
        <v/>
      </c>
      <c r="J76" s="64" t="n">
        <f aca="false">IF(B76="","",N(F76)*N(E76))</f>
        <v>0</v>
      </c>
      <c r="K76" s="64" t="n">
        <f aca="false">IF(B76="","",N(G76)*N(E76))</f>
        <v>0</v>
      </c>
    </row>
    <row r="77" customFormat="false" ht="15" hidden="false" customHeight="false" outlineLevel="0" collapsed="false">
      <c r="A77" s="61" t="n">
        <f aca="false">IF(B77="","",6)</f>
        <v>6</v>
      </c>
      <c r="B77" s="62" t="str">
        <f aca="false">IF('ตั้งค่า Setup'!$C$73="","",'ตั้งค่า Setup'!$C$73)</f>
        <v>งานภายนอกและภูมิทัศน์ / External Works</v>
      </c>
      <c r="C77" s="61" t="n">
        <f aca="false">IF(B77="","",COUNTIFS('แผนงาน Schedule'!$C$7:$C$156,B77,'แผนงาน Schedule'!$D$7:$D$156,"&lt;&gt;"))</f>
        <v>1</v>
      </c>
      <c r="D77" s="63" t="n">
        <f aca="false">IF(B77="","",SUMIF('แผนงาน Schedule'!$C$7:$C$156,B77,'แผนงาน Schedule'!$H$7:$H$156))</f>
        <v>250000</v>
      </c>
      <c r="E77" s="64" t="n">
        <f aca="false">IF(B77="","",SUMIF('แผนงาน Schedule'!$C$7:$C$156,B77,'แผนงาน Schedule'!$G$7:$G$156))</f>
        <v>0.0103305785123967</v>
      </c>
      <c r="F77" s="64" t="n">
        <f aca="false">IF(OR(B77="",N(E77)=0),"",SUMPRODUCT(('แผนงาน Schedule'!$C$7:$C$156=B77)*'แผนงาน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Schedule'!$I$7:$I$156+1)))/E77)</f>
        <v>0</v>
      </c>
      <c r="G77" s="64" t="n">
        <f aca="false">IF(OR(B77="",N(E77)=0),"",SUMPRODUCT(('แผนงาน Schedule'!$C$7:$C$156=B77)*'แผนงาน Schedule'!$G$7:$G$156*'แผนงาน Schedule'!$P$7:$P$156)/E77)</f>
        <v>0</v>
      </c>
      <c r="H77" s="66" t="n">
        <f aca="false">IF(F77="","",G77-F77)</f>
        <v>0</v>
      </c>
      <c r="I77" s="67" t="str">
        <f aca="false">IF(OR(F77="",N(F77)=0),"",G77/F77)</f>
        <v/>
      </c>
      <c r="J77" s="64" t="n">
        <f aca="false">IF(B77="","",N(F77)*N(E77))</f>
        <v>0</v>
      </c>
      <c r="K77" s="64" t="n">
        <f aca="false">IF(B77="","",N(G77)*N(E77))</f>
        <v>0</v>
      </c>
    </row>
    <row r="78" customFormat="false" ht="15" hidden="false" customHeight="false" outlineLevel="0" collapsed="false">
      <c r="A78" s="61" t="str">
        <f aca="false">IF(B78="","",7)</f>
        <v/>
      </c>
      <c r="B78" s="62" t="str">
        <f aca="false">IF('ตั้งค่า Setup'!$C$74="","",'ตั้งค่า Setup'!$C$74)</f>
        <v/>
      </c>
      <c r="C78" s="61" t="str">
        <f aca="false">IF(B78="","",COUNTIFS('แผนงาน Schedule'!$C$7:$C$156,B78,'แผนงาน Schedule'!$D$7:$D$156,"&lt;&gt;"))</f>
        <v/>
      </c>
      <c r="D78" s="63" t="str">
        <f aca="false">IF(B78="","",SUMIF('แผนงาน Schedule'!$C$7:$C$156,B78,'แผนงาน Schedule'!$H$7:$H$156))</f>
        <v/>
      </c>
      <c r="E78" s="64" t="str">
        <f aca="false">IF(B78="","",SUMIF('แผนงาน Schedule'!$C$7:$C$156,B78,'แผนงาน Schedule'!$G$7:$G$156))</f>
        <v/>
      </c>
      <c r="F78" s="64" t="str">
        <f aca="false">IF(OR(B78="",N(E78)=0),"",SUMPRODUCT(('แผนงาน Schedule'!$C$7:$C$156=B78)*'แผนงาน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Schedule'!$I$7:$I$156+1)))/E78)</f>
        <v/>
      </c>
      <c r="G78" s="64" t="str">
        <f aca="false">IF(OR(B78="",N(E78)=0),"",SUMPRODUCT(('แผนงาน Schedule'!$C$7:$C$156=B78)*'แผนงาน Schedule'!$G$7:$G$156*'แผนงาน Schedule'!$P$7:$P$156)/E78)</f>
        <v/>
      </c>
      <c r="H78" s="66" t="str">
        <f aca="false">IF(F78="","",G78-F78)</f>
        <v/>
      </c>
      <c r="I78" s="67" t="str">
        <f aca="false">IF(OR(F78="",N(F78)=0),"",G78/F78)</f>
        <v/>
      </c>
      <c r="J78" s="64" t="str">
        <f aca="false">IF(B78="","",N(F78)*N(E78))</f>
        <v/>
      </c>
      <c r="K78" s="64" t="str">
        <f aca="false">IF(B78="","",N(G78)*N(E78))</f>
        <v/>
      </c>
    </row>
    <row r="79" customFormat="false" ht="15" hidden="false" customHeight="false" outlineLevel="0" collapsed="false">
      <c r="A79" s="61" t="str">
        <f aca="false">IF(B79="","",8)</f>
        <v/>
      </c>
      <c r="B79" s="62" t="str">
        <f aca="false">IF('ตั้งค่า Setup'!$C$75="","",'ตั้งค่า Setup'!$C$75)</f>
        <v/>
      </c>
      <c r="C79" s="61" t="str">
        <f aca="false">IF(B79="","",COUNTIFS('แผนงาน Schedule'!$C$7:$C$156,B79,'แผนงาน Schedule'!$D$7:$D$156,"&lt;&gt;"))</f>
        <v/>
      </c>
      <c r="D79" s="63" t="str">
        <f aca="false">IF(B79="","",SUMIF('แผนงาน Schedule'!$C$7:$C$156,B79,'แผนงาน Schedule'!$H$7:$H$156))</f>
        <v/>
      </c>
      <c r="E79" s="64" t="str">
        <f aca="false">IF(B79="","",SUMIF('แผนงาน Schedule'!$C$7:$C$156,B79,'แผนงาน Schedule'!$G$7:$G$156))</f>
        <v/>
      </c>
      <c r="F79" s="64" t="str">
        <f aca="false">IF(OR(B79="",N(E79)=0),"",SUMPRODUCT(('แผนงาน Schedule'!$C$7:$C$156=B79)*'แผนงาน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Schedule'!$I$7:$I$156+1)))/E79)</f>
        <v/>
      </c>
      <c r="G79" s="64" t="str">
        <f aca="false">IF(OR(B79="",N(E79)=0),"",SUMPRODUCT(('แผนงาน Schedule'!$C$7:$C$156=B79)*'แผนงาน Schedule'!$G$7:$G$156*'แผนงาน Schedule'!$P$7:$P$156)/E79)</f>
        <v/>
      </c>
      <c r="H79" s="66" t="str">
        <f aca="false">IF(F79="","",G79-F79)</f>
        <v/>
      </c>
      <c r="I79" s="67" t="str">
        <f aca="false">IF(OR(F79="",N(F79)=0),"",G79/F79)</f>
        <v/>
      </c>
      <c r="J79" s="64" t="str">
        <f aca="false">IF(B79="","",N(F79)*N(E79))</f>
        <v/>
      </c>
      <c r="K79" s="64" t="str">
        <f aca="false">IF(B79="","",N(G79)*N(E79))</f>
        <v/>
      </c>
    </row>
    <row r="80" customFormat="false" ht="15" hidden="false" customHeight="false" outlineLevel="0" collapsed="false">
      <c r="A80" s="61" t="str">
        <f aca="false">IF(B80="","",9)</f>
        <v/>
      </c>
      <c r="B80" s="62" t="str">
        <f aca="false">IF('ตั้งค่า Setup'!$C$76="","",'ตั้งค่า Setup'!$C$76)</f>
        <v/>
      </c>
      <c r="C80" s="61" t="str">
        <f aca="false">IF(B80="","",COUNTIFS('แผนงาน Schedule'!$C$7:$C$156,B80,'แผนงาน Schedule'!$D$7:$D$156,"&lt;&gt;"))</f>
        <v/>
      </c>
      <c r="D80" s="63" t="str">
        <f aca="false">IF(B80="","",SUMIF('แผนงาน Schedule'!$C$7:$C$156,B80,'แผนงาน Schedule'!$H$7:$H$156))</f>
        <v/>
      </c>
      <c r="E80" s="64" t="str">
        <f aca="false">IF(B80="","",SUMIF('แผนงาน Schedule'!$C$7:$C$156,B80,'แผนงาน Schedule'!$G$7:$G$156))</f>
        <v/>
      </c>
      <c r="F80" s="64" t="str">
        <f aca="false">IF(OR(B80="",N(E80)=0),"",SUMPRODUCT(('แผนงาน Schedule'!$C$7:$C$156=B80)*'แผนงาน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Schedule'!$I$7:$I$156+1)))/E80)</f>
        <v/>
      </c>
      <c r="G80" s="64" t="str">
        <f aca="false">IF(OR(B80="",N(E80)=0),"",SUMPRODUCT(('แผนงาน Schedule'!$C$7:$C$156=B80)*'แผนงาน Schedule'!$G$7:$G$156*'แผนงาน Schedule'!$P$7:$P$156)/E80)</f>
        <v/>
      </c>
      <c r="H80" s="66" t="str">
        <f aca="false">IF(F80="","",G80-F80)</f>
        <v/>
      </c>
      <c r="I80" s="67" t="str">
        <f aca="false">IF(OR(F80="",N(F80)=0),"",G80/F80)</f>
        <v/>
      </c>
      <c r="J80" s="64" t="str">
        <f aca="false">IF(B80="","",N(F80)*N(E80))</f>
        <v/>
      </c>
      <c r="K80" s="64" t="str">
        <f aca="false">IF(B80="","",N(G80)*N(E80))</f>
        <v/>
      </c>
    </row>
    <row r="81" customFormat="false" ht="15" hidden="false" customHeight="true" outlineLevel="0" collapsed="false">
      <c r="A81" s="61" t="str">
        <f aca="false">IF(B81="","",10)</f>
        <v/>
      </c>
      <c r="B81" s="62" t="str">
        <f aca="false">IF('ตั้งค่า Setup'!$C$77="","",'ตั้งค่า Setup'!$C$77)</f>
        <v/>
      </c>
      <c r="C81" s="61" t="str">
        <f aca="false">IF(B81="","",COUNTIFS('แผนงาน Schedule'!$C$7:$C$156,B81,'แผนงาน Schedule'!$D$7:$D$156,"&lt;&gt;"))</f>
        <v/>
      </c>
      <c r="D81" s="63" t="str">
        <f aca="false">IF(B81="","",SUMIF('แผนงาน Schedule'!$C$7:$C$156,B81,'แผนงาน Schedule'!$H$7:$H$156))</f>
        <v/>
      </c>
      <c r="E81" s="64" t="str">
        <f aca="false">IF(B81="","",SUMIF('แผนงาน Schedule'!$C$7:$C$156,B81,'แผนงาน Schedule'!$G$7:$G$156))</f>
        <v/>
      </c>
      <c r="F81" s="64" t="str">
        <f aca="false">IF(OR(B81="",N(E81)=0),"",SUMPRODUCT(('แผนงาน Schedule'!$C$7:$C$156=B81)*'แผนงาน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Schedule'!$I$7:$I$156+1)))/E81)</f>
        <v/>
      </c>
      <c r="G81" s="64" t="str">
        <f aca="false">IF(OR(B81="",N(E81)=0),"",SUMPRODUCT(('แผนงาน Schedule'!$C$7:$C$156=B81)*'แผนงาน Schedule'!$G$7:$G$156*'แผนงาน Schedule'!$P$7:$P$156)/E81)</f>
        <v/>
      </c>
      <c r="H81" s="66" t="str">
        <f aca="false">IF(F81="","",G81-F81)</f>
        <v/>
      </c>
      <c r="I81" s="67" t="str">
        <f aca="false">IF(OR(F81="",N(F81)=0),"",G81/F81)</f>
        <v/>
      </c>
      <c r="J81" s="64" t="str">
        <f aca="false">IF(B81="","",N(F81)*N(E81))</f>
        <v/>
      </c>
      <c r="K81" s="64" t="str">
        <f aca="false">IF(B81="","",N(G81)*N(E81))</f>
        <v/>
      </c>
    </row>
    <row r="82" customFormat="false" ht="15" hidden="false" customHeight="true" outlineLevel="0" collapsed="false">
      <c r="A82" s="61" t="str">
        <f aca="false">IF(B82="","",11)</f>
        <v/>
      </c>
      <c r="B82" s="62" t="str">
        <f aca="false">IF('ตั้งค่า Setup'!$C$78="","",'ตั้งค่า Setup'!$C$78)</f>
        <v/>
      </c>
      <c r="C82" s="61" t="str">
        <f aca="false">IF(B82="","",COUNTIFS('แผนงาน Schedule'!$C$7:$C$156,B82,'แผนงาน Schedule'!$D$7:$D$156,"&lt;&gt;"))</f>
        <v/>
      </c>
      <c r="D82" s="63" t="str">
        <f aca="false">IF(B82="","",SUMIF('แผนงาน Schedule'!$C$7:$C$156,B82,'แผนงาน Schedule'!$H$7:$H$156))</f>
        <v/>
      </c>
      <c r="E82" s="64" t="str">
        <f aca="false">IF(B82="","",SUMIF('แผนงาน Schedule'!$C$7:$C$156,B82,'แผนงาน Schedule'!$G$7:$G$156))</f>
        <v/>
      </c>
      <c r="F82" s="64" t="str">
        <f aca="false">IF(OR(B82="",N(E82)=0),"",SUMPRODUCT(('แผนงาน Schedule'!$C$7:$C$156=B82)*'แผนงาน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Schedule'!$I$7:$I$156+1)))/E82)</f>
        <v/>
      </c>
      <c r="G82" s="64" t="str">
        <f aca="false">IF(OR(B82="",N(E82)=0),"",SUMPRODUCT(('แผนงาน Schedule'!$C$7:$C$156=B82)*'แผนงาน Schedule'!$G$7:$G$156*'แผนงาน Schedule'!$P$7:$P$156)/E82)</f>
        <v/>
      </c>
      <c r="H82" s="66" t="str">
        <f aca="false">IF(F82="","",G82-F82)</f>
        <v/>
      </c>
      <c r="I82" s="67" t="str">
        <f aca="false">IF(OR(F82="",N(F82)=0),"",G82/F82)</f>
        <v/>
      </c>
      <c r="J82" s="64" t="str">
        <f aca="false">IF(B82="","",N(F82)*N(E82))</f>
        <v/>
      </c>
      <c r="K82" s="64" t="str">
        <f aca="false">IF(B82="","",N(G82)*N(E82))</f>
        <v/>
      </c>
    </row>
    <row r="83" customFormat="false" ht="15" hidden="false" customHeight="true" outlineLevel="0" collapsed="false">
      <c r="A83" s="61" t="str">
        <f aca="false">IF(B83="","",12)</f>
        <v/>
      </c>
      <c r="B83" s="62" t="str">
        <f aca="false">IF('ตั้งค่า Setup'!$C$79="","",'ตั้งค่า Setup'!$C$79)</f>
        <v/>
      </c>
      <c r="C83" s="61" t="str">
        <f aca="false">IF(B83="","",COUNTIFS('แผนงาน Schedule'!$C$7:$C$156,B83,'แผนงาน Schedule'!$D$7:$D$156,"&lt;&gt;"))</f>
        <v/>
      </c>
      <c r="D83" s="63" t="str">
        <f aca="false">IF(B83="","",SUMIF('แผนงาน Schedule'!$C$7:$C$156,B83,'แผนงาน Schedule'!$H$7:$H$156))</f>
        <v/>
      </c>
      <c r="E83" s="64" t="str">
        <f aca="false">IF(B83="","",SUMIF('แผนงาน Schedule'!$C$7:$C$156,B83,'แผนงาน Schedule'!$G$7:$G$156))</f>
        <v/>
      </c>
      <c r="F83" s="64" t="str">
        <f aca="false">IF(OR(B83="",N(E83)=0),"",SUMPRODUCT(('แผนงาน Schedule'!$C$7:$C$156=B83)*'แผนงาน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Schedule'!$I$7:$I$156+1)))/E83)</f>
        <v/>
      </c>
      <c r="G83" s="64" t="str">
        <f aca="false">IF(OR(B83="",N(E83)=0),"",SUMPRODUCT(('แผนงาน Schedule'!$C$7:$C$156=B83)*'แผนงาน Schedule'!$G$7:$G$156*'แผนงาน Schedule'!$P$7:$P$156)/E83)</f>
        <v/>
      </c>
      <c r="H83" s="66" t="str">
        <f aca="false">IF(F83="","",G83-F83)</f>
        <v/>
      </c>
      <c r="I83" s="67" t="str">
        <f aca="false">IF(OR(F83="",N(F83)=0),"",G83/F83)</f>
        <v/>
      </c>
      <c r="J83" s="64" t="str">
        <f aca="false">IF(B83="","",N(F83)*N(E83))</f>
        <v/>
      </c>
      <c r="K83" s="64" t="str">
        <f aca="false">IF(B83="","",N(G83)*N(E83))</f>
        <v/>
      </c>
    </row>
    <row r="84" customFormat="false" ht="15" hidden="false" customHeight="true" outlineLevel="0" collapsed="false">
      <c r="A84" s="61" t="str">
        <f aca="false">IF(B84="","",13)</f>
        <v/>
      </c>
      <c r="B84" s="62" t="str">
        <f aca="false">IF('ตั้งค่า Setup'!$C$80="","",'ตั้งค่า Setup'!$C$80)</f>
        <v/>
      </c>
      <c r="C84" s="61" t="str">
        <f aca="false">IF(B84="","",COUNTIFS('แผนงาน Schedule'!$C$7:$C$156,B84,'แผนงาน Schedule'!$D$7:$D$156,"&lt;&gt;"))</f>
        <v/>
      </c>
      <c r="D84" s="63" t="str">
        <f aca="false">IF(B84="","",SUMIF('แผนงาน Schedule'!$C$7:$C$156,B84,'แผนงาน Schedule'!$H$7:$H$156))</f>
        <v/>
      </c>
      <c r="E84" s="64" t="str">
        <f aca="false">IF(B84="","",SUMIF('แผนงาน Schedule'!$C$7:$C$156,B84,'แผนงาน Schedule'!$G$7:$G$156))</f>
        <v/>
      </c>
      <c r="F84" s="64" t="str">
        <f aca="false">IF(OR(B84="",N(E84)=0),"",SUMPRODUCT(('แผนงาน Schedule'!$C$7:$C$156=B84)*'แผนงาน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Schedule'!$I$7:$I$156+1)))/E84)</f>
        <v/>
      </c>
      <c r="G84" s="64" t="str">
        <f aca="false">IF(OR(B84="",N(E84)=0),"",SUMPRODUCT(('แผนงาน Schedule'!$C$7:$C$156=B84)*'แผนงาน Schedule'!$G$7:$G$156*'แผนงาน Schedule'!$P$7:$P$156)/E84)</f>
        <v/>
      </c>
      <c r="H84" s="66" t="str">
        <f aca="false">IF(F84="","",G84-F84)</f>
        <v/>
      </c>
      <c r="I84" s="67" t="str">
        <f aca="false">IF(OR(F84="",N(F84)=0),"",G84/F84)</f>
        <v/>
      </c>
      <c r="J84" s="64" t="str">
        <f aca="false">IF(B84="","",N(F84)*N(E84))</f>
        <v/>
      </c>
      <c r="K84" s="64" t="str">
        <f aca="false">IF(B84="","",N(G84)*N(E84))</f>
        <v/>
      </c>
    </row>
    <row r="85" customFormat="false" ht="15" hidden="false" customHeight="true" outlineLevel="0" collapsed="false">
      <c r="A85" s="61" t="str">
        <f aca="false">IF(B85="","",14)</f>
        <v/>
      </c>
      <c r="B85" s="62" t="str">
        <f aca="false">IF('ตั้งค่า Setup'!$C$81="","",'ตั้งค่า Setup'!$C$81)</f>
        <v/>
      </c>
      <c r="C85" s="61" t="str">
        <f aca="false">IF(B85="","",COUNTIFS('แผนงาน Schedule'!$C$7:$C$156,B85,'แผนงาน Schedule'!$D$7:$D$156,"&lt;&gt;"))</f>
        <v/>
      </c>
      <c r="D85" s="63" t="str">
        <f aca="false">IF(B85="","",SUMIF('แผนงาน Schedule'!$C$7:$C$156,B85,'แผนงาน Schedule'!$H$7:$H$156))</f>
        <v/>
      </c>
      <c r="E85" s="64" t="str">
        <f aca="false">IF(B85="","",SUMIF('แผนงาน Schedule'!$C$7:$C$156,B85,'แผนงาน Schedule'!$G$7:$G$156))</f>
        <v/>
      </c>
      <c r="F85" s="64" t="str">
        <f aca="false">IF(OR(B85="",N(E85)=0),"",SUMPRODUCT(('แผนงาน Schedule'!$C$7:$C$156=B85)*'แผนงาน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Schedule'!$I$7:$I$156+1)))/E85)</f>
        <v/>
      </c>
      <c r="G85" s="64" t="str">
        <f aca="false">IF(OR(B85="",N(E85)=0),"",SUMPRODUCT(('แผนงาน Schedule'!$C$7:$C$156=B85)*'แผนงาน Schedule'!$G$7:$G$156*'แผนงาน Schedule'!$P$7:$P$156)/E85)</f>
        <v/>
      </c>
      <c r="H85" s="66" t="str">
        <f aca="false">IF(F85="","",G85-F85)</f>
        <v/>
      </c>
      <c r="I85" s="67" t="str">
        <f aca="false">IF(OR(F85="",N(F85)=0),"",G85/F85)</f>
        <v/>
      </c>
      <c r="J85" s="64" t="str">
        <f aca="false">IF(B85="","",N(F85)*N(E85))</f>
        <v/>
      </c>
      <c r="K85" s="64" t="str">
        <f aca="false">IF(B85="","",N(G85)*N(E85))</f>
        <v/>
      </c>
    </row>
    <row r="86" customFormat="false" ht="15" hidden="false" customHeight="true" outlineLevel="0" collapsed="false">
      <c r="A86" s="61" t="str">
        <f aca="false">IF(B86="","",15)</f>
        <v/>
      </c>
      <c r="B86" s="62" t="str">
        <f aca="false">IF('ตั้งค่า Setup'!$C$82="","",'ตั้งค่า Setup'!$C$82)</f>
        <v/>
      </c>
      <c r="C86" s="61" t="str">
        <f aca="false">IF(B86="","",COUNTIFS('แผนงาน Schedule'!$C$7:$C$156,B86,'แผนงาน Schedule'!$D$7:$D$156,"&lt;&gt;"))</f>
        <v/>
      </c>
      <c r="D86" s="63" t="str">
        <f aca="false">IF(B86="","",SUMIF('แผนงาน Schedule'!$C$7:$C$156,B86,'แผนงาน Schedule'!$H$7:$H$156))</f>
        <v/>
      </c>
      <c r="E86" s="64" t="str">
        <f aca="false">IF(B86="","",SUMIF('แผนงาน Schedule'!$C$7:$C$156,B86,'แผนงาน Schedule'!$G$7:$G$156))</f>
        <v/>
      </c>
      <c r="F86" s="64" t="str">
        <f aca="false">IF(OR(B86="",N(E86)=0),"",SUMPRODUCT(('แผนงาน Schedule'!$C$7:$C$156=B86)*'แผนงาน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Schedule'!$I$7:$I$156+1)))/E86)</f>
        <v/>
      </c>
      <c r="G86" s="64" t="str">
        <f aca="false">IF(OR(B86="",N(E86)=0),"",SUMPRODUCT(('แผนงาน Schedule'!$C$7:$C$156=B86)*'แผนงาน Schedule'!$G$7:$G$156*'แผนงาน Schedule'!$P$7:$P$156)/E86)</f>
        <v/>
      </c>
      <c r="H86" s="66" t="str">
        <f aca="false">IF(F86="","",G86-F86)</f>
        <v/>
      </c>
      <c r="I86" s="67" t="str">
        <f aca="false">IF(OR(F86="",N(F86)=0),"",G86/F86)</f>
        <v/>
      </c>
      <c r="J86" s="64" t="str">
        <f aca="false">IF(B86="","",N(F86)*N(E86))</f>
        <v/>
      </c>
      <c r="K86" s="64" t="str">
        <f aca="false">IF(B86="","",N(G86)*N(E86))</f>
        <v/>
      </c>
    </row>
    <row r="87" customFormat="false" ht="15" hidden="false" customHeight="true" outlineLevel="0" collapsed="false">
      <c r="A87" s="61" t="str">
        <f aca="false">IF(B87="","",16)</f>
        <v/>
      </c>
      <c r="B87" s="62" t="str">
        <f aca="false">IF('ตั้งค่า Setup'!$C$83="","",'ตั้งค่า Setup'!$C$83)</f>
        <v/>
      </c>
      <c r="C87" s="61" t="str">
        <f aca="false">IF(B87="","",COUNTIFS('แผนงาน Schedule'!$C$7:$C$156,B87,'แผนงาน Schedule'!$D$7:$D$156,"&lt;&gt;"))</f>
        <v/>
      </c>
      <c r="D87" s="63" t="str">
        <f aca="false">IF(B87="","",SUMIF('แผนงาน Schedule'!$C$7:$C$156,B87,'แผนงาน Schedule'!$H$7:$H$156))</f>
        <v/>
      </c>
      <c r="E87" s="64" t="str">
        <f aca="false">IF(B87="","",SUMIF('แผนงาน Schedule'!$C$7:$C$156,B87,'แผนงาน Schedule'!$G$7:$G$156))</f>
        <v/>
      </c>
      <c r="F87" s="64" t="str">
        <f aca="false">IF(OR(B87="",N(E87)=0),"",SUMPRODUCT(('แผนงาน Schedule'!$C$7:$C$156=B87)*'แผนงาน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Schedule'!$I$7:$I$156+1)))/E87)</f>
        <v/>
      </c>
      <c r="G87" s="64" t="str">
        <f aca="false">IF(OR(B87="",N(E87)=0),"",SUMPRODUCT(('แผนงาน Schedule'!$C$7:$C$156=B87)*'แผนงาน Schedule'!$G$7:$G$156*'แผนงาน Schedule'!$P$7:$P$156)/E87)</f>
        <v/>
      </c>
      <c r="H87" s="66" t="str">
        <f aca="false">IF(F87="","",G87-F87)</f>
        <v/>
      </c>
      <c r="I87" s="67" t="str">
        <f aca="false">IF(OR(F87="",N(F87)=0),"",G87/F87)</f>
        <v/>
      </c>
      <c r="J87" s="64" t="str">
        <f aca="false">IF(B87="","",N(F87)*N(E87))</f>
        <v/>
      </c>
      <c r="K87" s="64" t="str">
        <f aca="false">IF(B87="","",N(G87)*N(E87))</f>
        <v/>
      </c>
    </row>
    <row r="88" customFormat="false" ht="15" hidden="false" customHeight="true" outlineLevel="0" collapsed="false">
      <c r="A88" s="61" t="str">
        <f aca="false">IF(B88="","",17)</f>
        <v/>
      </c>
      <c r="B88" s="62" t="str">
        <f aca="false">IF('ตั้งค่า Setup'!$C$84="","",'ตั้งค่า Setup'!$C$84)</f>
        <v/>
      </c>
      <c r="C88" s="61" t="str">
        <f aca="false">IF(B88="","",COUNTIFS('แผนงาน Schedule'!$C$7:$C$156,B88,'แผนงาน Schedule'!$D$7:$D$156,"&lt;&gt;"))</f>
        <v/>
      </c>
      <c r="D88" s="63" t="str">
        <f aca="false">IF(B88="","",SUMIF('แผนงาน Schedule'!$C$7:$C$156,B88,'แผนงาน Schedule'!$H$7:$H$156))</f>
        <v/>
      </c>
      <c r="E88" s="64" t="str">
        <f aca="false">IF(B88="","",SUMIF('แผนงาน Schedule'!$C$7:$C$156,B88,'แผนงาน Schedule'!$G$7:$G$156))</f>
        <v/>
      </c>
      <c r="F88" s="64" t="str">
        <f aca="false">IF(OR(B88="",N(E88)=0),"",SUMPRODUCT(('แผนงาน Schedule'!$C$7:$C$156=B88)*'แผนงาน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Schedule'!$I$7:$I$156+1)))/E88)</f>
        <v/>
      </c>
      <c r="G88" s="64" t="str">
        <f aca="false">IF(OR(B88="",N(E88)=0),"",SUMPRODUCT(('แผนงาน Schedule'!$C$7:$C$156=B88)*'แผนงาน Schedule'!$G$7:$G$156*'แผนงาน Schedule'!$P$7:$P$156)/E88)</f>
        <v/>
      </c>
      <c r="H88" s="66" t="str">
        <f aca="false">IF(F88="","",G88-F88)</f>
        <v/>
      </c>
      <c r="I88" s="67" t="str">
        <f aca="false">IF(OR(F88="",N(F88)=0),"",G88/F88)</f>
        <v/>
      </c>
      <c r="J88" s="64" t="str">
        <f aca="false">IF(B88="","",N(F88)*N(E88))</f>
        <v/>
      </c>
      <c r="K88" s="64" t="str">
        <f aca="false">IF(B88="","",N(G88)*N(E88))</f>
        <v/>
      </c>
    </row>
    <row r="89" customFormat="false" ht="15" hidden="false" customHeight="true" outlineLevel="0" collapsed="false">
      <c r="A89" s="61" t="str">
        <f aca="false">IF(B89="","",18)</f>
        <v/>
      </c>
      <c r="B89" s="62" t="str">
        <f aca="false">IF('ตั้งค่า Setup'!$C$85="","",'ตั้งค่า Setup'!$C$85)</f>
        <v/>
      </c>
      <c r="C89" s="61" t="str">
        <f aca="false">IF(B89="","",COUNTIFS('แผนงาน Schedule'!$C$7:$C$156,B89,'แผนงาน Schedule'!$D$7:$D$156,"&lt;&gt;"))</f>
        <v/>
      </c>
      <c r="D89" s="63" t="str">
        <f aca="false">IF(B89="","",SUMIF('แผนงาน Schedule'!$C$7:$C$156,B89,'แผนงาน Schedule'!$H$7:$H$156))</f>
        <v/>
      </c>
      <c r="E89" s="64" t="str">
        <f aca="false">IF(B89="","",SUMIF('แผนงาน Schedule'!$C$7:$C$156,B89,'แผนงาน Schedule'!$G$7:$G$156))</f>
        <v/>
      </c>
      <c r="F89" s="64" t="str">
        <f aca="false">IF(OR(B89="",N(E89)=0),"",SUMPRODUCT(('แผนงาน Schedule'!$C$7:$C$156=B89)*'แผนงาน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Schedule'!$I$7:$I$156+1)))/E89)</f>
        <v/>
      </c>
      <c r="G89" s="64" t="str">
        <f aca="false">IF(OR(B89="",N(E89)=0),"",SUMPRODUCT(('แผนงาน Schedule'!$C$7:$C$156=B89)*'แผนงาน Schedule'!$G$7:$G$156*'แผนงาน Schedule'!$P$7:$P$156)/E89)</f>
        <v/>
      </c>
      <c r="H89" s="66" t="str">
        <f aca="false">IF(F89="","",G89-F89)</f>
        <v/>
      </c>
      <c r="I89" s="67" t="str">
        <f aca="false">IF(OR(F89="",N(F89)=0),"",G89/F89)</f>
        <v/>
      </c>
      <c r="J89" s="64" t="str">
        <f aca="false">IF(B89="","",N(F89)*N(E89))</f>
        <v/>
      </c>
      <c r="K89" s="64" t="str">
        <f aca="false">IF(B89="","",N(G89)*N(E89))</f>
        <v/>
      </c>
    </row>
    <row r="90" customFormat="false" ht="15" hidden="false" customHeight="true" outlineLevel="0" collapsed="false">
      <c r="A90" s="61" t="str">
        <f aca="false">IF(B90="","",19)</f>
        <v/>
      </c>
      <c r="B90" s="62" t="str">
        <f aca="false">IF('ตั้งค่า Setup'!$C$86="","",'ตั้งค่า Setup'!$C$86)</f>
        <v/>
      </c>
      <c r="C90" s="61" t="str">
        <f aca="false">IF(B90="","",COUNTIFS('แผนงาน Schedule'!$C$7:$C$156,B90,'แผนงาน Schedule'!$D$7:$D$156,"&lt;&gt;"))</f>
        <v/>
      </c>
      <c r="D90" s="63" t="str">
        <f aca="false">IF(B90="","",SUMIF('แผนงาน Schedule'!$C$7:$C$156,B90,'แผนงาน Schedule'!$H$7:$H$156))</f>
        <v/>
      </c>
      <c r="E90" s="64" t="str">
        <f aca="false">IF(B90="","",SUMIF('แผนงาน Schedule'!$C$7:$C$156,B90,'แผนงาน Schedule'!$G$7:$G$156))</f>
        <v/>
      </c>
      <c r="F90" s="64" t="str">
        <f aca="false">IF(OR(B90="",N(E90)=0),"",SUMPRODUCT(('แผนงาน Schedule'!$C$7:$C$156=B90)*'แผนงาน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Schedule'!$I$7:$I$156+1)))/E90)</f>
        <v/>
      </c>
      <c r="G90" s="64" t="str">
        <f aca="false">IF(OR(B90="",N(E90)=0),"",SUMPRODUCT(('แผนงาน Schedule'!$C$7:$C$156=B90)*'แผนงาน Schedule'!$G$7:$G$156*'แผนงาน Schedule'!$P$7:$P$156)/E90)</f>
        <v/>
      </c>
      <c r="H90" s="66" t="str">
        <f aca="false">IF(F90="","",G90-F90)</f>
        <v/>
      </c>
      <c r="I90" s="67" t="str">
        <f aca="false">IF(OR(F90="",N(F90)=0),"",G90/F90)</f>
        <v/>
      </c>
      <c r="J90" s="64" t="str">
        <f aca="false">IF(B90="","",N(F90)*N(E90))</f>
        <v/>
      </c>
      <c r="K90" s="64" t="str">
        <f aca="false">IF(B90="","",N(G90)*N(E90))</f>
        <v/>
      </c>
    </row>
    <row r="91" customFormat="false" ht="15" hidden="false" customHeight="true" outlineLevel="0" collapsed="false">
      <c r="A91" s="61" t="str">
        <f aca="false">IF(B91="","",20)</f>
        <v/>
      </c>
      <c r="B91" s="62" t="str">
        <f aca="false">IF('ตั้งค่า Setup'!$C$87="","",'ตั้งค่า Setup'!$C$87)</f>
        <v/>
      </c>
      <c r="C91" s="61" t="str">
        <f aca="false">IF(B91="","",COUNTIFS('แผนงาน Schedule'!$C$7:$C$156,B91,'แผนงาน Schedule'!$D$7:$D$156,"&lt;&gt;"))</f>
        <v/>
      </c>
      <c r="D91" s="63" t="str">
        <f aca="false">IF(B91="","",SUMIF('แผนงาน Schedule'!$C$7:$C$156,B91,'แผนงาน Schedule'!$H$7:$H$156))</f>
        <v/>
      </c>
      <c r="E91" s="64" t="str">
        <f aca="false">IF(B91="","",SUMIF('แผนงาน Schedule'!$C$7:$C$156,B91,'แผนงาน Schedule'!$G$7:$G$156))</f>
        <v/>
      </c>
      <c r="F91" s="64" t="str">
        <f aca="false">IF(OR(B91="",N(E91)=0),"",SUMPRODUCT(('แผนงาน Schedule'!$C$7:$C$156=B91)*'แผนงาน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Schedule'!$I$7:$I$156+1)))/E91)</f>
        <v/>
      </c>
      <c r="G91" s="64" t="str">
        <f aca="false">IF(OR(B91="",N(E91)=0),"",SUMPRODUCT(('แผนงาน Schedule'!$C$7:$C$156=B91)*'แผนงาน Schedule'!$G$7:$G$156*'แผนงาน Schedule'!$P$7:$P$156)/E91)</f>
        <v/>
      </c>
      <c r="H91" s="66" t="str">
        <f aca="false">IF(F91="","",G91-F91)</f>
        <v/>
      </c>
      <c r="I91" s="67" t="str">
        <f aca="false">IF(OR(F91="",N(F91)=0),"",G91/F91)</f>
        <v/>
      </c>
      <c r="J91" s="64" t="str">
        <f aca="false">IF(B91="","",N(F91)*N(E91))</f>
        <v/>
      </c>
      <c r="K91" s="64" t="str">
        <f aca="false">IF(B91="","",N(G91)*N(E91))</f>
        <v/>
      </c>
    </row>
    <row r="92" customFormat="false" ht="15" hidden="false" customHeight="true" outlineLevel="0" collapsed="false">
      <c r="A92" s="61" t="str">
        <f aca="false">IF(B92="","",21)</f>
        <v/>
      </c>
      <c r="B92" s="62" t="str">
        <f aca="false">IF('ตั้งค่า Setup'!$C$88="","",'ตั้งค่า Setup'!$C$88)</f>
        <v/>
      </c>
      <c r="C92" s="61" t="str">
        <f aca="false">IF(B92="","",COUNTIFS('แผนงาน Schedule'!$C$7:$C$156,B92,'แผนงาน Schedule'!$D$7:$D$156,"&lt;&gt;"))</f>
        <v/>
      </c>
      <c r="D92" s="63" t="str">
        <f aca="false">IF(B92="","",SUMIF('แผนงาน Schedule'!$C$7:$C$156,B92,'แผนงาน Schedule'!$H$7:$H$156))</f>
        <v/>
      </c>
      <c r="E92" s="64" t="str">
        <f aca="false">IF(B92="","",SUMIF('แผนงาน Schedule'!$C$7:$C$156,B92,'แผนงาน Schedule'!$G$7:$G$156))</f>
        <v/>
      </c>
      <c r="F92" s="64" t="str">
        <f aca="false">IF(OR(B92="",N(E92)=0),"",SUMPRODUCT(('แผนงาน Schedule'!$C$7:$C$156=B92)*'แผนงาน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Schedule'!$I$7:$I$156+1)))/E92)</f>
        <v/>
      </c>
      <c r="G92" s="64" t="str">
        <f aca="false">IF(OR(B92="",N(E92)=0),"",SUMPRODUCT(('แผนงาน Schedule'!$C$7:$C$156=B92)*'แผนงาน Schedule'!$G$7:$G$156*'แผนงาน Schedule'!$P$7:$P$156)/E92)</f>
        <v/>
      </c>
      <c r="H92" s="66" t="str">
        <f aca="false">IF(F92="","",G92-F92)</f>
        <v/>
      </c>
      <c r="I92" s="67" t="str">
        <f aca="false">IF(OR(F92="",N(F92)=0),"",G92/F92)</f>
        <v/>
      </c>
      <c r="J92" s="64" t="str">
        <f aca="false">IF(B92="","",N(F92)*N(E92))</f>
        <v/>
      </c>
      <c r="K92" s="64" t="str">
        <f aca="false">IF(B92="","",N(G92)*N(E92))</f>
        <v/>
      </c>
    </row>
    <row r="93" customFormat="false" ht="15" hidden="false" customHeight="true" outlineLevel="0" collapsed="false">
      <c r="A93" s="61" t="str">
        <f aca="false">IF(B93="","",22)</f>
        <v/>
      </c>
      <c r="B93" s="62" t="str">
        <f aca="false">IF('ตั้งค่า Setup'!$C$89="","",'ตั้งค่า Setup'!$C$89)</f>
        <v/>
      </c>
      <c r="C93" s="61" t="str">
        <f aca="false">IF(B93="","",COUNTIFS('แผนงาน Schedule'!$C$7:$C$156,B93,'แผนงาน Schedule'!$D$7:$D$156,"&lt;&gt;"))</f>
        <v/>
      </c>
      <c r="D93" s="63" t="str">
        <f aca="false">IF(B93="","",SUMIF('แผนงาน Schedule'!$C$7:$C$156,B93,'แผนงาน Schedule'!$H$7:$H$156))</f>
        <v/>
      </c>
      <c r="E93" s="64" t="str">
        <f aca="false">IF(B93="","",SUMIF('แผนงาน Schedule'!$C$7:$C$156,B93,'แผนงาน Schedule'!$G$7:$G$156))</f>
        <v/>
      </c>
      <c r="F93" s="64" t="str">
        <f aca="false">IF(OR(B93="",N(E93)=0),"",SUMPRODUCT(('แผนงาน Schedule'!$C$7:$C$156=B93)*'แผนงาน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Schedule'!$I$7:$I$156+1)))/E93)</f>
        <v/>
      </c>
      <c r="G93" s="64" t="str">
        <f aca="false">IF(OR(B93="",N(E93)=0),"",SUMPRODUCT(('แผนงาน Schedule'!$C$7:$C$156=B93)*'แผนงาน Schedule'!$G$7:$G$156*'แผนงาน Schedule'!$P$7:$P$156)/E93)</f>
        <v/>
      </c>
      <c r="H93" s="66" t="str">
        <f aca="false">IF(F93="","",G93-F93)</f>
        <v/>
      </c>
      <c r="I93" s="67" t="str">
        <f aca="false">IF(OR(F93="",N(F93)=0),"",G93/F93)</f>
        <v/>
      </c>
      <c r="J93" s="64" t="str">
        <f aca="false">IF(B93="","",N(F93)*N(E93))</f>
        <v/>
      </c>
      <c r="K93" s="64" t="str">
        <f aca="false">IF(B93="","",N(G93)*N(E93))</f>
        <v/>
      </c>
    </row>
    <row r="94" customFormat="false" ht="15" hidden="false" customHeight="true" outlineLevel="0" collapsed="false">
      <c r="A94" s="61" t="str">
        <f aca="false">IF(B94="","",23)</f>
        <v/>
      </c>
      <c r="B94" s="62" t="str">
        <f aca="false">IF('ตั้งค่า Setup'!$C$90="","",'ตั้งค่า Setup'!$C$90)</f>
        <v/>
      </c>
      <c r="C94" s="61" t="str">
        <f aca="false">IF(B94="","",COUNTIFS('แผนงาน Schedule'!$C$7:$C$156,B94,'แผนงาน Schedule'!$D$7:$D$156,"&lt;&gt;"))</f>
        <v/>
      </c>
      <c r="D94" s="63" t="str">
        <f aca="false">IF(B94="","",SUMIF('แผนงาน Schedule'!$C$7:$C$156,B94,'แผนงาน Schedule'!$H$7:$H$156))</f>
        <v/>
      </c>
      <c r="E94" s="64" t="str">
        <f aca="false">IF(B94="","",SUMIF('แผนงาน Schedule'!$C$7:$C$156,B94,'แผนงาน Schedule'!$G$7:$G$156))</f>
        <v/>
      </c>
      <c r="F94" s="64" t="str">
        <f aca="false">IF(OR(B94="",N(E94)=0),"",SUMPRODUCT(('แผนงาน Schedule'!$C$7:$C$156=B94)*'แผนงาน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Schedule'!$I$7:$I$156+1)))/E94)</f>
        <v/>
      </c>
      <c r="G94" s="64" t="str">
        <f aca="false">IF(OR(B94="",N(E94)=0),"",SUMPRODUCT(('แผนงาน Schedule'!$C$7:$C$156=B94)*'แผนงาน Schedule'!$G$7:$G$156*'แผนงาน Schedule'!$P$7:$P$156)/E94)</f>
        <v/>
      </c>
      <c r="H94" s="66" t="str">
        <f aca="false">IF(F94="","",G94-F94)</f>
        <v/>
      </c>
      <c r="I94" s="67" t="str">
        <f aca="false">IF(OR(F94="",N(F94)=0),"",G94/F94)</f>
        <v/>
      </c>
      <c r="J94" s="64" t="str">
        <f aca="false">IF(B94="","",N(F94)*N(E94))</f>
        <v/>
      </c>
      <c r="K94" s="64" t="str">
        <f aca="false">IF(B94="","",N(G94)*N(E94))</f>
        <v/>
      </c>
    </row>
    <row r="95" customFormat="false" ht="15" hidden="false" customHeight="true" outlineLevel="0" collapsed="false">
      <c r="A95" s="61" t="str">
        <f aca="false">IF(B95="","",24)</f>
        <v/>
      </c>
      <c r="B95" s="62" t="str">
        <f aca="false">IF('ตั้งค่า Setup'!$C$91="","",'ตั้งค่า Setup'!$C$91)</f>
        <v/>
      </c>
      <c r="C95" s="61" t="str">
        <f aca="false">IF(B95="","",COUNTIFS('แผนงาน Schedule'!$C$7:$C$156,B95,'แผนงาน Schedule'!$D$7:$D$156,"&lt;&gt;"))</f>
        <v/>
      </c>
      <c r="D95" s="63" t="str">
        <f aca="false">IF(B95="","",SUMIF('แผนงาน Schedule'!$C$7:$C$156,B95,'แผนงาน Schedule'!$H$7:$H$156))</f>
        <v/>
      </c>
      <c r="E95" s="64" t="str">
        <f aca="false">IF(B95="","",SUMIF('แผนงาน Schedule'!$C$7:$C$156,B95,'แผนงาน Schedule'!$G$7:$G$156))</f>
        <v/>
      </c>
      <c r="F95" s="64" t="str">
        <f aca="false">IF(OR(B95="",N(E95)=0),"",SUMPRODUCT(('แผนงาน Schedule'!$C$7:$C$156=B95)*'แผนงาน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Schedule'!$I$7:$I$156+1)))/E95)</f>
        <v/>
      </c>
      <c r="G95" s="64" t="str">
        <f aca="false">IF(OR(B95="",N(E95)=0),"",SUMPRODUCT(('แผนงาน Schedule'!$C$7:$C$156=B95)*'แผนงาน Schedule'!$G$7:$G$156*'แผนงาน Schedule'!$P$7:$P$156)/E95)</f>
        <v/>
      </c>
      <c r="H95" s="66" t="str">
        <f aca="false">IF(F95="","",G95-F95)</f>
        <v/>
      </c>
      <c r="I95" s="67" t="str">
        <f aca="false">IF(OR(F95="",N(F95)=0),"",G95/F95)</f>
        <v/>
      </c>
      <c r="J95" s="64" t="str">
        <f aca="false">IF(B95="","",N(F95)*N(E95))</f>
        <v/>
      </c>
      <c r="K95" s="64" t="str">
        <f aca="false">IF(B95="","",N(G95)*N(E95))</f>
        <v/>
      </c>
    </row>
    <row r="96" customFormat="false" ht="15" hidden="false" customHeight="true" outlineLevel="0" collapsed="false">
      <c r="A96" s="61" t="str">
        <f aca="false">IF(B96="","",25)</f>
        <v/>
      </c>
      <c r="B96" s="62" t="str">
        <f aca="false">IF('ตั้งค่า Setup'!$C$92="","",'ตั้งค่า Setup'!$C$92)</f>
        <v/>
      </c>
      <c r="C96" s="61" t="str">
        <f aca="false">IF(B96="","",COUNTIFS('แผนงาน Schedule'!$C$7:$C$156,B96,'แผนงาน Schedule'!$D$7:$D$156,"&lt;&gt;"))</f>
        <v/>
      </c>
      <c r="D96" s="63" t="str">
        <f aca="false">IF(B96="","",SUMIF('แผนงาน Schedule'!$C$7:$C$156,B96,'แผนงาน Schedule'!$H$7:$H$156))</f>
        <v/>
      </c>
      <c r="E96" s="64" t="str">
        <f aca="false">IF(B96="","",SUMIF('แผนงาน Schedule'!$C$7:$C$156,B96,'แผนงาน Schedule'!$G$7:$G$156))</f>
        <v/>
      </c>
      <c r="F96" s="64" t="str">
        <f aca="false">IF(OR(B96="",N(E96)=0),"",SUMPRODUCT(('แผนงาน Schedule'!$C$7:$C$156=B96)*'แผนงาน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Schedule'!$I$7:$I$156+1)))/E96)</f>
        <v/>
      </c>
      <c r="G96" s="64" t="str">
        <f aca="false">IF(OR(B96="",N(E96)=0),"",SUMPRODUCT(('แผนงาน Schedule'!$C$7:$C$156=B96)*'แผนงาน Schedule'!$G$7:$G$156*'แผนงาน Schedule'!$P$7:$P$156)/E96)</f>
        <v/>
      </c>
      <c r="H96" s="66" t="str">
        <f aca="false">IF(F96="","",G96-F96)</f>
        <v/>
      </c>
      <c r="I96" s="67" t="str">
        <f aca="false">IF(OR(F96="",N(F96)=0),"",G96/F96)</f>
        <v/>
      </c>
      <c r="J96" s="64" t="str">
        <f aca="false">IF(B96="","",N(F96)*N(E96))</f>
        <v/>
      </c>
      <c r="K96" s="64" t="str">
        <f aca="false">IF(B96="","",N(G96)*N(E96))</f>
        <v/>
      </c>
    </row>
    <row r="97" customFormat="false" ht="15" hidden="false" customHeight="true" outlineLevel="0" collapsed="false">
      <c r="A97" s="61" t="str">
        <f aca="false">IF(B97="","",26)</f>
        <v/>
      </c>
      <c r="B97" s="62" t="str">
        <f aca="false">IF('ตั้งค่า Setup'!$C$93="","",'ตั้งค่า Setup'!$C$93)</f>
        <v/>
      </c>
      <c r="C97" s="61" t="str">
        <f aca="false">IF(B97="","",COUNTIFS('แผนงาน Schedule'!$C$7:$C$156,B97,'แผนงาน Schedule'!$D$7:$D$156,"&lt;&gt;"))</f>
        <v/>
      </c>
      <c r="D97" s="63" t="str">
        <f aca="false">IF(B97="","",SUMIF('แผนงาน Schedule'!$C$7:$C$156,B97,'แผนงาน Schedule'!$H$7:$H$156))</f>
        <v/>
      </c>
      <c r="E97" s="64" t="str">
        <f aca="false">IF(B97="","",SUMIF('แผนงาน Schedule'!$C$7:$C$156,B97,'แผนงาน Schedule'!$G$7:$G$156))</f>
        <v/>
      </c>
      <c r="F97" s="64" t="str">
        <f aca="false">IF(OR(B97="",N(E97)=0),"",SUMPRODUCT(('แผนงาน Schedule'!$C$7:$C$156=B97)*'แผนงาน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Schedule'!$I$7:$I$156+1)))/E97)</f>
        <v/>
      </c>
      <c r="G97" s="64" t="str">
        <f aca="false">IF(OR(B97="",N(E97)=0),"",SUMPRODUCT(('แผนงาน Schedule'!$C$7:$C$156=B97)*'แผนงาน Schedule'!$G$7:$G$156*'แผนงาน Schedule'!$P$7:$P$156)/E97)</f>
        <v/>
      </c>
      <c r="H97" s="66" t="str">
        <f aca="false">IF(F97="","",G97-F97)</f>
        <v/>
      </c>
      <c r="I97" s="67" t="str">
        <f aca="false">IF(OR(F97="",N(F97)=0),"",G97/F97)</f>
        <v/>
      </c>
      <c r="J97" s="64" t="str">
        <f aca="false">IF(B97="","",N(F97)*N(E97))</f>
        <v/>
      </c>
      <c r="K97" s="64" t="str">
        <f aca="false">IF(B97="","",N(G97)*N(E97))</f>
        <v/>
      </c>
    </row>
    <row r="98" customFormat="false" ht="15" hidden="false" customHeight="true" outlineLevel="0" collapsed="false">
      <c r="A98" s="61" t="str">
        <f aca="false">IF(B98="","",27)</f>
        <v/>
      </c>
      <c r="B98" s="62" t="str">
        <f aca="false">IF('ตั้งค่า Setup'!$C$94="","",'ตั้งค่า Setup'!$C$94)</f>
        <v/>
      </c>
      <c r="C98" s="61" t="str">
        <f aca="false">IF(B98="","",COUNTIFS('แผนงาน Schedule'!$C$7:$C$156,B98,'แผนงาน Schedule'!$D$7:$D$156,"&lt;&gt;"))</f>
        <v/>
      </c>
      <c r="D98" s="63" t="str">
        <f aca="false">IF(B98="","",SUMIF('แผนงาน Schedule'!$C$7:$C$156,B98,'แผนงาน Schedule'!$H$7:$H$156))</f>
        <v/>
      </c>
      <c r="E98" s="64" t="str">
        <f aca="false">IF(B98="","",SUMIF('แผนงาน Schedule'!$C$7:$C$156,B98,'แผนงาน Schedule'!$G$7:$G$156))</f>
        <v/>
      </c>
      <c r="F98" s="64" t="str">
        <f aca="false">IF(OR(B98="",N(E98)=0),"",SUMPRODUCT(('แผนงาน Schedule'!$C$7:$C$156=B98)*'แผนงาน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Schedule'!$I$7:$I$156+1)))/E98)</f>
        <v/>
      </c>
      <c r="G98" s="64" t="str">
        <f aca="false">IF(OR(B98="",N(E98)=0),"",SUMPRODUCT(('แผนงาน Schedule'!$C$7:$C$156=B98)*'แผนงาน Schedule'!$G$7:$G$156*'แผนงาน Schedule'!$P$7:$P$156)/E98)</f>
        <v/>
      </c>
      <c r="H98" s="66" t="str">
        <f aca="false">IF(F98="","",G98-F98)</f>
        <v/>
      </c>
      <c r="I98" s="67" t="str">
        <f aca="false">IF(OR(F98="",N(F98)=0),"",G98/F98)</f>
        <v/>
      </c>
      <c r="J98" s="64" t="str">
        <f aca="false">IF(B98="","",N(F98)*N(E98))</f>
        <v/>
      </c>
      <c r="K98" s="64" t="str">
        <f aca="false">IF(B98="","",N(G98)*N(E98))</f>
        <v/>
      </c>
    </row>
    <row r="99" customFormat="false" ht="15" hidden="false" customHeight="true" outlineLevel="0" collapsed="false">
      <c r="A99" s="61" t="str">
        <f aca="false">IF(B99="","",28)</f>
        <v/>
      </c>
      <c r="B99" s="62" t="str">
        <f aca="false">IF('ตั้งค่า Setup'!$C$95="","",'ตั้งค่า Setup'!$C$95)</f>
        <v/>
      </c>
      <c r="C99" s="61" t="str">
        <f aca="false">IF(B99="","",COUNTIFS('แผนงาน Schedule'!$C$7:$C$156,B99,'แผนงาน Schedule'!$D$7:$D$156,"&lt;&gt;"))</f>
        <v/>
      </c>
      <c r="D99" s="63" t="str">
        <f aca="false">IF(B99="","",SUMIF('แผนงาน Schedule'!$C$7:$C$156,B99,'แผนงาน Schedule'!$H$7:$H$156))</f>
        <v/>
      </c>
      <c r="E99" s="64" t="str">
        <f aca="false">IF(B99="","",SUMIF('แผนงาน Schedule'!$C$7:$C$156,B99,'แผนงาน Schedule'!$G$7:$G$156))</f>
        <v/>
      </c>
      <c r="F99" s="64" t="str">
        <f aca="false">IF(OR(B99="",N(E99)=0),"",SUMPRODUCT(('แผนงาน Schedule'!$C$7:$C$156=B99)*'แผนงาน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Schedule'!$I$7:$I$156+1)))/E99)</f>
        <v/>
      </c>
      <c r="G99" s="64" t="str">
        <f aca="false">IF(OR(B99="",N(E99)=0),"",SUMPRODUCT(('แผนงาน Schedule'!$C$7:$C$156=B99)*'แผนงาน Schedule'!$G$7:$G$156*'แผนงาน Schedule'!$P$7:$P$156)/E99)</f>
        <v/>
      </c>
      <c r="H99" s="66" t="str">
        <f aca="false">IF(F99="","",G99-F99)</f>
        <v/>
      </c>
      <c r="I99" s="67" t="str">
        <f aca="false">IF(OR(F99="",N(F99)=0),"",G99/F99)</f>
        <v/>
      </c>
      <c r="J99" s="64" t="str">
        <f aca="false">IF(B99="","",N(F99)*N(E99))</f>
        <v/>
      </c>
      <c r="K99" s="64" t="str">
        <f aca="false">IF(B99="","",N(G99)*N(E99))</f>
        <v/>
      </c>
    </row>
    <row r="100" customFormat="false" ht="15" hidden="false" customHeight="true" outlineLevel="0" collapsed="false">
      <c r="A100" s="61" t="str">
        <f aca="false">IF(B100="","",29)</f>
        <v/>
      </c>
      <c r="B100" s="62" t="str">
        <f aca="false">IF('ตั้งค่า Setup'!$C$96="","",'ตั้งค่า Setup'!$C$96)</f>
        <v/>
      </c>
      <c r="C100" s="61" t="str">
        <f aca="false">IF(B100="","",COUNTIFS('แผนงาน Schedule'!$C$7:$C$156,B100,'แผนงาน Schedule'!$D$7:$D$156,"&lt;&gt;"))</f>
        <v/>
      </c>
      <c r="D100" s="63" t="str">
        <f aca="false">IF(B100="","",SUMIF('แผนงาน Schedule'!$C$7:$C$156,B100,'แผนงาน Schedule'!$H$7:$H$156))</f>
        <v/>
      </c>
      <c r="E100" s="64" t="str">
        <f aca="false">IF(B100="","",SUMIF('แผนงาน Schedule'!$C$7:$C$156,B100,'แผนงาน Schedule'!$G$7:$G$156))</f>
        <v/>
      </c>
      <c r="F100" s="64" t="str">
        <f aca="false">IF(OR(B100="",N(E100)=0),"",SUMPRODUCT(('แผนงาน Schedule'!$C$7:$C$156=B100)*'แผนงาน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Schedule'!$I$7:$I$156+1)))/E100)</f>
        <v/>
      </c>
      <c r="G100" s="64" t="str">
        <f aca="false">IF(OR(B100="",N(E100)=0),"",SUMPRODUCT(('แผนงาน Schedule'!$C$7:$C$156=B100)*'แผนงาน Schedule'!$G$7:$G$156*'แผนงาน Schedule'!$P$7:$P$156)/E100)</f>
        <v/>
      </c>
      <c r="H100" s="66" t="str">
        <f aca="false">IF(F100="","",G100-F100)</f>
        <v/>
      </c>
      <c r="I100" s="67" t="str">
        <f aca="false">IF(OR(F100="",N(F100)=0),"",G100/F100)</f>
        <v/>
      </c>
      <c r="J100" s="64" t="str">
        <f aca="false">IF(B100="","",N(F100)*N(E100))</f>
        <v/>
      </c>
      <c r="K100" s="64" t="str">
        <f aca="false">IF(B100="","",N(G100)*N(E100))</f>
        <v/>
      </c>
    </row>
    <row r="101" customFormat="false" ht="15" hidden="false" customHeight="true" outlineLevel="0" collapsed="false">
      <c r="A101" s="61" t="str">
        <f aca="false">IF(B101="","",30)</f>
        <v/>
      </c>
      <c r="B101" s="62" t="str">
        <f aca="false">IF('ตั้งค่า Setup'!$C$97="","",'ตั้งค่า Setup'!$C$97)</f>
        <v/>
      </c>
      <c r="C101" s="61" t="str">
        <f aca="false">IF(B101="","",COUNTIFS('แผนงาน Schedule'!$C$7:$C$156,B101,'แผนงาน Schedule'!$D$7:$D$156,"&lt;&gt;"))</f>
        <v/>
      </c>
      <c r="D101" s="63" t="str">
        <f aca="false">IF(B101="","",SUMIF('แผนงาน Schedule'!$C$7:$C$156,B101,'แผนงาน Schedule'!$H$7:$H$156))</f>
        <v/>
      </c>
      <c r="E101" s="64" t="str">
        <f aca="false">IF(B101="","",SUMIF('แผนงาน Schedule'!$C$7:$C$156,B101,'แผนงาน Schedule'!$G$7:$G$156))</f>
        <v/>
      </c>
      <c r="F101" s="64" t="str">
        <f aca="false">IF(OR(B101="",N(E101)=0),"",SUMPRODUCT(('แผนงาน Schedule'!$C$7:$C$156=B101)*'แผนงาน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Schedule'!$I$7:$I$156+1)))/E101)</f>
        <v/>
      </c>
      <c r="G101" s="64" t="str">
        <f aca="false">IF(OR(B101="",N(E101)=0),"",SUMPRODUCT(('แผนงาน Schedule'!$C$7:$C$156=B101)*'แผนงาน Schedule'!$G$7:$G$156*'แผนงาน Schedule'!$P$7:$P$156)/E101)</f>
        <v/>
      </c>
      <c r="H101" s="66" t="str">
        <f aca="false">IF(F101="","",G101-F101)</f>
        <v/>
      </c>
      <c r="I101" s="67" t="str">
        <f aca="false">IF(OR(F101="",N(F101)=0),"",G101/F101)</f>
        <v/>
      </c>
      <c r="J101" s="64" t="str">
        <f aca="false">IF(B101="","",N(F101)*N(E101))</f>
        <v/>
      </c>
      <c r="K101" s="64" t="str">
        <f aca="false">IF(B101="","",N(G101)*N(E101))</f>
        <v/>
      </c>
    </row>
    <row r="102" customFormat="false" ht="15" hidden="false" customHeight="true" outlineLevel="0" collapsed="false">
      <c r="A102" s="61" t="str">
        <f aca="false">IF(B102="","",31)</f>
        <v/>
      </c>
      <c r="B102" s="62" t="str">
        <f aca="false">IF('ตั้งค่า Setup'!$C$98="","",'ตั้งค่า Setup'!$C$98)</f>
        <v/>
      </c>
      <c r="C102" s="61" t="str">
        <f aca="false">IF(B102="","",COUNTIFS('แผนงาน Schedule'!$C$7:$C$156,B102,'แผนงาน Schedule'!$D$7:$D$156,"&lt;&gt;"))</f>
        <v/>
      </c>
      <c r="D102" s="63" t="str">
        <f aca="false">IF(B102="","",SUMIF('แผนงาน Schedule'!$C$7:$C$156,B102,'แผนงาน Schedule'!$H$7:$H$156))</f>
        <v/>
      </c>
      <c r="E102" s="64" t="str">
        <f aca="false">IF(B102="","",SUMIF('แผนงาน Schedule'!$C$7:$C$156,B102,'แผนงาน Schedule'!$G$7:$G$156))</f>
        <v/>
      </c>
      <c r="F102" s="64" t="str">
        <f aca="false">IF(OR(B102="",N(E102)=0),"",SUMPRODUCT(('แผนงาน Schedule'!$C$7:$C$156=B102)*'แผนงาน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Schedule'!$I$7:$I$156+1)))/E102)</f>
        <v/>
      </c>
      <c r="G102" s="64" t="str">
        <f aca="false">IF(OR(B102="",N(E102)=0),"",SUMPRODUCT(('แผนงาน Schedule'!$C$7:$C$156=B102)*'แผนงาน Schedule'!$G$7:$G$156*'แผนงาน Schedule'!$P$7:$P$156)/E102)</f>
        <v/>
      </c>
      <c r="H102" s="66" t="str">
        <f aca="false">IF(F102="","",G102-F102)</f>
        <v/>
      </c>
      <c r="I102" s="67" t="str">
        <f aca="false">IF(OR(F102="",N(F102)=0),"",G102/F102)</f>
        <v/>
      </c>
      <c r="J102" s="64" t="str">
        <f aca="false">IF(B102="","",N(F102)*N(E102))</f>
        <v/>
      </c>
      <c r="K102" s="64" t="str">
        <f aca="false">IF(B102="","",N(G102)*N(E102))</f>
        <v/>
      </c>
    </row>
    <row r="103" customFormat="false" ht="15" hidden="false" customHeight="true" outlineLevel="0" collapsed="false">
      <c r="A103" s="61" t="str">
        <f aca="false">IF(B103="","",32)</f>
        <v/>
      </c>
      <c r="B103" s="62" t="str">
        <f aca="false">IF('ตั้งค่า Setup'!$C$99="","",'ตั้งค่า Setup'!$C$99)</f>
        <v/>
      </c>
      <c r="C103" s="61" t="str">
        <f aca="false">IF(B103="","",COUNTIFS('แผนงาน Schedule'!$C$7:$C$156,B103,'แผนงาน Schedule'!$D$7:$D$156,"&lt;&gt;"))</f>
        <v/>
      </c>
      <c r="D103" s="63" t="str">
        <f aca="false">IF(B103="","",SUMIF('แผนงาน Schedule'!$C$7:$C$156,B103,'แผนงาน Schedule'!$H$7:$H$156))</f>
        <v/>
      </c>
      <c r="E103" s="64" t="str">
        <f aca="false">IF(B103="","",SUMIF('แผนงาน Schedule'!$C$7:$C$156,B103,'แผนงาน Schedule'!$G$7:$G$156))</f>
        <v/>
      </c>
      <c r="F103" s="64" t="str">
        <f aca="false">IF(OR(B103="",N(E103)=0),"",SUMPRODUCT(('แผนงาน Schedule'!$C$7:$C$156=B103)*'แผนงาน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Schedule'!$I$7:$I$156+1)))/E103)</f>
        <v/>
      </c>
      <c r="G103" s="64" t="str">
        <f aca="false">IF(OR(B103="",N(E103)=0),"",SUMPRODUCT(('แผนงาน Schedule'!$C$7:$C$156=B103)*'แผนงาน Schedule'!$G$7:$G$156*'แผนงาน Schedule'!$P$7:$P$156)/E103)</f>
        <v/>
      </c>
      <c r="H103" s="66" t="str">
        <f aca="false">IF(F103="","",G103-F103)</f>
        <v/>
      </c>
      <c r="I103" s="67" t="str">
        <f aca="false">IF(OR(F103="",N(F103)=0),"",G103/F103)</f>
        <v/>
      </c>
      <c r="J103" s="64" t="str">
        <f aca="false">IF(B103="","",N(F103)*N(E103))</f>
        <v/>
      </c>
      <c r="K103" s="64" t="str">
        <f aca="false">IF(B103="","",N(G103)*N(E103))</f>
        <v/>
      </c>
    </row>
    <row r="104" customFormat="false" ht="15" hidden="false" customHeight="true" outlineLevel="0" collapsed="false">
      <c r="A104" s="61" t="str">
        <f aca="false">IF(B104="","",33)</f>
        <v/>
      </c>
      <c r="B104" s="62" t="str">
        <f aca="false">IF('ตั้งค่า Setup'!$C$100="","",'ตั้งค่า Setup'!$C$100)</f>
        <v/>
      </c>
      <c r="C104" s="61" t="str">
        <f aca="false">IF(B104="","",COUNTIFS('แผนงาน Schedule'!$C$7:$C$156,B104,'แผนงาน Schedule'!$D$7:$D$156,"&lt;&gt;"))</f>
        <v/>
      </c>
      <c r="D104" s="63" t="str">
        <f aca="false">IF(B104="","",SUMIF('แผนงาน Schedule'!$C$7:$C$156,B104,'แผนงาน Schedule'!$H$7:$H$156))</f>
        <v/>
      </c>
      <c r="E104" s="64" t="str">
        <f aca="false">IF(B104="","",SUMIF('แผนงาน Schedule'!$C$7:$C$156,B104,'แผนงาน Schedule'!$G$7:$G$156))</f>
        <v/>
      </c>
      <c r="F104" s="64" t="str">
        <f aca="false">IF(OR(B104="",N(E104)=0),"",SUMPRODUCT(('แผนงาน Schedule'!$C$7:$C$156=B104)*'แผนงาน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Schedule'!$I$7:$I$156+1)))/E104)</f>
        <v/>
      </c>
      <c r="G104" s="64" t="str">
        <f aca="false">IF(OR(B104="",N(E104)=0),"",SUMPRODUCT(('แผนงาน Schedule'!$C$7:$C$156=B104)*'แผนงาน Schedule'!$G$7:$G$156*'แผนงาน Schedule'!$P$7:$P$156)/E104)</f>
        <v/>
      </c>
      <c r="H104" s="66" t="str">
        <f aca="false">IF(F104="","",G104-F104)</f>
        <v/>
      </c>
      <c r="I104" s="67" t="str">
        <f aca="false">IF(OR(F104="",N(F104)=0),"",G104/F104)</f>
        <v/>
      </c>
      <c r="J104" s="64" t="str">
        <f aca="false">IF(B104="","",N(F104)*N(E104))</f>
        <v/>
      </c>
      <c r="K104" s="64" t="str">
        <f aca="false">IF(B104="","",N(G104)*N(E104))</f>
        <v/>
      </c>
    </row>
    <row r="105" customFormat="false" ht="15" hidden="false" customHeight="true" outlineLevel="0" collapsed="false">
      <c r="A105" s="61" t="str">
        <f aca="false">IF(B105="","",34)</f>
        <v/>
      </c>
      <c r="B105" s="62" t="str">
        <f aca="false">IF('ตั้งค่า Setup'!$C$101="","",'ตั้งค่า Setup'!$C$101)</f>
        <v/>
      </c>
      <c r="C105" s="61" t="str">
        <f aca="false">IF(B105="","",COUNTIFS('แผนงาน Schedule'!$C$7:$C$156,B105,'แผนงาน Schedule'!$D$7:$D$156,"&lt;&gt;"))</f>
        <v/>
      </c>
      <c r="D105" s="63" t="str">
        <f aca="false">IF(B105="","",SUMIF('แผนงาน Schedule'!$C$7:$C$156,B105,'แผนงาน Schedule'!$H$7:$H$156))</f>
        <v/>
      </c>
      <c r="E105" s="64" t="str">
        <f aca="false">IF(B105="","",SUMIF('แผนงาน Schedule'!$C$7:$C$156,B105,'แผนงาน Schedule'!$G$7:$G$156))</f>
        <v/>
      </c>
      <c r="F105" s="64" t="str">
        <f aca="false">IF(OR(B105="",N(E105)=0),"",SUMPRODUCT(('แผนงาน Schedule'!$C$7:$C$156=B105)*'แผนงาน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Schedule'!$I$7:$I$156+1)))/E105)</f>
        <v/>
      </c>
      <c r="G105" s="64" t="str">
        <f aca="false">IF(OR(B105="",N(E105)=0),"",SUMPRODUCT(('แผนงาน Schedule'!$C$7:$C$156=B105)*'แผนงาน Schedule'!$G$7:$G$156*'แผนงาน Schedule'!$P$7:$P$156)/E105)</f>
        <v/>
      </c>
      <c r="H105" s="66" t="str">
        <f aca="false">IF(F105="","",G105-F105)</f>
        <v/>
      </c>
      <c r="I105" s="67" t="str">
        <f aca="false">IF(OR(F105="",N(F105)=0),"",G105/F105)</f>
        <v/>
      </c>
      <c r="J105" s="64" t="str">
        <f aca="false">IF(B105="","",N(F105)*N(E105))</f>
        <v/>
      </c>
      <c r="K105" s="64" t="str">
        <f aca="false">IF(B105="","",N(G105)*N(E105))</f>
        <v/>
      </c>
    </row>
    <row r="106" customFormat="false" ht="15" hidden="false" customHeight="true" outlineLevel="0" collapsed="false">
      <c r="A106" s="61" t="str">
        <f aca="false">IF(B106="","",35)</f>
        <v/>
      </c>
      <c r="B106" s="62" t="str">
        <f aca="false">IF('ตั้งค่า Setup'!$C$102="","",'ตั้งค่า Setup'!$C$102)</f>
        <v/>
      </c>
      <c r="C106" s="61" t="str">
        <f aca="false">IF(B106="","",COUNTIFS('แผนงาน Schedule'!$C$7:$C$156,B106,'แผนงาน Schedule'!$D$7:$D$156,"&lt;&gt;"))</f>
        <v/>
      </c>
      <c r="D106" s="63" t="str">
        <f aca="false">IF(B106="","",SUMIF('แผนงาน Schedule'!$C$7:$C$156,B106,'แผนงาน Schedule'!$H$7:$H$156))</f>
        <v/>
      </c>
      <c r="E106" s="64" t="str">
        <f aca="false">IF(B106="","",SUMIF('แผนงาน Schedule'!$C$7:$C$156,B106,'แผนงาน Schedule'!$G$7:$G$156))</f>
        <v/>
      </c>
      <c r="F106" s="64" t="str">
        <f aca="false">IF(OR(B106="",N(E106)=0),"",SUMPRODUCT(('แผนงาน Schedule'!$C$7:$C$156=B106)*'แผนงาน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Schedule'!$I$7:$I$156+1)))/E106)</f>
        <v/>
      </c>
      <c r="G106" s="64" t="str">
        <f aca="false">IF(OR(B106="",N(E106)=0),"",SUMPRODUCT(('แผนงาน Schedule'!$C$7:$C$156=B106)*'แผนงาน Schedule'!$G$7:$G$156*'แผนงาน Schedule'!$P$7:$P$156)/E106)</f>
        <v/>
      </c>
      <c r="H106" s="66" t="str">
        <f aca="false">IF(F106="","",G106-F106)</f>
        <v/>
      </c>
      <c r="I106" s="67" t="str">
        <f aca="false">IF(OR(F106="",N(F106)=0),"",G106/F106)</f>
        <v/>
      </c>
      <c r="J106" s="64" t="str">
        <f aca="false">IF(B106="","",N(F106)*N(E106))</f>
        <v/>
      </c>
      <c r="K106" s="64" t="str">
        <f aca="false">IF(B106="","",N(G106)*N(E106))</f>
        <v/>
      </c>
    </row>
    <row r="107" customFormat="false" ht="15" hidden="false" customHeight="true" outlineLevel="0" collapsed="false">
      <c r="A107" s="61" t="str">
        <f aca="false">IF(B107="","",36)</f>
        <v/>
      </c>
      <c r="B107" s="62" t="str">
        <f aca="false">IF('ตั้งค่า Setup'!$C$103="","",'ตั้งค่า Setup'!$C$103)</f>
        <v/>
      </c>
      <c r="C107" s="61" t="str">
        <f aca="false">IF(B107="","",COUNTIFS('แผนงาน Schedule'!$C$7:$C$156,B107,'แผนงาน Schedule'!$D$7:$D$156,"&lt;&gt;"))</f>
        <v/>
      </c>
      <c r="D107" s="63" t="str">
        <f aca="false">IF(B107="","",SUMIF('แผนงาน Schedule'!$C$7:$C$156,B107,'แผนงาน Schedule'!$H$7:$H$156))</f>
        <v/>
      </c>
      <c r="E107" s="64" t="str">
        <f aca="false">IF(B107="","",SUMIF('แผนงาน Schedule'!$C$7:$C$156,B107,'แผนงาน Schedule'!$G$7:$G$156))</f>
        <v/>
      </c>
      <c r="F107" s="64" t="str">
        <f aca="false">IF(OR(B107="",N(E107)=0),"",SUMPRODUCT(('แผนงาน Schedule'!$C$7:$C$156=B107)*'แผนงาน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Schedule'!$I$7:$I$156+1)))/E107)</f>
        <v/>
      </c>
      <c r="G107" s="64" t="str">
        <f aca="false">IF(OR(B107="",N(E107)=0),"",SUMPRODUCT(('แผนงาน Schedule'!$C$7:$C$156=B107)*'แผนงาน Schedule'!$G$7:$G$156*'แผนงาน Schedule'!$P$7:$P$156)/E107)</f>
        <v/>
      </c>
      <c r="H107" s="66" t="str">
        <f aca="false">IF(F107="","",G107-F107)</f>
        <v/>
      </c>
      <c r="I107" s="67" t="str">
        <f aca="false">IF(OR(F107="",N(F107)=0),"",G107/F107)</f>
        <v/>
      </c>
      <c r="J107" s="64" t="str">
        <f aca="false">IF(B107="","",N(F107)*N(E107))</f>
        <v/>
      </c>
      <c r="K107" s="64" t="str">
        <f aca="false">IF(B107="","",N(G107)*N(E107))</f>
        <v/>
      </c>
    </row>
    <row r="108" customFormat="false" ht="15" hidden="false" customHeight="true" outlineLevel="0" collapsed="false">
      <c r="A108" s="61" t="str">
        <f aca="false">IF(B108="","",37)</f>
        <v/>
      </c>
      <c r="B108" s="62" t="str">
        <f aca="false">IF('ตั้งค่า Setup'!$C$104="","",'ตั้งค่า Setup'!$C$104)</f>
        <v/>
      </c>
      <c r="C108" s="61" t="str">
        <f aca="false">IF(B108="","",COUNTIFS('แผนงาน Schedule'!$C$7:$C$156,B108,'แผนงาน Schedule'!$D$7:$D$156,"&lt;&gt;"))</f>
        <v/>
      </c>
      <c r="D108" s="63" t="str">
        <f aca="false">IF(B108="","",SUMIF('แผนงาน Schedule'!$C$7:$C$156,B108,'แผนงาน Schedule'!$H$7:$H$156))</f>
        <v/>
      </c>
      <c r="E108" s="64" t="str">
        <f aca="false">IF(B108="","",SUMIF('แผนงาน Schedule'!$C$7:$C$156,B108,'แผนงาน Schedule'!$G$7:$G$156))</f>
        <v/>
      </c>
      <c r="F108" s="64" t="str">
        <f aca="false">IF(OR(B108="",N(E108)=0),"",SUMPRODUCT(('แผนงาน Schedule'!$C$7:$C$156=B108)*'แผนงาน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Schedule'!$I$7:$I$156+1)))/E108)</f>
        <v/>
      </c>
      <c r="G108" s="64" t="str">
        <f aca="false">IF(OR(B108="",N(E108)=0),"",SUMPRODUCT(('แผนงาน Schedule'!$C$7:$C$156=B108)*'แผนงาน Schedule'!$G$7:$G$156*'แผนงาน Schedule'!$P$7:$P$156)/E108)</f>
        <v/>
      </c>
      <c r="H108" s="66" t="str">
        <f aca="false">IF(F108="","",G108-F108)</f>
        <v/>
      </c>
      <c r="I108" s="67" t="str">
        <f aca="false">IF(OR(F108="",N(F108)=0),"",G108/F108)</f>
        <v/>
      </c>
      <c r="J108" s="64" t="str">
        <f aca="false">IF(B108="","",N(F108)*N(E108))</f>
        <v/>
      </c>
      <c r="K108" s="64" t="str">
        <f aca="false">IF(B108="","",N(G108)*N(E108))</f>
        <v/>
      </c>
    </row>
    <row r="109" customFormat="false" ht="15" hidden="false" customHeight="true" outlineLevel="0" collapsed="false">
      <c r="A109" s="61" t="str">
        <f aca="false">IF(B109="","",38)</f>
        <v/>
      </c>
      <c r="B109" s="62" t="str">
        <f aca="false">IF('ตั้งค่า Setup'!$C$105="","",'ตั้งค่า Setup'!$C$105)</f>
        <v/>
      </c>
      <c r="C109" s="61" t="str">
        <f aca="false">IF(B109="","",COUNTIFS('แผนงาน Schedule'!$C$7:$C$156,B109,'แผนงาน Schedule'!$D$7:$D$156,"&lt;&gt;"))</f>
        <v/>
      </c>
      <c r="D109" s="63" t="str">
        <f aca="false">IF(B109="","",SUMIF('แผนงาน Schedule'!$C$7:$C$156,B109,'แผนงาน Schedule'!$H$7:$H$156))</f>
        <v/>
      </c>
      <c r="E109" s="64" t="str">
        <f aca="false">IF(B109="","",SUMIF('แผนงาน Schedule'!$C$7:$C$156,B109,'แผนงาน Schedule'!$G$7:$G$156))</f>
        <v/>
      </c>
      <c r="F109" s="64" t="str">
        <f aca="false">IF(OR(B109="",N(E109)=0),"",SUMPRODUCT(('แผนงาน Schedule'!$C$7:$C$156=B109)*'แผนงาน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Schedule'!$I$7:$I$156+1)))/E109)</f>
        <v/>
      </c>
      <c r="G109" s="64" t="str">
        <f aca="false">IF(OR(B109="",N(E109)=0),"",SUMPRODUCT(('แผนงาน Schedule'!$C$7:$C$156=B109)*'แผนงาน Schedule'!$G$7:$G$156*'แผนงาน Schedule'!$P$7:$P$156)/E109)</f>
        <v/>
      </c>
      <c r="H109" s="66" t="str">
        <f aca="false">IF(F109="","",G109-F109)</f>
        <v/>
      </c>
      <c r="I109" s="67" t="str">
        <f aca="false">IF(OR(F109="",N(F109)=0),"",G109/F109)</f>
        <v/>
      </c>
      <c r="J109" s="64" t="str">
        <f aca="false">IF(B109="","",N(F109)*N(E109))</f>
        <v/>
      </c>
      <c r="K109" s="64" t="str">
        <f aca="false">IF(B109="","",N(G109)*N(E109))</f>
        <v/>
      </c>
    </row>
    <row r="110" customFormat="false" ht="15" hidden="false" customHeight="true" outlineLevel="0" collapsed="false">
      <c r="A110" s="61" t="str">
        <f aca="false">IF(B110="","",39)</f>
        <v/>
      </c>
      <c r="B110" s="62" t="str">
        <f aca="false">IF('ตั้งค่า Setup'!$C$106="","",'ตั้งค่า Setup'!$C$106)</f>
        <v/>
      </c>
      <c r="C110" s="61" t="str">
        <f aca="false">IF(B110="","",COUNTIFS('แผนงาน Schedule'!$C$7:$C$156,B110,'แผนงาน Schedule'!$D$7:$D$156,"&lt;&gt;"))</f>
        <v/>
      </c>
      <c r="D110" s="63" t="str">
        <f aca="false">IF(B110="","",SUMIF('แผนงาน Schedule'!$C$7:$C$156,B110,'แผนงาน Schedule'!$H$7:$H$156))</f>
        <v/>
      </c>
      <c r="E110" s="64" t="str">
        <f aca="false">IF(B110="","",SUMIF('แผนงาน Schedule'!$C$7:$C$156,B110,'แผนงาน Schedule'!$G$7:$G$156))</f>
        <v/>
      </c>
      <c r="F110" s="64" t="str">
        <f aca="false">IF(OR(B110="",N(E110)=0),"",SUMPRODUCT(('แผนงาน Schedule'!$C$7:$C$156=B110)*'แผนงาน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Schedule'!$I$7:$I$156+1)))/E110)</f>
        <v/>
      </c>
      <c r="G110" s="64" t="str">
        <f aca="false">IF(OR(B110="",N(E110)=0),"",SUMPRODUCT(('แผนงาน Schedule'!$C$7:$C$156=B110)*'แผนงาน Schedule'!$G$7:$G$156*'แผนงาน Schedule'!$P$7:$P$156)/E110)</f>
        <v/>
      </c>
      <c r="H110" s="66" t="str">
        <f aca="false">IF(F110="","",G110-F110)</f>
        <v/>
      </c>
      <c r="I110" s="67" t="str">
        <f aca="false">IF(OR(F110="",N(F110)=0),"",G110/F110)</f>
        <v/>
      </c>
      <c r="J110" s="64" t="str">
        <f aca="false">IF(B110="","",N(F110)*N(E110))</f>
        <v/>
      </c>
      <c r="K110" s="64" t="str">
        <f aca="false">IF(B110="","",N(G110)*N(E110))</f>
        <v/>
      </c>
    </row>
    <row r="111" customFormat="false" ht="15" hidden="false" customHeight="false" outlineLevel="0" collapsed="false">
      <c r="A111" s="61" t="str">
        <f aca="false">IF(B111="","",40)</f>
        <v/>
      </c>
      <c r="B111" s="62" t="str">
        <f aca="false">IF('ตั้งค่า Setup'!$C$107="","",'ตั้งค่า Setup'!$C$107)</f>
        <v/>
      </c>
      <c r="C111" s="61" t="str">
        <f aca="false">IF(B111="","",COUNTIFS('แผนงาน Schedule'!$C$7:$C$156,B111,'แผนงาน Schedule'!$D$7:$D$156,"&lt;&gt;"))</f>
        <v/>
      </c>
      <c r="D111" s="63" t="str">
        <f aca="false">IF(B111="","",SUMIF('แผนงาน Schedule'!$C$7:$C$156,B111,'แผนงาน Schedule'!$H$7:$H$156))</f>
        <v/>
      </c>
      <c r="E111" s="64" t="str">
        <f aca="false">IF(B111="","",SUMIF('แผนงาน Schedule'!$C$7:$C$156,B111,'แผนงาน Schedule'!$G$7:$G$156))</f>
        <v/>
      </c>
      <c r="F111" s="64" t="str">
        <f aca="false">IF(OR(B111="",N(E111)=0),"",SUMPRODUCT(('แผนงาน Schedule'!$C$7:$C$156=B111)*'แผนงาน Schedule'!$G$7:$G$156*(('แผนงาน Schedule'!$J$7:$J$156&lt;=Dashboard!$C$7)+('แผนงาน Schedule'!$I$7:$I$156&lt;=Dashboard!$C$7)*('แผนงาน Schedule'!$J$7:$J$156&gt;Dashboard!$C$7)*(Dashboard!$C$7-'แผนงาน Schedule'!$I$7:$I$156+1)/('แผนงาน Schedule'!$J$7:$J$156-'แผนงาน Schedule'!$I$7:$I$156+1)))/E111)</f>
        <v/>
      </c>
      <c r="G111" s="64" t="str">
        <f aca="false">IF(OR(B111="",N(E111)=0),"",SUMPRODUCT(('แผนงาน Schedule'!$C$7:$C$156=B111)*'แผนงาน Schedule'!$G$7:$G$156*'แผนงาน Schedule'!$P$7:$P$156)/E111)</f>
        <v/>
      </c>
      <c r="H111" s="66" t="str">
        <f aca="false">IF(F111="","",G111-F111)</f>
        <v/>
      </c>
      <c r="I111" s="67" t="str">
        <f aca="false">IF(OR(F111="",N(F111)=0),"",G111/F111)</f>
        <v/>
      </c>
      <c r="J111" s="64" t="str">
        <f aca="false">IF(B111="","",N(F111)*N(E111))</f>
        <v/>
      </c>
      <c r="K111" s="64" t="str">
        <f aca="false">IF(B111="","",N(G111)*N(E111))</f>
        <v/>
      </c>
    </row>
    <row r="112" customFormat="false" ht="15" hidden="false" customHeight="false" outlineLevel="0" collapsed="false">
      <c r="A112" s="71"/>
      <c r="B112" s="72" t="s">
        <v>416</v>
      </c>
      <c r="C112" s="73" t="n">
        <f aca="false">SUM(C72:C111)</f>
        <v>21</v>
      </c>
      <c r="D112" s="74" t="n">
        <f aca="false">SUM(D72:D111)</f>
        <v>24200000</v>
      </c>
      <c r="E112" s="75" t="n">
        <f aca="false">SUM(E72:E111)</f>
        <v>1</v>
      </c>
      <c r="F112" s="71"/>
      <c r="G112" s="71"/>
      <c r="H112" s="71"/>
      <c r="I112" s="71"/>
      <c r="J112" s="75" t="n">
        <f aca="false">SUM(J72:J111)</f>
        <v>0.253650514082705</v>
      </c>
      <c r="K112" s="75" t="n">
        <f aca="false">SUM(K72:K111)</f>
        <v>0.187809917355372</v>
      </c>
    </row>
  </sheetData>
  <sheetProtection sheet="true" formatCells="false" formatColumns="false" formatRows="false"/>
  <mergeCells count="2">
    <mergeCell ref="A5:R5"/>
    <mergeCell ref="A70:K70"/>
  </mergeCells>
  <conditionalFormatting sqref="P7:P47">
    <cfRule type="expression" priority="2" aboveAverage="0" equalAverage="0" bottom="0" percent="0" rank="0" text="" dxfId="5">
      <formula>OR(ISNUMBER(SEARCH("ล่าช้า",P7)))</formula>
    </cfRule>
    <cfRule type="expression" priority="3" aboveAverage="0" equalAverage="0" bottom="0" percent="0" rank="0" text="" dxfId="1">
      <formula>ISNUMBER(SEARCH("เฝ้าระวัง",P7))</formula>
    </cfRule>
    <cfRule type="expression" priority="4" aboveAverage="0" equalAverage="0" bottom="0" percent="0" rank="0" text="" dxfId="2">
      <formula>OR(ISNUMBER(SEARCH("ตามแผน",P7)),ISNUMBER(SEARCH("แล้วเสร็จ",P7)))</formula>
    </cfRule>
  </conditionalFormatting>
  <conditionalFormatting sqref="L7:L47">
    <cfRule type="expression" priority="5" aboveAverage="0" equalAverage="0" bottom="0" percent="0" rank="0" text="" dxfId="4">
      <formula>AND(ISNUMBER(L7),L7&lt;0.9)</formula>
    </cfRule>
  </conditionalFormatting>
  <conditionalFormatting sqref="CV46 U7:CV45 U46:CU46">
    <cfRule type="expression" priority="6" aboveAverage="0" equalAverage="0" bottom="0" percent="0" rank="0" text="" dxfId="6">
      <formula>AND(AND($F7&lt;&gt;"",$G7&lt;&gt;"",U$6&lt;&gt;"",$F7&lt;=U$6,$G7&gt;=U$5),AND($H7&lt;&gt;"",U$6&lt;&gt;"",$H7&lt;=U$6,$S7&gt;=U$5))</formula>
    </cfRule>
    <cfRule type="expression" priority="7" aboveAverage="0" equalAverage="0" bottom="0" percent="0" rank="0" text="" dxfId="7">
      <formula>AND($H7&lt;&gt;"",U$6&lt;&gt;"",$H7&lt;=U$6,$S7&gt;=U$5)</formula>
    </cfRule>
    <cfRule type="expression" priority="8" aboveAverage="0" equalAverage="0" bottom="0" percent="0" rank="0" text="" dxfId="8">
      <formula>AND($F7&lt;&gt;"",$G7&lt;&gt;"",U$6&lt;&gt;"",$F7&lt;=U$6,$G7&gt;=U$5)</formula>
    </cfRule>
  </conditionalFormatting>
  <conditionalFormatting sqref="U6:CV6">
    <cfRule type="expression" priority="9" aboveAverage="0" equalAverage="0" bottom="0" percent="0" rank="0" text="" dxfId="9">
      <formula>AND(U$6&lt;&gt;"",U$5&lt;='ตั้งค่า Setup'!$C$15,U$6&gt;='ตั้งค่า Setup'!$C$15)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"/>
    <col collapsed="false" customWidth="true" hidden="false" outlineLevel="0" max="3" min="3" style="1" width="38"/>
    <col collapsed="false" customWidth="true" hidden="false" outlineLevel="0" max="4" min="4" style="1" width="22"/>
    <col collapsed="false" customWidth="true" hidden="false" outlineLevel="0" max="8" min="5" style="1" width="12"/>
    <col collapsed="false" customWidth="true" hidden="false" outlineLevel="0" max="9" min="9" style="1" width="14"/>
    <col collapsed="false" customWidth="true" hidden="false" outlineLevel="0" max="10" min="10" style="1" width="18"/>
    <col collapsed="false" customWidth="true" hidden="false" outlineLevel="0" max="11" min="11" style="1" width="2"/>
    <col collapsed="false" customWidth="true" hidden="true" outlineLevel="0" max="12" min="12" style="1" width="13"/>
  </cols>
  <sheetData>
    <row r="1" customFormat="false" ht="30" hidden="false" customHeight="true" outlineLevel="0" collapsed="false">
      <c r="B1" s="82" t="s">
        <v>417</v>
      </c>
      <c r="C1" s="82"/>
      <c r="D1" s="82"/>
      <c r="E1" s="82"/>
      <c r="F1" s="82"/>
      <c r="G1" s="82"/>
      <c r="H1" s="82"/>
      <c r="I1" s="82"/>
      <c r="J1" s="82"/>
    </row>
    <row r="2" customFormat="false" ht="15" hidden="false" customHeight="false" outlineLevel="0" collapsed="false">
      <c r="B2" s="83" t="s">
        <v>418</v>
      </c>
      <c r="C2" s="83"/>
      <c r="D2" s="84" t="str">
        <f aca="false">'ตั้งค่า Setup'!C4&amp;IF('ตั้งค่า Setup'!C5&lt;&gt;""," ("&amp;'ตั้งค่า Setup'!C5&amp;")","")</f>
        <v>โครงการตัวอย่าง: ก่อสร้างอาคารพร้อมงานภายนอก (Example: Building &amp; External Works)</v>
      </c>
      <c r="E2" s="84"/>
      <c r="F2" s="84"/>
      <c r="G2" s="83" t="s">
        <v>419</v>
      </c>
      <c r="H2" s="83"/>
      <c r="I2" s="85" t="n">
        <f aca="false">'ตั้งค่า Setup'!C21</f>
        <v>1</v>
      </c>
      <c r="J2" s="85"/>
    </row>
    <row r="3" customFormat="false" ht="15" hidden="false" customHeight="false" outlineLevel="0" collapsed="false">
      <c r="B3" s="83" t="s">
        <v>420</v>
      </c>
      <c r="C3" s="83"/>
      <c r="D3" s="84" t="str">
        <f aca="false">'ตั้งค่า Setup'!C6&amp;""</f>
        <v/>
      </c>
      <c r="E3" s="84"/>
      <c r="F3" s="84"/>
      <c r="G3" s="83" t="s">
        <v>421</v>
      </c>
      <c r="H3" s="83"/>
      <c r="I3" s="86" t="n">
        <f aca="false">'ตั้งค่า Setup'!$C$15</f>
        <v>46293</v>
      </c>
      <c r="J3" s="86"/>
    </row>
    <row r="4" customFormat="false" ht="15" hidden="false" customHeight="false" outlineLevel="0" collapsed="false">
      <c r="B4" s="83" t="s">
        <v>422</v>
      </c>
      <c r="C4" s="83"/>
      <c r="D4" s="84" t="str">
        <f aca="false">'ตั้งค่า Setup'!C7&amp;""</f>
        <v/>
      </c>
      <c r="E4" s="84"/>
      <c r="F4" s="84"/>
      <c r="G4" s="83" t="s">
        <v>423</v>
      </c>
      <c r="H4" s="83"/>
      <c r="I4" s="87" t="str">
        <f aca="false">'ตั้งค่า Setup'!C8&amp;""</f>
        <v/>
      </c>
      <c r="J4" s="87"/>
    </row>
    <row r="6" customFormat="false" ht="19.5" hidden="false" customHeight="true" outlineLevel="0" collapsed="false">
      <c r="B6" s="88" t="s">
        <v>424</v>
      </c>
      <c r="C6" s="88"/>
      <c r="D6" s="88"/>
      <c r="E6" s="88"/>
      <c r="F6" s="88"/>
      <c r="G6" s="88"/>
      <c r="H6" s="88"/>
      <c r="I6" s="88"/>
      <c r="J6" s="88"/>
    </row>
    <row r="7" customFormat="false" ht="15" hidden="false" customHeight="false" outlineLevel="0" collapsed="false">
      <c r="B7" s="89" t="s">
        <v>425</v>
      </c>
      <c r="C7" s="89"/>
      <c r="D7" s="90" t="n">
        <f aca="false">Dashboard!C14</f>
        <v>0.38961038961039</v>
      </c>
    </row>
    <row r="8" customFormat="false" ht="15" hidden="false" customHeight="false" outlineLevel="0" collapsed="false">
      <c r="B8" s="89" t="s">
        <v>426</v>
      </c>
      <c r="C8" s="89"/>
      <c r="D8" s="90" t="n">
        <f aca="false">Dashboard!C16</f>
        <v>0.253650514082705</v>
      </c>
    </row>
    <row r="9" customFormat="false" ht="15" hidden="false" customHeight="false" outlineLevel="0" collapsed="false">
      <c r="B9" s="89" t="s">
        <v>427</v>
      </c>
      <c r="C9" s="89"/>
      <c r="D9" s="90" t="n">
        <f aca="false">Dashboard!C17</f>
        <v>0.253650514082705</v>
      </c>
    </row>
    <row r="10" customFormat="false" ht="15" hidden="false" customHeight="false" outlineLevel="0" collapsed="false">
      <c r="B10" s="89" t="s">
        <v>428</v>
      </c>
      <c r="C10" s="89"/>
      <c r="D10" s="90" t="n">
        <f aca="false">Dashboard!C19</f>
        <v>0.187809917355372</v>
      </c>
    </row>
    <row r="11" customFormat="false" ht="15" hidden="false" customHeight="false" outlineLevel="0" collapsed="false">
      <c r="B11" s="89" t="s">
        <v>429</v>
      </c>
      <c r="C11" s="89"/>
      <c r="D11" s="91" t="n">
        <f aca="false">Dashboard!C20</f>
        <v>-0.065840596727333</v>
      </c>
    </row>
    <row r="12" customFormat="false" ht="15" hidden="false" customHeight="false" outlineLevel="0" collapsed="false">
      <c r="B12" s="92" t="s">
        <v>430</v>
      </c>
      <c r="C12" s="92"/>
      <c r="D12" s="93" t="str">
        <f aca="false">TEXT(Dashboard!C22,"0.00")&amp;"  |  "&amp;TEXT(Dashboard!C26,"0.00")</f>
        <v>0.74  |  0.85</v>
      </c>
    </row>
    <row r="13" customFormat="false" ht="15" hidden="false" customHeight="false" outlineLevel="0" collapsed="false">
      <c r="B13" s="89" t="s">
        <v>431</v>
      </c>
      <c r="C13" s="89"/>
      <c r="D13" s="94" t="n">
        <f aca="false">Dashboard!C25</f>
        <v>-18.3769957983168</v>
      </c>
    </row>
    <row r="14" customFormat="false" ht="15" hidden="false" customHeight="false" outlineLevel="0" collapsed="false">
      <c r="B14" s="89" t="s">
        <v>432</v>
      </c>
      <c r="C14" s="89"/>
      <c r="D14" s="95" t="n">
        <f aca="false">Dashboard!C27</f>
        <v>46473</v>
      </c>
    </row>
    <row r="15" customFormat="false" ht="15" hidden="false" customHeight="false" outlineLevel="0" collapsed="false">
      <c r="B15" s="89" t="s">
        <v>433</v>
      </c>
      <c r="C15" s="89"/>
      <c r="D15" s="96" t="n">
        <f aca="false">Dashboard!C28</f>
        <v>0</v>
      </c>
    </row>
    <row r="16" customFormat="false" ht="15" hidden="false" customHeight="false" outlineLevel="0" collapsed="false">
      <c r="B16" s="89" t="s">
        <v>434</v>
      </c>
      <c r="C16" s="89"/>
      <c r="D16" s="97" t="n">
        <f aca="false">Dashboard!C55</f>
        <v>0</v>
      </c>
    </row>
    <row r="17" customFormat="false" ht="15" hidden="false" customHeight="false" outlineLevel="0" collapsed="false">
      <c r="B17" s="92" t="s">
        <v>435</v>
      </c>
      <c r="C17" s="92"/>
      <c r="D17" s="98" t="n">
        <f aca="false">Dashboard!C41</f>
        <v>0.98062483818072</v>
      </c>
    </row>
    <row r="18" customFormat="false" ht="15" hidden="false" customHeight="false" outlineLevel="0" collapsed="false">
      <c r="B18" s="89" t="s">
        <v>436</v>
      </c>
      <c r="C18" s="89"/>
      <c r="D18" s="93" t="str">
        <f aca="false">Dashboard!C32</f>
        <v>ล่าช้ามาก / Critical Delay</v>
      </c>
    </row>
    <row r="19" customFormat="false" ht="15" hidden="false" customHeight="false" outlineLevel="0" collapsed="false">
      <c r="B19" s="89" t="s">
        <v>437</v>
      </c>
      <c r="C19" s="89"/>
      <c r="D19" s="95" t="n">
        <f aca="false">Dashboard!C7</f>
        <v>46293</v>
      </c>
    </row>
    <row r="21" customFormat="false" ht="19.5" hidden="false" customHeight="true" outlineLevel="0" collapsed="false">
      <c r="B21" s="88" t="s">
        <v>438</v>
      </c>
      <c r="C21" s="88"/>
      <c r="D21" s="88"/>
      <c r="E21" s="88"/>
      <c r="F21" s="88"/>
      <c r="G21" s="88"/>
      <c r="H21" s="88"/>
      <c r="I21" s="88"/>
      <c r="J21" s="88"/>
    </row>
    <row r="22" customFormat="false" ht="30" hidden="false" customHeight="true" outlineLevel="0" collapsed="false">
      <c r="B22" s="59" t="s">
        <v>394</v>
      </c>
      <c r="C22" s="18" t="s">
        <v>395</v>
      </c>
      <c r="D22" s="18" t="s">
        <v>398</v>
      </c>
      <c r="E22" s="59" t="s">
        <v>402</v>
      </c>
      <c r="F22" s="59" t="s">
        <v>403</v>
      </c>
      <c r="G22" s="18" t="s">
        <v>404</v>
      </c>
      <c r="H22" s="59" t="s">
        <v>101</v>
      </c>
      <c r="I22" s="18" t="s">
        <v>405</v>
      </c>
      <c r="J22" s="18" t="s">
        <v>439</v>
      </c>
    </row>
    <row r="23" customFormat="false" ht="15" hidden="false" customHeight="false" outlineLevel="0" collapsed="false">
      <c r="B23" s="61" t="str">
        <f aca="false">'สรุปงานส่วน Summary'!A7&amp;""</f>
        <v>1</v>
      </c>
      <c r="C23" s="62" t="str">
        <f aca="false">'สรุปงานส่วน Summary'!B7&amp;""</f>
        <v>งานถมดินและปรับพื้นที่ / Earth Filling &amp; Site Prep</v>
      </c>
      <c r="D23" s="64" t="n">
        <f aca="false">'สรุปงานส่วน Summary'!E7</f>
        <v>0.12603305785124</v>
      </c>
      <c r="E23" s="64" t="n">
        <f aca="false">'สรุปงานส่วน Summary'!I7</f>
        <v>1</v>
      </c>
      <c r="F23" s="64" t="n">
        <f aca="false">'สรุปงานส่วน Summary'!J7</f>
        <v>0.980327868852459</v>
      </c>
      <c r="G23" s="66" t="n">
        <f aca="false">'สรุปงานส่วน Summary'!K7</f>
        <v>-0.019672131147541</v>
      </c>
      <c r="H23" s="67" t="n">
        <f aca="false">'สรุปงานส่วน Summary'!L7</f>
        <v>0.980327868852459</v>
      </c>
      <c r="I23" s="65" t="n">
        <f aca="false">'สรุปงานส่วน Summary'!M7</f>
        <v>46301</v>
      </c>
      <c r="J23" s="99" t="str">
        <f aca="false">'สรุปงานส่วน Summary'!P7&amp;""</f>
        <v>เฝ้าระวัง / At Risk</v>
      </c>
    </row>
    <row r="24" customFormat="false" ht="15" hidden="false" customHeight="false" outlineLevel="0" collapsed="false">
      <c r="B24" s="61" t="str">
        <f aca="false">'สรุปงานส่วน Summary'!A8&amp;""</f>
        <v>2</v>
      </c>
      <c r="C24" s="62" t="str">
        <f aca="false">'สรุปงานส่วน Summary'!B8&amp;""</f>
        <v>งานก่อสร้างอาคาร / Building</v>
      </c>
      <c r="D24" s="64" t="n">
        <f aca="false">'สรุปงานส่วน Summary'!E8</f>
        <v>0.545454545454546</v>
      </c>
      <c r="E24" s="64" t="n">
        <f aca="false">'สรุปงานส่วน Summary'!I8</f>
        <v>0.0848484848484848</v>
      </c>
      <c r="F24" s="64" t="n">
        <f aca="false">'สรุปงานส่วน Summary'!J8</f>
        <v>0.0477272727272727</v>
      </c>
      <c r="G24" s="66" t="n">
        <f aca="false">'สรุปงานส่วน Summary'!K8</f>
        <v>-0.0371212121212121</v>
      </c>
      <c r="H24" s="67" t="n">
        <f aca="false">'สรุปงานส่วน Summary'!L8</f>
        <v>0.5625</v>
      </c>
      <c r="I24" s="65" t="n">
        <f aca="false">'สรุปงานส่วน Summary'!M8</f>
        <v>46473</v>
      </c>
      <c r="J24" s="99" t="str">
        <f aca="false">'สรุปงานส่วน Summary'!P8&amp;""</f>
        <v>ล่าช้า / Behind</v>
      </c>
    </row>
    <row r="25" customFormat="false" ht="15" hidden="false" customHeight="false" outlineLevel="0" collapsed="false">
      <c r="B25" s="61" t="str">
        <f aca="false">'สรุปงานส่วน Summary'!A9&amp;""</f>
        <v>3</v>
      </c>
      <c r="C25" s="62" t="str">
        <f aca="false">'สรุปงานส่วน Summary'!B9&amp;""</f>
        <v>งานรางระบายน้ำ / Drainage</v>
      </c>
      <c r="D25" s="64" t="n">
        <f aca="false">'สรุปงานส่วน Summary'!E9</f>
        <v>0.0785123966942149</v>
      </c>
      <c r="E25" s="64" t="n">
        <f aca="false">'สรุปงานส่วน Summary'!I9</f>
        <v>0.806729939603106</v>
      </c>
      <c r="F25" s="64" t="n">
        <f aca="false">'สรุปงานส่วน Summary'!J9</f>
        <v>0.376315789473684</v>
      </c>
      <c r="G25" s="66" t="n">
        <f aca="false">'สรุปงานส่วน Summary'!K9</f>
        <v>-0.430414150129422</v>
      </c>
      <c r="H25" s="67" t="n">
        <f aca="false">'สรุปงานส่วน Summary'!L9</f>
        <v>0.466470588235294</v>
      </c>
      <c r="I25" s="65" t="n">
        <f aca="false">'สรุปงานส่วน Summary'!M9</f>
        <v>46353</v>
      </c>
      <c r="J25" s="99" t="str">
        <f aca="false">'สรุปงานส่วน Summary'!P9&amp;""</f>
        <v>ล่าช้า / Behind</v>
      </c>
    </row>
    <row r="26" customFormat="false" ht="15" hidden="false" customHeight="false" outlineLevel="0" collapsed="false">
      <c r="B26" s="61" t="str">
        <f aca="false">'สรุปงานส่วน Summary'!A10&amp;""</f>
        <v>4</v>
      </c>
      <c r="C26" s="62" t="str">
        <f aca="false">'สรุปงานส่วน Summary'!B10&amp;""</f>
        <v>งานถนนและลาน / Roads &amp; Hardscape</v>
      </c>
      <c r="D26" s="64" t="n">
        <f aca="false">'สรุปงานส่วน Summary'!E10</f>
        <v>0.134297520661157</v>
      </c>
      <c r="E26" s="64" t="n">
        <f aca="false">'สรุปงานส่วน Summary'!I10</f>
        <v>0</v>
      </c>
      <c r="F26" s="64" t="n">
        <f aca="false">'สรุปงานส่วน Summary'!J10</f>
        <v>0</v>
      </c>
      <c r="G26" s="66" t="n">
        <f aca="false">'สรุปงานส่วน Summary'!K10</f>
        <v>0</v>
      </c>
      <c r="H26" s="67" t="str">
        <f aca="false">'สรุปงานส่วน Summary'!L10</f>
        <v/>
      </c>
      <c r="I26" s="65" t="n">
        <f aca="false">'สรุปงานส่วน Summary'!M10</f>
        <v>46418</v>
      </c>
      <c r="J26" s="99" t="str">
        <f aca="false">'สรุปงานส่วน Summary'!P10&amp;""</f>
        <v>ยังไม่เริ่ม / Not Started</v>
      </c>
    </row>
    <row r="27" customFormat="false" ht="15" hidden="false" customHeight="false" outlineLevel="0" collapsed="false">
      <c r="B27" s="61" t="str">
        <f aca="false">'สรุปงานส่วน Summary'!A11&amp;""</f>
        <v>5</v>
      </c>
      <c r="C27" s="62" t="str">
        <f aca="false">'สรุปงานส่วน Summary'!B11&amp;""</f>
        <v>งานรั้ว / Fence</v>
      </c>
      <c r="D27" s="64" t="n">
        <f aca="false">'สรุปงานส่วน Summary'!E11</f>
        <v>0.0661157024793388</v>
      </c>
      <c r="E27" s="64" t="n">
        <f aca="false">'สรุปงานส่วน Summary'!I11</f>
        <v>0.272222222222222</v>
      </c>
      <c r="F27" s="64" t="n">
        <f aca="false">'สรุปงานส่วน Summary'!J11</f>
        <v>0.13125</v>
      </c>
      <c r="G27" s="66" t="n">
        <f aca="false">'สรุปงานส่วน Summary'!K11</f>
        <v>-0.140972222222222</v>
      </c>
      <c r="H27" s="67" t="n">
        <f aca="false">'สรุปงานส่วน Summary'!L11</f>
        <v>0.482142857142857</v>
      </c>
      <c r="I27" s="65" t="n">
        <f aca="false">'สรุปงานส่วน Summary'!M11</f>
        <v>46371</v>
      </c>
      <c r="J27" s="99" t="str">
        <f aca="false">'สรุปงานส่วน Summary'!P11&amp;""</f>
        <v>ล่าช้า / Behind</v>
      </c>
    </row>
    <row r="28" customFormat="false" ht="15" hidden="false" customHeight="false" outlineLevel="0" collapsed="false">
      <c r="B28" s="61" t="str">
        <f aca="false">'สรุปงานส่วน Summary'!A12&amp;""</f>
        <v>6</v>
      </c>
      <c r="C28" s="62" t="str">
        <f aca="false">'สรุปงานส่วน Summary'!B12&amp;""</f>
        <v>งานโรงจอดรถ / Carport</v>
      </c>
      <c r="D28" s="64" t="n">
        <f aca="false">'สรุปงานส่วน Summary'!E12</f>
        <v>0.0495867768595042</v>
      </c>
      <c r="E28" s="64" t="n">
        <f aca="false">'สรุปงานส่วน Summary'!I12</f>
        <v>0</v>
      </c>
      <c r="F28" s="64" t="n">
        <f aca="false">'สรุปงานส่วน Summary'!J12</f>
        <v>0</v>
      </c>
      <c r="G28" s="66" t="n">
        <f aca="false">'สรุปงานส่วน Summary'!K12</f>
        <v>0</v>
      </c>
      <c r="H28" s="67" t="str">
        <f aca="false">'สรุปงานส่วน Summary'!L12</f>
        <v/>
      </c>
      <c r="I28" s="65" t="n">
        <f aca="false">'สรุปงานส่วน Summary'!M12</f>
        <v>46456</v>
      </c>
      <c r="J28" s="99" t="str">
        <f aca="false">'สรุปงานส่วน Summary'!P12&amp;""</f>
        <v>ยังไม่เริ่ม / Not Started</v>
      </c>
    </row>
    <row r="29" customFormat="false" ht="15" hidden="false" customHeight="false" outlineLevel="0" collapsed="false">
      <c r="B29" s="61" t="str">
        <f aca="false">'สรุปงานส่วน Summary'!A13&amp;""</f>
        <v/>
      </c>
      <c r="C29" s="62" t="str">
        <f aca="false">'สรุปงานส่วน Summary'!B13&amp;""</f>
        <v/>
      </c>
      <c r="D29" s="64" t="str">
        <f aca="false">'สรุปงานส่วน Summary'!E13</f>
        <v/>
      </c>
      <c r="E29" s="64" t="str">
        <f aca="false">'สรุปงานส่วน Summary'!I13</f>
        <v/>
      </c>
      <c r="F29" s="64" t="str">
        <f aca="false">'สรุปงานส่วน Summary'!J13</f>
        <v/>
      </c>
      <c r="G29" s="66" t="str">
        <f aca="false">'สรุปงานส่วน Summary'!K13</f>
        <v/>
      </c>
      <c r="H29" s="67" t="str">
        <f aca="false">'สรุปงานส่วน Summary'!L13</f>
        <v/>
      </c>
      <c r="I29" s="65" t="str">
        <f aca="false">'สรุปงานส่วน Summary'!M13</f>
        <v/>
      </c>
      <c r="J29" s="99" t="str">
        <f aca="false">'สรุปงานส่วน Summary'!P13&amp;""</f>
        <v/>
      </c>
    </row>
    <row r="30" customFormat="false" ht="15" hidden="false" customHeight="false" outlineLevel="0" collapsed="false">
      <c r="B30" s="61" t="str">
        <f aca="false">'สรุปงานส่วน Summary'!A14&amp;""</f>
        <v/>
      </c>
      <c r="C30" s="62" t="str">
        <f aca="false">'สรุปงานส่วน Summary'!B14&amp;""</f>
        <v/>
      </c>
      <c r="D30" s="64" t="str">
        <f aca="false">'สรุปงานส่วน Summary'!E14</f>
        <v/>
      </c>
      <c r="E30" s="64" t="str">
        <f aca="false">'สรุปงานส่วน Summary'!I14</f>
        <v/>
      </c>
      <c r="F30" s="64" t="str">
        <f aca="false">'สรุปงานส่วน Summary'!J14</f>
        <v/>
      </c>
      <c r="G30" s="66" t="str">
        <f aca="false">'สรุปงานส่วน Summary'!K14</f>
        <v/>
      </c>
      <c r="H30" s="67" t="str">
        <f aca="false">'สรุปงานส่วน Summary'!L14</f>
        <v/>
      </c>
      <c r="I30" s="65" t="str">
        <f aca="false">'สรุปงานส่วน Summary'!M14</f>
        <v/>
      </c>
      <c r="J30" s="99" t="str">
        <f aca="false">'สรุปงานส่วน Summary'!P14&amp;""</f>
        <v/>
      </c>
    </row>
    <row r="31" customFormat="false" ht="15" hidden="false" customHeight="false" outlineLevel="0" collapsed="false">
      <c r="B31" s="61" t="str">
        <f aca="false">'สรุปงานส่วน Summary'!A15&amp;""</f>
        <v/>
      </c>
      <c r="C31" s="62" t="str">
        <f aca="false">'สรุปงานส่วน Summary'!B15&amp;""</f>
        <v/>
      </c>
      <c r="D31" s="64" t="str">
        <f aca="false">'สรุปงานส่วน Summary'!E15</f>
        <v/>
      </c>
      <c r="E31" s="64" t="str">
        <f aca="false">'สรุปงานส่วน Summary'!I15</f>
        <v/>
      </c>
      <c r="F31" s="64" t="str">
        <f aca="false">'สรุปงานส่วน Summary'!J15</f>
        <v/>
      </c>
      <c r="G31" s="66" t="str">
        <f aca="false">'สรุปงานส่วน Summary'!K15</f>
        <v/>
      </c>
      <c r="H31" s="67" t="str">
        <f aca="false">'สรุปงานส่วน Summary'!L15</f>
        <v/>
      </c>
      <c r="I31" s="65" t="str">
        <f aca="false">'สรุปงานส่วน Summary'!M15</f>
        <v/>
      </c>
      <c r="J31" s="99" t="str">
        <f aca="false">'สรุปงานส่วน Summary'!P15&amp;""</f>
        <v/>
      </c>
    </row>
    <row r="32" customFormat="false" ht="15" hidden="false" customHeight="false" outlineLevel="0" collapsed="false">
      <c r="B32" s="61" t="str">
        <f aca="false">'สรุปงานส่วน Summary'!A46&amp;""</f>
        <v/>
      </c>
      <c r="C32" s="62" t="str">
        <f aca="false">'สรุปงานส่วน Summary'!B46&amp;""</f>
        <v/>
      </c>
      <c r="D32" s="64" t="str">
        <f aca="false">'สรุปงานส่วน Summary'!E46</f>
        <v/>
      </c>
      <c r="E32" s="64" t="str">
        <f aca="false">'สรุปงานส่วน Summary'!I46</f>
        <v/>
      </c>
      <c r="F32" s="64" t="str">
        <f aca="false">'สรุปงานส่วน Summary'!J46</f>
        <v/>
      </c>
      <c r="G32" s="66" t="str">
        <f aca="false">'สรุปงานส่วน Summary'!K46</f>
        <v/>
      </c>
      <c r="H32" s="67" t="str">
        <f aca="false">'สรุปงานส่วน Summary'!L46</f>
        <v/>
      </c>
      <c r="I32" s="65" t="str">
        <f aca="false">'สรุปงานส่วน Summary'!M46</f>
        <v/>
      </c>
      <c r="J32" s="99" t="str">
        <f aca="false">'สรุปงานส่วน Summary'!P46&amp;""</f>
        <v/>
      </c>
    </row>
    <row r="33" customFormat="false" ht="23.85" hidden="false" customHeight="false" outlineLevel="0" collapsed="false">
      <c r="B33" s="71" t="str">
        <f aca="false">'สรุปงานส่วน Summary'!A47&amp;""</f>
        <v/>
      </c>
      <c r="C33" s="72" t="s">
        <v>412</v>
      </c>
      <c r="D33" s="75" t="n">
        <f aca="false">'สรุปงานส่วน Summary'!E47</f>
        <v>1</v>
      </c>
      <c r="E33" s="75" t="n">
        <f aca="false">'สรุปงานส่วน Summary'!I47</f>
        <v>0.253650514082705</v>
      </c>
      <c r="F33" s="75" t="n">
        <f aca="false">'สรุปงานส่วน Summary'!J47</f>
        <v>0.187809917355372</v>
      </c>
      <c r="G33" s="77" t="n">
        <f aca="false">'สรุปงานส่วน Summary'!K47</f>
        <v>-0.065840596727333</v>
      </c>
      <c r="H33" s="78" t="n">
        <f aca="false">'สรุปงานส่วน Summary'!L47</f>
        <v>0.740427899523732</v>
      </c>
      <c r="I33" s="76" t="n">
        <f aca="false">'สรุปงานส่วน Summary'!M47</f>
        <v>46473</v>
      </c>
      <c r="J33" s="100" t="str">
        <f aca="false">'สรุปงานส่วน Summary'!P47&amp;""</f>
        <v>ล่าช้ามาก / Critical Delay</v>
      </c>
    </row>
    <row r="34" customFormat="false" ht="15" hidden="false" customHeight="false" outlineLevel="0" collapsed="false">
      <c r="B34" s="81" t="s">
        <v>440</v>
      </c>
    </row>
    <row r="36" customFormat="false" ht="19.5" hidden="false" customHeight="true" outlineLevel="0" collapsed="false">
      <c r="B36" s="88" t="s">
        <v>441</v>
      </c>
      <c r="C36" s="88"/>
      <c r="D36" s="88"/>
      <c r="E36" s="88"/>
      <c r="F36" s="88"/>
      <c r="G36" s="88"/>
      <c r="H36" s="88"/>
      <c r="I36" s="88"/>
      <c r="J36" s="88"/>
    </row>
    <row r="37" customFormat="false" ht="30" hidden="false" customHeight="true" outlineLevel="0" collapsed="false">
      <c r="B37" s="18" t="s">
        <v>442</v>
      </c>
      <c r="C37" s="59" t="s">
        <v>443</v>
      </c>
      <c r="D37" s="18" t="s">
        <v>444</v>
      </c>
      <c r="E37" s="18" t="s">
        <v>405</v>
      </c>
      <c r="F37" s="18" t="s">
        <v>406</v>
      </c>
      <c r="G37" s="59" t="s">
        <v>403</v>
      </c>
      <c r="H37" s="18" t="s">
        <v>439</v>
      </c>
      <c r="I37" s="18"/>
      <c r="J37" s="18" t="s">
        <v>445</v>
      </c>
    </row>
    <row r="38" customFormat="false" ht="15" hidden="false" customHeight="false" outlineLevel="0" collapsed="false">
      <c r="B38" s="61" t="n">
        <f aca="false">IF(L38="","",1)</f>
        <v>1</v>
      </c>
      <c r="C38" s="62" t="str">
        <f aca="false">IF(L38="","",INDEX('แผนงาน Schedule'!$A$7:$A$156,L38)&amp;"  "&amp;INDEX('แผนงาน Schedule'!$D$7:$D$156,L38))</f>
        <v>3.3.01  งานขุดและวางรางระบายน้ำ คสล.</v>
      </c>
      <c r="D38" s="65" t="n">
        <f aca="false">IF(L38="","",INDEX('แผนงาน Schedule'!$J$7:$J$156,L38))</f>
        <v>46295</v>
      </c>
      <c r="E38" s="65" t="n">
        <f aca="false">IF(L38="","",INDEX('แผนงาน Schedule'!$W$7:$W$156,L38))</f>
        <v>46334</v>
      </c>
      <c r="F38" s="68" t="n">
        <f aca="false">IF(L38="","",INDEX('แผนงาน Schedule'!$X$7:$X$156,L38))</f>
        <v>39</v>
      </c>
      <c r="G38" s="64" t="n">
        <f aca="false">IF(L38="","",N(INDEX('แผนงาน Schedule'!$P$7:$P$156,L38)))</f>
        <v>0.55</v>
      </c>
      <c r="H38" s="61" t="str">
        <f aca="false">IF(L38="","",INDEX('แผนงาน Schedule'!$Y$7:$Y$156,L38))</f>
        <v>ล่าช้า / Behind</v>
      </c>
      <c r="I38" s="61"/>
      <c r="J38" s="62" t="str">
        <f aca="false">IF(L38="","",INDEX('แผนงาน Schedule'!$Z$7:$Z$156,L38)&amp;"")</f>
        <v/>
      </c>
      <c r="L38" s="101" t="n">
        <f aca="false">IFERROR(MATCH(LARGE('แผนงาน Schedule'!$AC$7:$AC$156,1),'แผนงาน Schedule'!$AC$7:$AC$156,0),"")</f>
        <v>12</v>
      </c>
    </row>
    <row r="39" customFormat="false" ht="15" hidden="false" customHeight="false" outlineLevel="0" collapsed="false">
      <c r="B39" s="61" t="n">
        <f aca="false">IF(L39="","",2)</f>
        <v>2</v>
      </c>
      <c r="C39" s="62" t="str">
        <f aca="false">IF(L39="","",INDEX('แผนงาน Schedule'!$A$7:$A$156,L39)&amp;"  "&amp;INDEX('แผนงาน Schedule'!$D$7:$D$156,L39))</f>
        <v>1.2.02  งานปรับระดับและทดสอบความแน่นดิน</v>
      </c>
      <c r="D39" s="65" t="n">
        <f aca="false">IF(L39="","",INDEX('แผนงาน Schedule'!$J$7:$J$156,L39))</f>
        <v>46265</v>
      </c>
      <c r="E39" s="65" t="n">
        <f aca="false">IF(L39="","",INDEX('แผนงาน Schedule'!$W$7:$W$156,L39))</f>
        <v>46301</v>
      </c>
      <c r="F39" s="68" t="n">
        <f aca="false">IF(L39="","",INDEX('แผนงาน Schedule'!$X$7:$X$156,L39))</f>
        <v>36</v>
      </c>
      <c r="G39" s="64" t="n">
        <f aca="false">IF(L39="","",N(INDEX('แผนงาน Schedule'!$P$7:$P$156,L39)))</f>
        <v>0.8</v>
      </c>
      <c r="H39" s="61" t="str">
        <f aca="false">IF(L39="","",INDEX('แผนงาน Schedule'!$Y$7:$Y$156,L39))</f>
        <v>เกินกำหนด / Overdue</v>
      </c>
      <c r="I39" s="61"/>
      <c r="J39" s="62" t="str">
        <f aca="false">IF(L39="","",INDEX('แผนงาน Schedule'!$Z$7:$Z$156,L39)&amp;"")</f>
        <v>รอผลทดสอบความแน่น 2 จุด</v>
      </c>
      <c r="L39" s="101" t="n">
        <f aca="false">IFERROR(MATCH(LARGE('แผนงาน Schedule'!$AC$7:$AC$156,2),'แผนงาน Schedule'!$AC$7:$AC$156,0),"")</f>
        <v>3</v>
      </c>
    </row>
    <row r="40" customFormat="false" ht="15" hidden="false" customHeight="false" outlineLevel="0" collapsed="false">
      <c r="B40" s="61" t="n">
        <f aca="false">IF(L40="","",3)</f>
        <v>3</v>
      </c>
      <c r="C40" s="62" t="str">
        <f aca="false">IF(L40="","",INDEX('แผนงาน Schedule'!$A$7:$A$156,L40)&amp;"  "&amp;INDEX('แผนงาน Schedule'!$D$7:$D$156,L40))</f>
        <v>3.3.02  งานบ่อพักและท่อลอด</v>
      </c>
      <c r="D40" s="65" t="n">
        <f aca="false">IF(L40="","",INDEX('แผนงาน Schedule'!$J$7:$J$156,L40))</f>
        <v>46326</v>
      </c>
      <c r="E40" s="65" t="n">
        <f aca="false">IF(L40="","",INDEX('แผนงาน Schedule'!$W$7:$W$156,L40))</f>
        <v>46353</v>
      </c>
      <c r="F40" s="68" t="n">
        <f aca="false">IF(L40="","",INDEX('แผนงาน Schedule'!$X$7:$X$156,L40))</f>
        <v>27</v>
      </c>
      <c r="G40" s="64" t="n">
        <f aca="false">IF(L40="","",N(INDEX('แผนงาน Schedule'!$P$7:$P$156,L40)))</f>
        <v>0</v>
      </c>
      <c r="H40" s="61" t="str">
        <f aca="false">IF(L40="","",INDEX('แผนงาน Schedule'!$Y$7:$Y$156,L40))</f>
        <v>ล่าช้า / Behind</v>
      </c>
      <c r="I40" s="61"/>
      <c r="J40" s="62" t="str">
        <f aca="false">IF(L40="","",INDEX('แผนงาน Schedule'!$Z$7:$Z$156,L40)&amp;"")</f>
        <v>รอแบบแก้ไขจากผู้ว่าจ้าง</v>
      </c>
      <c r="L40" s="101" t="n">
        <f aca="false">IFERROR(MATCH(LARGE('แผนงาน Schedule'!$AC$7:$AC$156,3),'แผนงาน Schedule'!$AC$7:$AC$156,0),"")</f>
        <v>13</v>
      </c>
    </row>
    <row r="41" customFormat="false" ht="15" hidden="false" customHeight="false" outlineLevel="0" collapsed="false">
      <c r="B41" s="61" t="n">
        <f aca="false">IF(L41="","",4)</f>
        <v>4</v>
      </c>
      <c r="C41" s="62" t="str">
        <f aca="false">IF(L41="","",INDEX('แผนงาน Schedule'!$A$7:$A$156,L41)&amp;"  "&amp;INDEX('แผนงาน Schedule'!$D$7:$D$156,L41))</f>
        <v>5.3.01  งานฐานรากและเสารั้ว</v>
      </c>
      <c r="D41" s="65" t="n">
        <f aca="false">IF(L41="","",INDEX('แผนงาน Schedule'!$J$7:$J$156,L41))</f>
        <v>46310</v>
      </c>
      <c r="E41" s="65" t="n">
        <f aca="false">IF(L41="","",INDEX('แผนงาน Schedule'!$W$7:$W$156,L41))</f>
        <v>46333</v>
      </c>
      <c r="F41" s="68" t="n">
        <f aca="false">IF(L41="","",INDEX('แผนงาน Schedule'!$X$7:$X$156,L41))</f>
        <v>23</v>
      </c>
      <c r="G41" s="64" t="n">
        <f aca="false">IF(L41="","",N(INDEX('แผนงาน Schedule'!$P$7:$P$156,L41)))</f>
        <v>0.3</v>
      </c>
      <c r="H41" s="61" t="str">
        <f aca="false">IF(L41="","",INDEX('แผนงาน Schedule'!$Y$7:$Y$156,L41))</f>
        <v>ล่าช้า / Behind</v>
      </c>
      <c r="I41" s="61"/>
      <c r="J41" s="62" t="str">
        <f aca="false">IF(L41="","",INDEX('แผนงาน Schedule'!$Z$7:$Z$156,L41)&amp;"")</f>
        <v/>
      </c>
      <c r="L41" s="101" t="n">
        <f aca="false">IFERROR(MATCH(LARGE('แผนงาน Schedule'!$AC$7:$AC$156,4),'แผนงาน Schedule'!$AC$7:$AC$156,0),"")</f>
        <v>17</v>
      </c>
    </row>
    <row r="42" customFormat="false" ht="15" hidden="false" customHeight="false" outlineLevel="0" collapsed="false">
      <c r="B42" s="61" t="n">
        <f aca="false">IF(L42="","",5)</f>
        <v>5</v>
      </c>
      <c r="C42" s="62" t="str">
        <f aca="false">IF(L42="","",INDEX('แผนงาน Schedule'!$A$7:$A$156,L42)&amp;"  "&amp;INDEX('แผนงาน Schedule'!$D$7:$D$156,L42))</f>
        <v>2.3.01  งานเสาเข็มอาคาร</v>
      </c>
      <c r="D42" s="65" t="n">
        <f aca="false">IF(L42="","",INDEX('แผนงาน Schedule'!$J$7:$J$156,L42))</f>
        <v>46310</v>
      </c>
      <c r="E42" s="65" t="n">
        <f aca="false">IF(L42="","",INDEX('แผนงาน Schedule'!$W$7:$W$156,L42))</f>
        <v>46332</v>
      </c>
      <c r="F42" s="68" t="n">
        <f aca="false">IF(L42="","",INDEX('แผนงาน Schedule'!$X$7:$X$156,L42))</f>
        <v>22</v>
      </c>
      <c r="G42" s="64" t="n">
        <f aca="false">IF(L42="","",N(INDEX('แผนงาน Schedule'!$P$7:$P$156,L42)))</f>
        <v>0.35</v>
      </c>
      <c r="H42" s="61" t="str">
        <f aca="false">IF(L42="","",INDEX('แผนงาน Schedule'!$Y$7:$Y$156,L42))</f>
        <v>ล่าช้า / Behind</v>
      </c>
      <c r="I42" s="61"/>
      <c r="J42" s="62" t="str">
        <f aca="false">IF(L42="","",INDEX('แผนงาน Schedule'!$Z$7:$Z$156,L42)&amp;"")</f>
        <v/>
      </c>
      <c r="L42" s="101" t="n">
        <f aca="false">IFERROR(MATCH(LARGE('แผนงาน Schedule'!$AC$7:$AC$156,5),'แผนงาน Schedule'!$AC$7:$AC$156,0),"")</f>
        <v>4</v>
      </c>
    </row>
    <row r="44" customFormat="false" ht="19.5" hidden="false" customHeight="true" outlineLevel="0" collapsed="false">
      <c r="B44" s="88" t="str">
        <f aca="false">"4. แผนงานล่วงหน้า "&amp;'ตั้งค่า Setup'!$C$20&amp;" วัน (งานค้างและงานที่ต้องเริ่ม) / "&amp;'ตั้งค่า Setup'!$C$20&amp;"-Day Look-ahead"</f>
        <v>4. แผนงานล่วงหน้า 30 วัน (งานค้างและงานที่ต้องเริ่ม) / 30-Day Look-ahead</v>
      </c>
      <c r="C44" s="88"/>
      <c r="D44" s="88"/>
      <c r="E44" s="88"/>
      <c r="F44" s="88"/>
      <c r="G44" s="88"/>
      <c r="H44" s="88"/>
      <c r="I44" s="88"/>
      <c r="J44" s="88"/>
    </row>
    <row r="45" customFormat="false" ht="30" hidden="false" customHeight="true" outlineLevel="0" collapsed="false">
      <c r="B45" s="18" t="s">
        <v>446</v>
      </c>
      <c r="C45" s="59" t="s">
        <v>443</v>
      </c>
      <c r="D45" s="18" t="s">
        <v>447</v>
      </c>
      <c r="E45" s="18" t="s">
        <v>448</v>
      </c>
      <c r="F45" s="59" t="s">
        <v>403</v>
      </c>
      <c r="G45" s="18" t="s">
        <v>405</v>
      </c>
      <c r="H45" s="18" t="s">
        <v>439</v>
      </c>
      <c r="I45" s="18"/>
      <c r="J45" s="18" t="s">
        <v>445</v>
      </c>
    </row>
    <row r="46" customFormat="false" ht="15" hidden="false" customHeight="false" outlineLevel="0" collapsed="false">
      <c r="B46" s="61" t="n">
        <f aca="false">IF(L46="","",1)</f>
        <v>1</v>
      </c>
      <c r="C46" s="62" t="str">
        <f aca="false">IF(L46="","",INDEX('แผนงาน Schedule'!$A$7:$A$156,L46)&amp;"  "&amp;INDEX('แผนงาน Schedule'!$D$7:$D$156,L46))</f>
        <v>1.2.02  งานปรับระดับและทดสอบความแน่นดิน</v>
      </c>
      <c r="D46" s="65" t="n">
        <f aca="false">IF(L46="","",INDEX('แผนงาน Schedule'!$AA$7:$AA$156,L46))</f>
        <v>46244</v>
      </c>
      <c r="E46" s="65" t="n">
        <f aca="false">IF(L46="","",INDEX('แผนงาน Schedule'!$AB$7:$AB$156,L46))</f>
        <v>46265</v>
      </c>
      <c r="F46" s="64" t="n">
        <f aca="false">IF(L46="","",N(INDEX('แผนงาน Schedule'!$P$7:$P$156,L46)))</f>
        <v>0.8</v>
      </c>
      <c r="G46" s="65" t="n">
        <f aca="false">IF(L46="","",INDEX('แผนงาน Schedule'!$W$7:$W$156,L46))</f>
        <v>46301</v>
      </c>
      <c r="H46" s="61" t="str">
        <f aca="false">IF(L46="","",INDEX('แผนงาน Schedule'!$Y$7:$Y$156,L46))</f>
        <v>เกินกำหนด / Overdue</v>
      </c>
      <c r="I46" s="61"/>
      <c r="J46" s="62" t="str">
        <f aca="false">IF(L46="","",INDEX('แผนงาน Schedule'!$Z$7:$Z$156,L46)&amp;"")</f>
        <v>รอผลทดสอบความแน่น 2 จุด</v>
      </c>
      <c r="L46" s="101" t="n">
        <f aca="false">IFERROR(MATCH(1,'แผนงาน Schedule'!$AE$7:$AE$156,0),"")</f>
        <v>3</v>
      </c>
    </row>
    <row r="47" customFormat="false" ht="15" hidden="false" customHeight="false" outlineLevel="0" collapsed="false">
      <c r="B47" s="61" t="n">
        <f aca="false">IF(L47="","",2)</f>
        <v>2</v>
      </c>
      <c r="C47" s="62" t="str">
        <f aca="false">IF(L47="","",INDEX('แผนงาน Schedule'!$A$7:$A$156,L47)&amp;"  "&amp;INDEX('แผนงาน Schedule'!$D$7:$D$156,L47))</f>
        <v>2.3.01  งานเสาเข็มอาคาร</v>
      </c>
      <c r="D47" s="65" t="n">
        <f aca="false">IF(L47="","",INDEX('แผนงาน Schedule'!$AA$7:$AA$156,L47))</f>
        <v>46266</v>
      </c>
      <c r="E47" s="65" t="n">
        <f aca="false">IF(L47="","",INDEX('แผนงาน Schedule'!$AB$7:$AB$156,L47))</f>
        <v>46310</v>
      </c>
      <c r="F47" s="64" t="n">
        <f aca="false">IF(L47="","",N(INDEX('แผนงาน Schedule'!$P$7:$P$156,L47)))</f>
        <v>0.35</v>
      </c>
      <c r="G47" s="65" t="n">
        <f aca="false">IF(L47="","",INDEX('แผนงาน Schedule'!$W$7:$W$156,L47))</f>
        <v>46332</v>
      </c>
      <c r="H47" s="61" t="str">
        <f aca="false">IF(L47="","",INDEX('แผนงาน Schedule'!$Y$7:$Y$156,L47))</f>
        <v>ล่าช้า / Behind</v>
      </c>
      <c r="I47" s="61"/>
      <c r="J47" s="62" t="str">
        <f aca="false">IF(L47="","",INDEX('แผนงาน Schedule'!$Z$7:$Z$156,L47)&amp;"")</f>
        <v/>
      </c>
      <c r="L47" s="101" t="n">
        <f aca="false">IFERROR(MATCH(2,'แผนงาน Schedule'!$AE$7:$AE$156,0),"")</f>
        <v>4</v>
      </c>
    </row>
    <row r="48" customFormat="false" ht="15" hidden="false" customHeight="false" outlineLevel="0" collapsed="false">
      <c r="B48" s="61" t="n">
        <f aca="false">IF(L48="","",3)</f>
        <v>3</v>
      </c>
      <c r="C48" s="62" t="str">
        <f aca="false">IF(L48="","",INDEX('แผนงาน Schedule'!$A$7:$A$156,L48)&amp;"  "&amp;INDEX('แผนงาน Schedule'!$D$7:$D$156,L48))</f>
        <v>2.3.02  งานฐานราก คานคอดิน และพื้นชั้นล่าง</v>
      </c>
      <c r="D48" s="65" t="n">
        <f aca="false">IF(L48="","",INDEX('แผนงาน Schedule'!$AA$7:$AA$156,L48))</f>
        <v>46296</v>
      </c>
      <c r="E48" s="65" t="n">
        <f aca="false">IF(L48="","",INDEX('แผนงาน Schedule'!$AB$7:$AB$156,L48))</f>
        <v>46341</v>
      </c>
      <c r="F48" s="64" t="n">
        <f aca="false">IF(L48="","",N(INDEX('แผนงาน Schedule'!$P$7:$P$156,L48)))</f>
        <v>0</v>
      </c>
      <c r="G48" s="65" t="n">
        <f aca="false">IF(L48="","",INDEX('แผนงาน Schedule'!$W$7:$W$156,L48))</f>
        <v>46341</v>
      </c>
      <c r="H48" s="61" t="str">
        <f aca="false">IF(L48="","",INDEX('แผนงาน Schedule'!$Y$7:$Y$156,L48))</f>
        <v>ยังไม่ถึงกำหนด / Not Due</v>
      </c>
      <c r="I48" s="61"/>
      <c r="J48" s="62" t="str">
        <f aca="false">IF(L48="","",INDEX('แผนงาน Schedule'!$Z$7:$Z$156,L48)&amp;"")</f>
        <v/>
      </c>
      <c r="L48" s="101" t="n">
        <f aca="false">IFERROR(MATCH(3,'แผนงาน Schedule'!$AE$7:$AE$156,0),"")</f>
        <v>5</v>
      </c>
    </row>
    <row r="49" customFormat="false" ht="15" hidden="false" customHeight="false" outlineLevel="0" collapsed="false">
      <c r="B49" s="61" t="n">
        <f aca="false">IF(L49="","",4)</f>
        <v>4</v>
      </c>
      <c r="C49" s="62" t="str">
        <f aca="false">IF(L49="","",INDEX('แผนงาน Schedule'!$A$7:$A$156,L49)&amp;"  "&amp;INDEX('แผนงาน Schedule'!$D$7:$D$156,L49))</f>
        <v>3.3.01  งานขุดและวางรางระบายน้ำ คสล.</v>
      </c>
      <c r="D49" s="65" t="n">
        <f aca="false">IF(L49="","",INDEX('แผนงาน Schedule'!$AA$7:$AA$156,L49))</f>
        <v>46235</v>
      </c>
      <c r="E49" s="65" t="n">
        <f aca="false">IF(L49="","",INDEX('แผนงาน Schedule'!$AB$7:$AB$156,L49))</f>
        <v>46295</v>
      </c>
      <c r="F49" s="64" t="n">
        <f aca="false">IF(L49="","",N(INDEX('แผนงาน Schedule'!$P$7:$P$156,L49)))</f>
        <v>0.55</v>
      </c>
      <c r="G49" s="65" t="n">
        <f aca="false">IF(L49="","",INDEX('แผนงาน Schedule'!$W$7:$W$156,L49))</f>
        <v>46334</v>
      </c>
      <c r="H49" s="61" t="str">
        <f aca="false">IF(L49="","",INDEX('แผนงาน Schedule'!$Y$7:$Y$156,L49))</f>
        <v>ล่าช้า / Behind</v>
      </c>
      <c r="I49" s="61"/>
      <c r="J49" s="62" t="str">
        <f aca="false">IF(L49="","",INDEX('แผนงาน Schedule'!$Z$7:$Z$156,L49)&amp;"")</f>
        <v/>
      </c>
      <c r="L49" s="101" t="n">
        <f aca="false">IFERROR(MATCH(4,'แผนงาน Schedule'!$AE$7:$AE$156,0),"")</f>
        <v>12</v>
      </c>
    </row>
    <row r="50" customFormat="false" ht="15" hidden="false" customHeight="false" outlineLevel="0" collapsed="false">
      <c r="B50" s="61" t="n">
        <f aca="false">IF(L50="","",5)</f>
        <v>5</v>
      </c>
      <c r="C50" s="62" t="str">
        <f aca="false">IF(L50="","",INDEX('แผนงาน Schedule'!$A$7:$A$156,L50)&amp;"  "&amp;INDEX('แผนงาน Schedule'!$D$7:$D$156,L50))</f>
        <v>3.3.02  งานบ่อพักและท่อลอด</v>
      </c>
      <c r="D50" s="65" t="n">
        <f aca="false">IF(L50="","",INDEX('แผนงาน Schedule'!$AA$7:$AA$156,L50))</f>
        <v>46266</v>
      </c>
      <c r="E50" s="65" t="n">
        <f aca="false">IF(L50="","",INDEX('แผนงาน Schedule'!$AB$7:$AB$156,L50))</f>
        <v>46326</v>
      </c>
      <c r="F50" s="64" t="n">
        <f aca="false">IF(L50="","",N(INDEX('แผนงาน Schedule'!$P$7:$P$156,L50)))</f>
        <v>0</v>
      </c>
      <c r="G50" s="65" t="n">
        <f aca="false">IF(L50="","",INDEX('แผนงาน Schedule'!$W$7:$W$156,L50))</f>
        <v>46353</v>
      </c>
      <c r="H50" s="61" t="str">
        <f aca="false">IF(L50="","",INDEX('แผนงาน Schedule'!$Y$7:$Y$156,L50))</f>
        <v>ล่าช้า / Behind</v>
      </c>
      <c r="I50" s="61"/>
      <c r="J50" s="62" t="str">
        <f aca="false">IF(L50="","",INDEX('แผนงาน Schedule'!$Z$7:$Z$156,L50)&amp;"")</f>
        <v>รอแบบแก้ไขจากผู้ว่าจ้าง</v>
      </c>
      <c r="L50" s="101" t="n">
        <f aca="false">IFERROR(MATCH(5,'แผนงาน Schedule'!$AE$7:$AE$156,0),"")</f>
        <v>13</v>
      </c>
    </row>
    <row r="51" customFormat="false" ht="15" hidden="false" customHeight="false" outlineLevel="0" collapsed="false">
      <c r="B51" s="61" t="n">
        <f aca="false">IF(L51="","",6)</f>
        <v>6</v>
      </c>
      <c r="C51" s="62" t="str">
        <f aca="false">IF(L51="","",INDEX('แผนงาน Schedule'!$A$7:$A$156,L51)&amp;"  "&amp;INDEX('แผนงาน Schedule'!$D$7:$D$156,L51))</f>
        <v>4.2.01  งานชั้นรองพื้นทางและพื้นทาง</v>
      </c>
      <c r="D51" s="65" t="n">
        <f aca="false">IF(L51="","",INDEX('แผนงาน Schedule'!$AA$7:$AA$156,L51))</f>
        <v>46296</v>
      </c>
      <c r="E51" s="65" t="n">
        <f aca="false">IF(L51="","",INDEX('แผนงาน Schedule'!$AB$7:$AB$156,L51))</f>
        <v>46341</v>
      </c>
      <c r="F51" s="64" t="n">
        <f aca="false">IF(L51="","",N(INDEX('แผนงาน Schedule'!$P$7:$P$156,L51)))</f>
        <v>0</v>
      </c>
      <c r="G51" s="65" t="n">
        <f aca="false">IF(L51="","",INDEX('แผนงาน Schedule'!$W$7:$W$156,L51))</f>
        <v>46341</v>
      </c>
      <c r="H51" s="61" t="str">
        <f aca="false">IF(L51="","",INDEX('แผนงาน Schedule'!$Y$7:$Y$156,L51))</f>
        <v>ยังไม่ถึงกำหนด / Not Due</v>
      </c>
      <c r="I51" s="61"/>
      <c r="J51" s="62" t="str">
        <f aca="false">IF(L51="","",INDEX('แผนงาน Schedule'!$Z$7:$Z$156,L51)&amp;"")</f>
        <v/>
      </c>
      <c r="L51" s="101" t="n">
        <f aca="false">IFERROR(MATCH(6,'แผนงาน Schedule'!$AE$7:$AE$156,0),"")</f>
        <v>14</v>
      </c>
    </row>
    <row r="52" customFormat="false" ht="15" hidden="false" customHeight="false" outlineLevel="0" collapsed="false">
      <c r="B52" s="61" t="n">
        <f aca="false">IF(L52="","",7)</f>
        <v>7</v>
      </c>
      <c r="C52" s="62" t="str">
        <f aca="false">IF(L52="","",INDEX('แผนงาน Schedule'!$A$7:$A$156,L52)&amp;"  "&amp;INDEX('แผนงาน Schedule'!$D$7:$D$156,L52))</f>
        <v>5.3.01  งานฐานรากและเสารั้ว</v>
      </c>
      <c r="D52" s="65" t="n">
        <f aca="false">IF(L52="","",INDEX('แผนงาน Schedule'!$AA$7:$AA$156,L52))</f>
        <v>46266</v>
      </c>
      <c r="E52" s="65" t="n">
        <f aca="false">IF(L52="","",INDEX('แผนงาน Schedule'!$AB$7:$AB$156,L52))</f>
        <v>46310</v>
      </c>
      <c r="F52" s="64" t="n">
        <f aca="false">IF(L52="","",N(INDEX('แผนงาน Schedule'!$P$7:$P$156,L52)))</f>
        <v>0.3</v>
      </c>
      <c r="G52" s="65" t="n">
        <f aca="false">IF(L52="","",INDEX('แผนงาน Schedule'!$W$7:$W$156,L52))</f>
        <v>46333</v>
      </c>
      <c r="H52" s="61" t="str">
        <f aca="false">IF(L52="","",INDEX('แผนงาน Schedule'!$Y$7:$Y$156,L52))</f>
        <v>ล่าช้า / Behind</v>
      </c>
      <c r="I52" s="61"/>
      <c r="J52" s="62" t="str">
        <f aca="false">IF(L52="","",INDEX('แผนงาน Schedule'!$Z$7:$Z$156,L52)&amp;"")</f>
        <v/>
      </c>
      <c r="L52" s="101" t="n">
        <f aca="false">IFERROR(MATCH(7,'แผนงาน Schedule'!$AE$7:$AE$156,0),"")</f>
        <v>17</v>
      </c>
    </row>
    <row r="53" customFormat="false" ht="15" hidden="false" customHeight="false" outlineLevel="0" collapsed="false">
      <c r="B53" s="61" t="n">
        <f aca="false">IF(L53="","",8)</f>
        <v>8</v>
      </c>
      <c r="C53" s="62" t="str">
        <f aca="false">IF(L53="","",INDEX('แผนงาน Schedule'!$A$7:$A$156,L53)&amp;"  "&amp;INDEX('แผนงาน Schedule'!$D$7:$D$156,L53))</f>
        <v>5.4.01  งานผนังรั้ว รั้วเหล็ก และประตูรั้ว</v>
      </c>
      <c r="D53" s="65" t="n">
        <f aca="false">IF(L53="","",INDEX('แผนงาน Schedule'!$AA$7:$AA$156,L53))</f>
        <v>46305</v>
      </c>
      <c r="E53" s="65" t="n">
        <f aca="false">IF(L53="","",INDEX('แผนงาน Schedule'!$AB$7:$AB$156,L53))</f>
        <v>46371</v>
      </c>
      <c r="F53" s="64" t="n">
        <f aca="false">IF(L53="","",N(INDEX('แผนงาน Schedule'!$P$7:$P$156,L53)))</f>
        <v>0</v>
      </c>
      <c r="G53" s="65" t="n">
        <f aca="false">IF(L53="","",INDEX('แผนงาน Schedule'!$W$7:$W$156,L53))</f>
        <v>46371</v>
      </c>
      <c r="H53" s="61" t="str">
        <f aca="false">IF(L53="","",INDEX('แผนงาน Schedule'!$Y$7:$Y$156,L53))</f>
        <v>ยังไม่ถึงกำหนด / Not Due</v>
      </c>
      <c r="I53" s="61"/>
      <c r="J53" s="62" t="str">
        <f aca="false">IF(L53="","",INDEX('แผนงาน Schedule'!$Z$7:$Z$156,L53)&amp;"")</f>
        <v/>
      </c>
      <c r="L53" s="101" t="n">
        <f aca="false">IFERROR(MATCH(8,'แผนงาน Schedule'!$AE$7:$AE$156,0),"")</f>
        <v>18</v>
      </c>
    </row>
    <row r="54" customFormat="false" ht="15" hidden="false" customHeight="false" outlineLevel="0" collapsed="false">
      <c r="B54" s="61" t="str">
        <f aca="false">IF(L54="","",9)</f>
        <v/>
      </c>
      <c r="C54" s="62" t="str">
        <f aca="false">IF(L54="","",INDEX('แผนงาน Schedule'!$A$7:$A$156,L54)&amp;"  "&amp;INDEX('แผนงาน Schedule'!$D$7:$D$156,L54))</f>
        <v/>
      </c>
      <c r="D54" s="65" t="str">
        <f aca="false">IF(L54="","",INDEX('แผนงาน Schedule'!$AA$7:$AA$156,L54))</f>
        <v/>
      </c>
      <c r="E54" s="65" t="str">
        <f aca="false">IF(L54="","",INDEX('แผนงาน Schedule'!$AB$7:$AB$156,L54))</f>
        <v/>
      </c>
      <c r="F54" s="64" t="str">
        <f aca="false">IF(L54="","",N(INDEX('แผนงาน Schedule'!$P$7:$P$156,L54)))</f>
        <v/>
      </c>
      <c r="G54" s="65" t="str">
        <f aca="false">IF(L54="","",INDEX('แผนงาน Schedule'!$W$7:$W$156,L54))</f>
        <v/>
      </c>
      <c r="H54" s="61" t="str">
        <f aca="false">IF(L54="","",INDEX('แผนงาน Schedule'!$Y$7:$Y$156,L54))</f>
        <v/>
      </c>
      <c r="I54" s="61"/>
      <c r="J54" s="62" t="str">
        <f aca="false">IF(L54="","",INDEX('แผนงาน Schedule'!$Z$7:$Z$156,L54)&amp;"")</f>
        <v/>
      </c>
      <c r="L54" s="101" t="str">
        <f aca="false">IFERROR(MATCH(9,'แผนงาน Schedule'!$AE$7:$AE$156,0),"")</f>
        <v/>
      </c>
    </row>
    <row r="55" customFormat="false" ht="15" hidden="false" customHeight="false" outlineLevel="0" collapsed="false">
      <c r="B55" s="61" t="str">
        <f aca="false">IF(L55="","",10)</f>
        <v/>
      </c>
      <c r="C55" s="62" t="str">
        <f aca="false">IF(L55="","",INDEX('แผนงาน Schedule'!$A$7:$A$156,L55)&amp;"  "&amp;INDEX('แผนงาน Schedule'!$D$7:$D$156,L55))</f>
        <v/>
      </c>
      <c r="D55" s="65" t="str">
        <f aca="false">IF(L55="","",INDEX('แผนงาน Schedule'!$AA$7:$AA$156,L55))</f>
        <v/>
      </c>
      <c r="E55" s="65" t="str">
        <f aca="false">IF(L55="","",INDEX('แผนงาน Schedule'!$AB$7:$AB$156,L55))</f>
        <v/>
      </c>
      <c r="F55" s="64" t="str">
        <f aca="false">IF(L55="","",N(INDEX('แผนงาน Schedule'!$P$7:$P$156,L55)))</f>
        <v/>
      </c>
      <c r="G55" s="65" t="str">
        <f aca="false">IF(L55="","",INDEX('แผนงาน Schedule'!$W$7:$W$156,L55))</f>
        <v/>
      </c>
      <c r="H55" s="61" t="str">
        <f aca="false">IF(L55="","",INDEX('แผนงาน Schedule'!$Y$7:$Y$156,L55))</f>
        <v/>
      </c>
      <c r="I55" s="61"/>
      <c r="J55" s="62" t="str">
        <f aca="false">IF(L55="","",INDEX('แผนงาน Schedule'!$Z$7:$Z$156,L55)&amp;"")</f>
        <v/>
      </c>
      <c r="L55" s="101" t="str">
        <f aca="false">IFERROR(MATCH(10,'แผนงาน Schedule'!$AE$7:$AE$156,0),"")</f>
        <v/>
      </c>
    </row>
    <row r="56" customFormat="false" ht="15" hidden="false" customHeight="false" outlineLevel="0" collapsed="false">
      <c r="B56" s="61" t="str">
        <f aca="false">IF(L56="","",11)</f>
        <v/>
      </c>
      <c r="C56" s="62" t="str">
        <f aca="false">IF(L56="","",INDEX('แผนงาน Schedule'!$A$7:$A$156,L56)&amp;"  "&amp;INDEX('แผนงาน Schedule'!$D$7:$D$156,L56))</f>
        <v/>
      </c>
      <c r="D56" s="65" t="str">
        <f aca="false">IF(L56="","",INDEX('แผนงาน Schedule'!$AA$7:$AA$156,L56))</f>
        <v/>
      </c>
      <c r="E56" s="65" t="str">
        <f aca="false">IF(L56="","",INDEX('แผนงาน Schedule'!$AB$7:$AB$156,L56))</f>
        <v/>
      </c>
      <c r="F56" s="64" t="str">
        <f aca="false">IF(L56="","",N(INDEX('แผนงาน Schedule'!$P$7:$P$156,L56)))</f>
        <v/>
      </c>
      <c r="G56" s="65" t="str">
        <f aca="false">IF(L56="","",INDEX('แผนงาน Schedule'!$W$7:$W$156,L56))</f>
        <v/>
      </c>
      <c r="H56" s="61" t="str">
        <f aca="false">IF(L56="","",INDEX('แผนงาน Schedule'!$Y$7:$Y$156,L56))</f>
        <v/>
      </c>
      <c r="I56" s="61"/>
      <c r="J56" s="62" t="str">
        <f aca="false">IF(L56="","",INDEX('แผนงาน Schedule'!$Z$7:$Z$156,L56)&amp;"")</f>
        <v/>
      </c>
      <c r="L56" s="101" t="str">
        <f aca="false">IFERROR(MATCH(11,'แผนงาน Schedule'!$AE$7:$AE$156,0),"")</f>
        <v/>
      </c>
    </row>
    <row r="57" customFormat="false" ht="15" hidden="false" customHeight="false" outlineLevel="0" collapsed="false">
      <c r="B57" s="61" t="str">
        <f aca="false">IF(L57="","",12)</f>
        <v/>
      </c>
      <c r="C57" s="62" t="str">
        <f aca="false">IF(L57="","",INDEX('แผนงาน Schedule'!$A$7:$A$156,L57)&amp;"  "&amp;INDEX('แผนงาน Schedule'!$D$7:$D$156,L57))</f>
        <v/>
      </c>
      <c r="D57" s="65" t="str">
        <f aca="false">IF(L57="","",INDEX('แผนงาน Schedule'!$AA$7:$AA$156,L57))</f>
        <v/>
      </c>
      <c r="E57" s="65" t="str">
        <f aca="false">IF(L57="","",INDEX('แผนงาน Schedule'!$AB$7:$AB$156,L57))</f>
        <v/>
      </c>
      <c r="F57" s="64" t="str">
        <f aca="false">IF(L57="","",N(INDEX('แผนงาน Schedule'!$P$7:$P$156,L57)))</f>
        <v/>
      </c>
      <c r="G57" s="65" t="str">
        <f aca="false">IF(L57="","",INDEX('แผนงาน Schedule'!$W$7:$W$156,L57))</f>
        <v/>
      </c>
      <c r="H57" s="61" t="str">
        <f aca="false">IF(L57="","",INDEX('แผนงาน Schedule'!$Y$7:$Y$156,L57))</f>
        <v/>
      </c>
      <c r="I57" s="61"/>
      <c r="J57" s="62" t="str">
        <f aca="false">IF(L57="","",INDEX('แผนงาน Schedule'!$Z$7:$Z$156,L57)&amp;"")</f>
        <v/>
      </c>
      <c r="L57" s="101" t="str">
        <f aca="false">IFERROR(MATCH(12,'แผนงาน Schedule'!$AE$7:$AE$156,0),"")</f>
        <v/>
      </c>
    </row>
    <row r="59" customFormat="false" ht="19.5" hidden="false" customHeight="true" outlineLevel="0" collapsed="false">
      <c r="B59" s="88" t="s">
        <v>449</v>
      </c>
      <c r="C59" s="88"/>
      <c r="D59" s="88"/>
      <c r="E59" s="88"/>
      <c r="F59" s="88"/>
      <c r="G59" s="88"/>
      <c r="H59" s="88"/>
      <c r="I59" s="88"/>
      <c r="J59" s="88"/>
    </row>
    <row r="60" customFormat="false" ht="15" hidden="false" customHeight="false" outlineLevel="0" collapsed="false">
      <c r="B60" s="89" t="s">
        <v>450</v>
      </c>
      <c r="C60" s="89"/>
      <c r="D60" s="102" t="n">
        <f aca="false">Dashboard!C49</f>
        <v>17</v>
      </c>
      <c r="F60" s="89" t="s">
        <v>451</v>
      </c>
      <c r="G60" s="89"/>
      <c r="H60" s="89"/>
      <c r="I60" s="102" t="n">
        <f aca="false">Dashboard!C50</f>
        <v>8</v>
      </c>
      <c r="J60" s="102"/>
    </row>
    <row r="61" customFormat="false" ht="15" hidden="false" customHeight="false" outlineLevel="0" collapsed="false">
      <c r="B61" s="89" t="s">
        <v>452</v>
      </c>
      <c r="C61" s="89"/>
      <c r="D61" s="102" t="n">
        <f aca="false">Dashboard!C51</f>
        <v>7</v>
      </c>
      <c r="F61" s="89" t="s">
        <v>453</v>
      </c>
      <c r="G61" s="89"/>
      <c r="H61" s="89"/>
      <c r="I61" s="103" t="n">
        <f aca="false">Dashboard!C12</f>
        <v>46481</v>
      </c>
      <c r="J61" s="103"/>
    </row>
    <row r="62" customFormat="false" ht="15" hidden="false" customHeight="false" outlineLevel="0" collapsed="false">
      <c r="B62" s="89" t="s">
        <v>454</v>
      </c>
      <c r="C62" s="89"/>
      <c r="D62" s="104" t="n">
        <f aca="false">Dashboard!C52</f>
        <v>24200</v>
      </c>
      <c r="F62" s="89" t="s">
        <v>455</v>
      </c>
      <c r="G62" s="89"/>
      <c r="H62" s="89"/>
      <c r="I62" s="104" t="n">
        <f aca="false">Dashboard!C54</f>
        <v>0</v>
      </c>
      <c r="J62" s="104"/>
    </row>
    <row r="63" customFormat="false" ht="30" hidden="false" customHeight="true" outlineLevel="0" collapsed="false">
      <c r="B63" s="89" t="s">
        <v>434</v>
      </c>
      <c r="C63" s="89"/>
      <c r="D63" s="104" t="n">
        <f aca="false">Dashboard!C55</f>
        <v>0</v>
      </c>
      <c r="F63" s="89" t="s">
        <v>456</v>
      </c>
      <c r="G63" s="89"/>
      <c r="H63" s="89"/>
      <c r="I63" s="105" t="str">
        <f aca="false">Dashboard!C57</f>
        <v>✓ ไม่มีค่าปรับคาดการณ์</v>
      </c>
      <c r="J63" s="105"/>
    </row>
    <row r="65" customFormat="false" ht="19.5" hidden="false" customHeight="true" outlineLevel="0" collapsed="false">
      <c r="B65" s="88" t="s">
        <v>457</v>
      </c>
      <c r="C65" s="88"/>
      <c r="D65" s="88"/>
      <c r="E65" s="88"/>
      <c r="F65" s="88"/>
      <c r="G65" s="88"/>
      <c r="H65" s="88"/>
      <c r="I65" s="88"/>
      <c r="J65" s="88"/>
    </row>
    <row r="66" customFormat="false" ht="15" hidden="false" customHeight="true" outlineLevel="0" collapsed="false">
      <c r="B66" s="18" t="s">
        <v>446</v>
      </c>
      <c r="C66" s="106" t="s">
        <v>458</v>
      </c>
      <c r="D66" s="106"/>
      <c r="E66" s="106"/>
      <c r="F66" s="106"/>
      <c r="G66" s="106" t="s">
        <v>459</v>
      </c>
      <c r="H66" s="106"/>
      <c r="I66" s="106"/>
      <c r="J66" s="106"/>
    </row>
    <row r="67" customFormat="false" ht="27.75" hidden="false" customHeight="true" outlineLevel="0" collapsed="false">
      <c r="B67" s="107" t="n">
        <v>1</v>
      </c>
      <c r="C67" s="108"/>
      <c r="D67" s="108"/>
      <c r="E67" s="108"/>
      <c r="F67" s="108"/>
      <c r="G67" s="108"/>
      <c r="H67" s="108"/>
      <c r="I67" s="108"/>
      <c r="J67" s="108"/>
    </row>
    <row r="68" customFormat="false" ht="27.75" hidden="false" customHeight="true" outlineLevel="0" collapsed="false">
      <c r="B68" s="107" t="n">
        <v>2</v>
      </c>
      <c r="C68" s="108"/>
      <c r="D68" s="108"/>
      <c r="E68" s="108"/>
      <c r="F68" s="108"/>
      <c r="G68" s="108"/>
      <c r="H68" s="108"/>
      <c r="I68" s="108"/>
      <c r="J68" s="108"/>
    </row>
    <row r="69" customFormat="false" ht="27.75" hidden="false" customHeight="true" outlineLevel="0" collapsed="false">
      <c r="B69" s="107" t="n">
        <v>3</v>
      </c>
      <c r="C69" s="108"/>
      <c r="D69" s="108"/>
      <c r="E69" s="108"/>
      <c r="F69" s="108"/>
      <c r="G69" s="108"/>
      <c r="H69" s="108"/>
      <c r="I69" s="108"/>
      <c r="J69" s="108"/>
    </row>
    <row r="70" customFormat="false" ht="27.75" hidden="false" customHeight="true" outlineLevel="0" collapsed="false">
      <c r="B70" s="107" t="n">
        <v>4</v>
      </c>
      <c r="C70" s="108"/>
      <c r="D70" s="108"/>
      <c r="E70" s="108"/>
      <c r="F70" s="108"/>
      <c r="G70" s="108"/>
      <c r="H70" s="108"/>
      <c r="I70" s="108"/>
      <c r="J70" s="108"/>
    </row>
    <row r="71" customFormat="false" ht="27.75" hidden="false" customHeight="true" outlineLevel="0" collapsed="false">
      <c r="B71" s="107" t="n">
        <v>5</v>
      </c>
      <c r="C71" s="108"/>
      <c r="D71" s="108"/>
      <c r="E71" s="108"/>
      <c r="F71" s="108"/>
      <c r="G71" s="108"/>
      <c r="H71" s="108"/>
      <c r="I71" s="108"/>
      <c r="J71" s="108"/>
    </row>
    <row r="74" customFormat="false" ht="15" hidden="false" customHeight="false" outlineLevel="0" collapsed="false">
      <c r="B74" s="109" t="s">
        <v>460</v>
      </c>
      <c r="E74" s="109" t="s">
        <v>460</v>
      </c>
      <c r="H74" s="109" t="s">
        <v>460</v>
      </c>
    </row>
    <row r="75" customFormat="false" ht="15" hidden="false" customHeight="false" outlineLevel="0" collapsed="false">
      <c r="B75" s="110" t="s">
        <v>461</v>
      </c>
      <c r="E75" s="110" t="s">
        <v>461</v>
      </c>
      <c r="H75" s="110" t="s">
        <v>461</v>
      </c>
    </row>
    <row r="76" customFormat="false" ht="15" hidden="false" customHeight="false" outlineLevel="0" collapsed="false">
      <c r="B76" s="111" t="s">
        <v>462</v>
      </c>
      <c r="E76" s="111" t="s">
        <v>463</v>
      </c>
      <c r="H76" s="111" t="s">
        <v>464</v>
      </c>
    </row>
    <row r="77" customFormat="false" ht="15" hidden="false" customHeight="false" outlineLevel="0" collapsed="false">
      <c r="B77" s="109" t="s">
        <v>465</v>
      </c>
      <c r="E77" s="109" t="s">
        <v>465</v>
      </c>
      <c r="H77" s="109" t="s">
        <v>465</v>
      </c>
    </row>
  </sheetData>
  <sheetProtection sheet="true" formatCells="false" formatColumns="false" formatRows="false"/>
  <mergeCells count="75">
    <mergeCell ref="B1:J1"/>
    <mergeCell ref="B2:C2"/>
    <mergeCell ref="D2:F2"/>
    <mergeCell ref="G2:H2"/>
    <mergeCell ref="I2:J2"/>
    <mergeCell ref="B3:C3"/>
    <mergeCell ref="D3:F3"/>
    <mergeCell ref="G3:H3"/>
    <mergeCell ref="I3:J3"/>
    <mergeCell ref="B4:C4"/>
    <mergeCell ref="D4:F4"/>
    <mergeCell ref="G4:H4"/>
    <mergeCell ref="I4:J4"/>
    <mergeCell ref="B6:J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1:J21"/>
    <mergeCell ref="B36:J36"/>
    <mergeCell ref="H37:I37"/>
    <mergeCell ref="H38:I38"/>
    <mergeCell ref="H39:I39"/>
    <mergeCell ref="H40:I40"/>
    <mergeCell ref="H41:I41"/>
    <mergeCell ref="H42:I42"/>
    <mergeCell ref="B44:J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B59:J59"/>
    <mergeCell ref="B60:C60"/>
    <mergeCell ref="F60:H60"/>
    <mergeCell ref="I60:J60"/>
    <mergeCell ref="B61:C61"/>
    <mergeCell ref="F61:H61"/>
    <mergeCell ref="I61:J61"/>
    <mergeCell ref="B62:C62"/>
    <mergeCell ref="F62:H62"/>
    <mergeCell ref="I62:J62"/>
    <mergeCell ref="B63:C63"/>
    <mergeCell ref="F63:H63"/>
    <mergeCell ref="I63:J63"/>
    <mergeCell ref="B65:J65"/>
    <mergeCell ref="C66:F66"/>
    <mergeCell ref="G66:J66"/>
    <mergeCell ref="C67:F67"/>
    <mergeCell ref="G67:J67"/>
    <mergeCell ref="C68:F68"/>
    <mergeCell ref="G68:J68"/>
    <mergeCell ref="C69:F69"/>
    <mergeCell ref="G69:J69"/>
    <mergeCell ref="C70:F70"/>
    <mergeCell ref="G70:J70"/>
    <mergeCell ref="C71:F71"/>
    <mergeCell ref="G71:J71"/>
  </mergeCells>
  <conditionalFormatting sqref="D18">
    <cfRule type="expression" priority="2" aboveAverage="0" equalAverage="0" bottom="0" percent="0" rank="0" text="" dxfId="0">
      <formula>ISNUMBER(SEARCH("ล่าช้ามาก",D18))</formula>
    </cfRule>
    <cfRule type="expression" priority="3" aboveAverage="0" equalAverage="0" bottom="0" percent="0" rank="0" text="" dxfId="10">
      <formula>ISNUMBER(SEARCH("เฝ้าระวัง",D18))</formula>
    </cfRule>
  </conditionalFormatting>
  <conditionalFormatting sqref="D11">
    <cfRule type="expression" priority="4" aboveAverage="0" equalAverage="0" bottom="0" percent="0" rank="0" text="" dxfId="4">
      <formula>D11&lt;0</formula>
    </cfRule>
  </conditionalFormatting>
  <conditionalFormatting sqref="J23:J33">
    <cfRule type="expression" priority="5" aboveAverage="0" equalAverage="0" bottom="0" percent="0" rank="0" text="" dxfId="11">
      <formula>ISNUMBER(SEARCH("ล่าช้า",J23))</formula>
    </cfRule>
    <cfRule type="expression" priority="6" aboveAverage="0" equalAverage="0" bottom="0" percent="0" rank="0" text="" dxfId="12">
      <formula>ISNUMBER(SEARCH("ตามแผน",J23))</formula>
    </cfRule>
  </conditionalFormatting>
  <conditionalFormatting sqref="I63">
    <cfRule type="expression" priority="7" aboveAverage="0" equalAverage="0" bottom="0" percent="0" rank="0" text="" dxfId="4">
      <formula>LEFT(I63,1)="⚠"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/ &amp;N&amp;RProject Control v3</oddFooter>
  </headerFooter>
  <rowBreaks count="1" manualBreakCount="1">
    <brk id="35" man="true" max="16383" min="0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6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9"/>
    <col collapsed="false" customWidth="true" hidden="false" outlineLevel="0" max="8" min="7" style="1" width="12"/>
    <col collapsed="false" customWidth="true" hidden="false" outlineLevel="0" max="9" min="9" style="1" width="15"/>
    <col collapsed="false" customWidth="true" hidden="false" outlineLevel="0" max="10" min="10" style="1" width="20"/>
    <col collapsed="false" customWidth="true" hidden="false" outlineLevel="0" max="11" min="11" style="1" width="22"/>
    <col collapsed="false" customWidth="true" hidden="false" outlineLevel="0" max="12" min="12" style="1" width="8"/>
    <col collapsed="false" customWidth="true" hidden="false" outlineLevel="0" max="13" min="13" style="1" width="28"/>
  </cols>
  <sheetData>
    <row r="1" customFormat="false" ht="20.1" hidden="false" customHeight="false" outlineLevel="0" collapsed="false">
      <c r="A1" s="2" t="s">
        <v>466</v>
      </c>
    </row>
    <row r="2" customFormat="false" ht="15" hidden="false" customHeight="false" outlineLevel="0" collapsed="false">
      <c r="A2" s="17" t="s">
        <v>467</v>
      </c>
    </row>
    <row r="3" customFormat="false" ht="15" hidden="false" customHeight="false" outlineLevel="0" collapsed="false">
      <c r="A3" s="112" t="s">
        <v>468</v>
      </c>
    </row>
    <row r="6" customFormat="false" ht="39.75" hidden="false" customHeight="true" outlineLevel="0" collapsed="false">
      <c r="A6" s="18" t="s">
        <v>469</v>
      </c>
      <c r="B6" s="18" t="s">
        <v>470</v>
      </c>
      <c r="C6" s="18" t="s">
        <v>471</v>
      </c>
      <c r="D6" s="18" t="s">
        <v>472</v>
      </c>
      <c r="E6" s="18" t="s">
        <v>473</v>
      </c>
      <c r="F6" s="59" t="s">
        <v>474</v>
      </c>
      <c r="G6" s="18" t="s">
        <v>475</v>
      </c>
      <c r="H6" s="18" t="s">
        <v>476</v>
      </c>
      <c r="I6" s="18" t="s">
        <v>477</v>
      </c>
      <c r="J6" s="18" t="s">
        <v>478</v>
      </c>
      <c r="K6" s="18" t="s">
        <v>408</v>
      </c>
      <c r="L6" s="18" t="s">
        <v>479</v>
      </c>
      <c r="M6" s="18" t="s">
        <v>480</v>
      </c>
    </row>
    <row r="7" customFormat="false" ht="15" hidden="false" customHeight="false" outlineLevel="0" collapsed="false">
      <c r="A7" s="20" t="n">
        <v>1</v>
      </c>
      <c r="B7" s="32" t="s">
        <v>481</v>
      </c>
      <c r="C7" s="113" t="n">
        <v>0.12</v>
      </c>
      <c r="D7" s="24" t="n">
        <v>46265</v>
      </c>
      <c r="E7" s="114" t="n">
        <v>3630000</v>
      </c>
      <c r="F7" s="115" t="n">
        <f aca="false">IF(E7="","",E7/'ตั้งค่า Setup'!$C$9)</f>
        <v>0.15</v>
      </c>
      <c r="G7" s="24"/>
      <c r="H7" s="24"/>
      <c r="I7" s="116" t="str">
        <f aca="false">IF(OR(E7="",H7=""),"",E7)</f>
        <v/>
      </c>
      <c r="J7" s="117" t="str">
        <f aca="false">IF(OR(B7="",C7=""),"",IF(Dashboard!$C$19&gt;=C7,"✓ ถึงเกณฑ์แล้ว","ยังขาด "&amp;TEXT(C7-Dashboard!$C$19,"0.00%")))</f>
        <v>✓ ถึงเกณฑ์แล้ว</v>
      </c>
      <c r="K7" s="117" t="str">
        <f aca="false">IF(B7="","",IF(H7&lt;&gt;"","ตรวจรับแล้ว",IF(G7&lt;&gt;"","ส่งมอบแล้ว รอตรวจรับ",IF(D7="","-",IF('ตั้งค่า Setup'!$C$15&gt;D7,"เกินกำหนด",IF(D7-'ตั้งค่า Setup'!$C$15&lt;=14,"ใกล้ครบกำหนด (≤14 วัน)","ยังไม่ถึงกำหนด"))))))</f>
        <v>เกินกำหนด</v>
      </c>
      <c r="L7" s="118" t="n">
        <f aca="false">IF(OR(B7="",D7=""),"",MAX(0,IF(G7&lt;&gt;"",G7,IF(H7&lt;&gt;"",H7,'ตั้งค่า Setup'!$C$15))-D7))</f>
        <v>28</v>
      </c>
      <c r="M7" s="32"/>
    </row>
    <row r="8" customFormat="false" ht="15" hidden="false" customHeight="false" outlineLevel="0" collapsed="false">
      <c r="A8" s="20" t="n">
        <v>2</v>
      </c>
      <c r="B8" s="32" t="s">
        <v>482</v>
      </c>
      <c r="C8" s="113" t="n">
        <v>0.3</v>
      </c>
      <c r="D8" s="24" t="n">
        <v>46326</v>
      </c>
      <c r="E8" s="114" t="n">
        <v>4840000</v>
      </c>
      <c r="F8" s="115" t="n">
        <f aca="false">IF(E8="","",E8/'ตั้งค่า Setup'!$C$9)</f>
        <v>0.2</v>
      </c>
      <c r="G8" s="24"/>
      <c r="H8" s="24"/>
      <c r="I8" s="116" t="str">
        <f aca="false">IF(OR(E8="",H8=""),"",E8)</f>
        <v/>
      </c>
      <c r="J8" s="117" t="str">
        <f aca="false">IF(OR(B8="",C8=""),"",IF(Dashboard!$C$19&gt;=C8,"✓ ถึงเกณฑ์แล้ว","ยังขาด "&amp;TEXT(C8-Dashboard!$C$19,"0.00%")))</f>
        <v>ยังขาด 11.22%</v>
      </c>
      <c r="K8" s="117" t="str">
        <f aca="false">IF(B8="","",IF(H8&lt;&gt;"","ตรวจรับแล้ว",IF(G8&lt;&gt;"","ส่งมอบแล้ว รอตรวจรับ",IF(D8="","-",IF('ตั้งค่า Setup'!$C$15&gt;D8,"เกินกำหนด",IF(D8-'ตั้งค่า Setup'!$C$15&lt;=14,"ใกล้ครบกำหนด (≤14 วัน)","ยังไม่ถึงกำหนด"))))))</f>
        <v>ยังไม่ถึงกำหนด</v>
      </c>
      <c r="L8" s="118" t="n">
        <f aca="false">IF(OR(B8="",D8=""),"",MAX(0,IF(G8&lt;&gt;"",G8,IF(H8&lt;&gt;"",H8,'ตั้งค่า Setup'!$C$15))-D8))</f>
        <v>0</v>
      </c>
      <c r="M8" s="32"/>
    </row>
    <row r="9" customFormat="false" ht="15" hidden="false" customHeight="false" outlineLevel="0" collapsed="false">
      <c r="A9" s="20" t="n">
        <v>3</v>
      </c>
      <c r="B9" s="32" t="s">
        <v>483</v>
      </c>
      <c r="C9" s="113" t="n">
        <v>0.6</v>
      </c>
      <c r="D9" s="24" t="n">
        <v>46402</v>
      </c>
      <c r="E9" s="114" t="n">
        <v>6050000</v>
      </c>
      <c r="F9" s="115" t="n">
        <f aca="false">IF(E9="","",E9/'ตั้งค่า Setup'!$C$9)</f>
        <v>0.25</v>
      </c>
      <c r="G9" s="24"/>
      <c r="H9" s="24"/>
      <c r="I9" s="116" t="str">
        <f aca="false">IF(OR(E9="",H9=""),"",E9)</f>
        <v/>
      </c>
      <c r="J9" s="117" t="str">
        <f aca="false">IF(OR(B9="",C9=""),"",IF(Dashboard!$C$19&gt;=C9,"✓ ถึงเกณฑ์แล้ว","ยังขาด "&amp;TEXT(C9-Dashboard!$C$19,"0.00%")))</f>
        <v>ยังขาด 41.22%</v>
      </c>
      <c r="K9" s="117" t="str">
        <f aca="false">IF(B9="","",IF(H9&lt;&gt;"","ตรวจรับแล้ว",IF(G9&lt;&gt;"","ส่งมอบแล้ว รอตรวจรับ",IF(D9="","-",IF('ตั้งค่า Setup'!$C$15&gt;D9,"เกินกำหนด",IF(D9-'ตั้งค่า Setup'!$C$15&lt;=14,"ใกล้ครบกำหนด (≤14 วัน)","ยังไม่ถึงกำหนด"))))))</f>
        <v>ยังไม่ถึงกำหนด</v>
      </c>
      <c r="L9" s="118" t="n">
        <f aca="false">IF(OR(B9="",D9=""),"",MAX(0,IF(G9&lt;&gt;"",G9,IF(H9&lt;&gt;"",H9,'ตั้งค่า Setup'!$C$15))-D9))</f>
        <v>0</v>
      </c>
      <c r="M9" s="32"/>
    </row>
    <row r="10" customFormat="false" ht="15" hidden="false" customHeight="false" outlineLevel="0" collapsed="false">
      <c r="A10" s="20" t="n">
        <v>4</v>
      </c>
      <c r="B10" s="32" t="s">
        <v>484</v>
      </c>
      <c r="C10" s="113" t="n">
        <v>0.85</v>
      </c>
      <c r="D10" s="24" t="n">
        <v>46446</v>
      </c>
      <c r="E10" s="114" t="n">
        <v>4840000</v>
      </c>
      <c r="F10" s="115" t="n">
        <f aca="false">IF(E10="","",E10/'ตั้งค่า Setup'!$C$9)</f>
        <v>0.2</v>
      </c>
      <c r="G10" s="24"/>
      <c r="H10" s="24"/>
      <c r="I10" s="116" t="str">
        <f aca="false">IF(OR(E10="",H10=""),"",E10)</f>
        <v/>
      </c>
      <c r="J10" s="117" t="str">
        <f aca="false">IF(OR(B10="",C10=""),"",IF(Dashboard!$C$19&gt;=C10,"✓ ถึงเกณฑ์แล้ว","ยังขาด "&amp;TEXT(C10-Dashboard!$C$19,"0.00%")))</f>
        <v>ยังขาด 66.22%</v>
      </c>
      <c r="K10" s="117" t="str">
        <f aca="false">IF(B10="","",IF(H10&lt;&gt;"","ตรวจรับแล้ว",IF(G10&lt;&gt;"","ส่งมอบแล้ว รอตรวจรับ",IF(D10="","-",IF('ตั้งค่า Setup'!$C$15&gt;D10,"เกินกำหนด",IF(D10-'ตั้งค่า Setup'!$C$15&lt;=14,"ใกล้ครบกำหนด (≤14 วัน)","ยังไม่ถึงกำหนด"))))))</f>
        <v>ยังไม่ถึงกำหนด</v>
      </c>
      <c r="L10" s="118" t="n">
        <f aca="false">IF(OR(B10="",D10=""),"",MAX(0,IF(G10&lt;&gt;"",G10,IF(H10&lt;&gt;"",H10,'ตั้งค่า Setup'!$C$15))-D10))</f>
        <v>0</v>
      </c>
      <c r="M10" s="32"/>
    </row>
    <row r="11" customFormat="false" ht="15" hidden="false" customHeight="false" outlineLevel="0" collapsed="false">
      <c r="A11" s="20" t="n">
        <v>5</v>
      </c>
      <c r="B11" s="32" t="s">
        <v>485</v>
      </c>
      <c r="C11" s="113" t="n">
        <v>1</v>
      </c>
      <c r="D11" s="24" t="n">
        <v>46473</v>
      </c>
      <c r="E11" s="114" t="n">
        <v>4840000</v>
      </c>
      <c r="F11" s="115" t="n">
        <f aca="false">IF(E11="","",E11/'ตั้งค่า Setup'!$C$9)</f>
        <v>0.2</v>
      </c>
      <c r="G11" s="24"/>
      <c r="H11" s="24"/>
      <c r="I11" s="116" t="str">
        <f aca="false">IF(OR(E11="",H11=""),"",E11)</f>
        <v/>
      </c>
      <c r="J11" s="117" t="str">
        <f aca="false">IF(OR(B11="",C11=""),"",IF(Dashboard!$C$19&gt;=C11,"✓ ถึงเกณฑ์แล้ว","ยังขาด "&amp;TEXT(C11-Dashboard!$C$19,"0.00%")))</f>
        <v>ยังขาด 81.22%</v>
      </c>
      <c r="K11" s="117" t="str">
        <f aca="false">IF(B11="","",IF(H11&lt;&gt;"","ตรวจรับแล้ว",IF(G11&lt;&gt;"","ส่งมอบแล้ว รอตรวจรับ",IF(D11="","-",IF('ตั้งค่า Setup'!$C$15&gt;D11,"เกินกำหนด",IF(D11-'ตั้งค่า Setup'!$C$15&lt;=14,"ใกล้ครบกำหนด (≤14 วัน)","ยังไม่ถึงกำหนด"))))))</f>
        <v>ยังไม่ถึงกำหนด</v>
      </c>
      <c r="L11" s="118" t="n">
        <f aca="false">IF(OR(B11="",D11=""),"",MAX(0,IF(G11&lt;&gt;"",G11,IF(H11&lt;&gt;"",H11,'ตั้งค่า Setup'!$C$15))-D11))</f>
        <v>0</v>
      </c>
      <c r="M11" s="32"/>
    </row>
    <row r="12" customFormat="false" ht="15" hidden="false" customHeight="false" outlineLevel="0" collapsed="false">
      <c r="A12" s="20"/>
      <c r="B12" s="32"/>
      <c r="C12" s="113"/>
      <c r="D12" s="24"/>
      <c r="E12" s="114"/>
      <c r="F12" s="115" t="str">
        <f aca="false">IF(E12="","",E12/'ตั้งค่า Setup'!$C$9)</f>
        <v/>
      </c>
      <c r="G12" s="24"/>
      <c r="H12" s="24"/>
      <c r="I12" s="116" t="str">
        <f aca="false">IF(OR(E12="",H12=""),"",E12)</f>
        <v/>
      </c>
      <c r="J12" s="117" t="str">
        <f aca="false">IF(OR(B12="",C12=""),"",IF(Dashboard!$C$19&gt;=C12,"✓ ถึงเกณฑ์แล้ว","ยังขาด "&amp;TEXT(C12-Dashboard!$C$19,"0.00%")))</f>
        <v/>
      </c>
      <c r="K12" s="117" t="str">
        <f aca="false">IF(B12="","",IF(H12&lt;&gt;"","ตรวจรับแล้ว",IF(G12&lt;&gt;"","ส่งมอบแล้ว รอตรวจรับ",IF(D12="","-",IF('ตั้งค่า Setup'!$C$15&gt;D12,"เกินกำหนด",IF(D12-'ตั้งค่า Setup'!$C$15&lt;=14,"ใกล้ครบกำหนด (≤14 วัน)","ยังไม่ถึงกำหนด"))))))</f>
        <v/>
      </c>
      <c r="L12" s="118" t="str">
        <f aca="false">IF(OR(B12="",D12=""),"",MAX(0,IF(G12&lt;&gt;"",G12,IF(H12&lt;&gt;"",H12,'ตั้งค่า Setup'!$C$15))-D12))</f>
        <v/>
      </c>
      <c r="M12" s="32"/>
    </row>
    <row r="13" customFormat="false" ht="15" hidden="false" customHeight="false" outlineLevel="0" collapsed="false">
      <c r="A13" s="20"/>
      <c r="B13" s="32"/>
      <c r="C13" s="113"/>
      <c r="D13" s="24"/>
      <c r="E13" s="114"/>
      <c r="F13" s="115" t="str">
        <f aca="false">IF(E13="","",E13/'ตั้งค่า Setup'!$C$9)</f>
        <v/>
      </c>
      <c r="G13" s="24"/>
      <c r="H13" s="24"/>
      <c r="I13" s="116" t="str">
        <f aca="false">IF(OR(E13="",H13=""),"",E13)</f>
        <v/>
      </c>
      <c r="J13" s="117" t="str">
        <f aca="false">IF(OR(B13="",C13=""),"",IF(Dashboard!$C$19&gt;=C13,"✓ ถึงเกณฑ์แล้ว","ยังขาด "&amp;TEXT(C13-Dashboard!$C$19,"0.00%")))</f>
        <v/>
      </c>
      <c r="K13" s="117" t="str">
        <f aca="false">IF(B13="","",IF(H13&lt;&gt;"","ตรวจรับแล้ว",IF(G13&lt;&gt;"","ส่งมอบแล้ว รอตรวจรับ",IF(D13="","-",IF('ตั้งค่า Setup'!$C$15&gt;D13,"เกินกำหนด",IF(D13-'ตั้งค่า Setup'!$C$15&lt;=14,"ใกล้ครบกำหนด (≤14 วัน)","ยังไม่ถึงกำหนด"))))))</f>
        <v/>
      </c>
      <c r="L13" s="118" t="str">
        <f aca="false">IF(OR(B13="",D13=""),"",MAX(0,IF(G13&lt;&gt;"",G13,IF(H13&lt;&gt;"",H13,'ตั้งค่า Setup'!$C$15))-D13))</f>
        <v/>
      </c>
      <c r="M13" s="32"/>
    </row>
    <row r="14" customFormat="false" ht="15" hidden="false" customHeight="false" outlineLevel="0" collapsed="false">
      <c r="A14" s="20"/>
      <c r="B14" s="32"/>
      <c r="C14" s="113"/>
      <c r="D14" s="24"/>
      <c r="E14" s="114"/>
      <c r="F14" s="115" t="str">
        <f aca="false">IF(E14="","",E14/'ตั้งค่า Setup'!$C$9)</f>
        <v/>
      </c>
      <c r="G14" s="24"/>
      <c r="H14" s="24"/>
      <c r="I14" s="116" t="str">
        <f aca="false">IF(OR(E14="",H14=""),"",E14)</f>
        <v/>
      </c>
      <c r="J14" s="117" t="str">
        <f aca="false">IF(OR(B14="",C14=""),"",IF(Dashboard!$C$19&gt;=C14,"✓ ถึงเกณฑ์แล้ว","ยังขาด "&amp;TEXT(C14-Dashboard!$C$19,"0.00%")))</f>
        <v/>
      </c>
      <c r="K14" s="117" t="str">
        <f aca="false">IF(B14="","",IF(H14&lt;&gt;"","ตรวจรับแล้ว",IF(G14&lt;&gt;"","ส่งมอบแล้ว รอตรวจรับ",IF(D14="","-",IF('ตั้งค่า Setup'!$C$15&gt;D14,"เกินกำหนด",IF(D14-'ตั้งค่า Setup'!$C$15&lt;=14,"ใกล้ครบกำหนด (≤14 วัน)","ยังไม่ถึงกำหนด"))))))</f>
        <v/>
      </c>
      <c r="L14" s="118" t="str">
        <f aca="false">IF(OR(B14="",D14=""),"",MAX(0,IF(G14&lt;&gt;"",G14,IF(H14&lt;&gt;"",H14,'ตั้งค่า Setup'!$C$15))-D14))</f>
        <v/>
      </c>
      <c r="M14" s="32"/>
    </row>
    <row r="15" customFormat="false" ht="15" hidden="false" customHeight="false" outlineLevel="0" collapsed="false">
      <c r="A15" s="20"/>
      <c r="B15" s="32"/>
      <c r="C15" s="113"/>
      <c r="D15" s="24"/>
      <c r="E15" s="114"/>
      <c r="F15" s="115" t="str">
        <f aca="false">IF(E15="","",E15/'ตั้งค่า Setup'!$C$9)</f>
        <v/>
      </c>
      <c r="G15" s="24"/>
      <c r="H15" s="24"/>
      <c r="I15" s="116" t="str">
        <f aca="false">IF(OR(E15="",H15=""),"",E15)</f>
        <v/>
      </c>
      <c r="J15" s="117" t="str">
        <f aca="false">IF(OR(B15="",C15=""),"",IF(Dashboard!$C$19&gt;=C15,"✓ ถึงเกณฑ์แล้ว","ยังขาด "&amp;TEXT(C15-Dashboard!$C$19,"0.00%")))</f>
        <v/>
      </c>
      <c r="K15" s="117" t="str">
        <f aca="false">IF(B15="","",IF(H15&lt;&gt;"","ตรวจรับแล้ว",IF(G15&lt;&gt;"","ส่งมอบแล้ว รอตรวจรับ",IF(D15="","-",IF('ตั้งค่า Setup'!$C$15&gt;D15,"เกินกำหนด",IF(D15-'ตั้งค่า Setup'!$C$15&lt;=14,"ใกล้ครบกำหนด (≤14 วัน)","ยังไม่ถึงกำหนด"))))))</f>
        <v/>
      </c>
      <c r="L15" s="118" t="str">
        <f aca="false">IF(OR(B15="",D15=""),"",MAX(0,IF(G15&lt;&gt;"",G15,IF(H15&lt;&gt;"",H15,'ตั้งค่า Setup'!$C$15))-D15))</f>
        <v/>
      </c>
      <c r="M15" s="32"/>
    </row>
    <row r="16" customFormat="false" ht="15" hidden="false" customHeight="false" outlineLevel="0" collapsed="false">
      <c r="A16" s="20"/>
      <c r="B16" s="32"/>
      <c r="C16" s="113"/>
      <c r="D16" s="24"/>
      <c r="E16" s="114"/>
      <c r="F16" s="115" t="str">
        <f aca="false">IF(E16="","",E16/'ตั้งค่า Setup'!$C$9)</f>
        <v/>
      </c>
      <c r="G16" s="24"/>
      <c r="H16" s="24"/>
      <c r="I16" s="116" t="str">
        <f aca="false">IF(OR(E16="",H16=""),"",E16)</f>
        <v/>
      </c>
      <c r="J16" s="117" t="str">
        <f aca="false">IF(OR(B16="",C16=""),"",IF(Dashboard!$C$19&gt;=C16,"✓ ถึงเกณฑ์แล้ว","ยังขาด "&amp;TEXT(C16-Dashboard!$C$19,"0.00%")))</f>
        <v/>
      </c>
      <c r="K16" s="117" t="str">
        <f aca="false">IF(B16="","",IF(H16&lt;&gt;"","ตรวจรับแล้ว",IF(G16&lt;&gt;"","ส่งมอบแล้ว รอตรวจรับ",IF(D16="","-",IF('ตั้งค่า Setup'!$C$15&gt;D16,"เกินกำหนด",IF(D16-'ตั้งค่า Setup'!$C$15&lt;=14,"ใกล้ครบกำหนด (≤14 วัน)","ยังไม่ถึงกำหนด"))))))</f>
        <v/>
      </c>
      <c r="L16" s="118" t="str">
        <f aca="false">IF(OR(B16="",D16=""),"",MAX(0,IF(G16&lt;&gt;"",G16,IF(H16&lt;&gt;"",H16,'ตั้งค่า Setup'!$C$15))-D16))</f>
        <v/>
      </c>
      <c r="M16" s="32"/>
    </row>
    <row r="17" customFormat="false" ht="15" hidden="false" customHeight="false" outlineLevel="0" collapsed="false">
      <c r="A17" s="20"/>
      <c r="B17" s="32"/>
      <c r="C17" s="113"/>
      <c r="D17" s="24"/>
      <c r="E17" s="114"/>
      <c r="F17" s="115" t="str">
        <f aca="false">IF(E17="","",E17/'ตั้งค่า Setup'!$C$9)</f>
        <v/>
      </c>
      <c r="G17" s="24"/>
      <c r="H17" s="24"/>
      <c r="I17" s="116" t="str">
        <f aca="false">IF(OR(E17="",H17=""),"",E17)</f>
        <v/>
      </c>
      <c r="J17" s="117" t="str">
        <f aca="false">IF(OR(B17="",C17=""),"",IF(Dashboard!$C$19&gt;=C17,"✓ ถึงเกณฑ์แล้ว","ยังขาด "&amp;TEXT(C17-Dashboard!$C$19,"0.00%")))</f>
        <v/>
      </c>
      <c r="K17" s="117" t="str">
        <f aca="false">IF(B17="","",IF(H17&lt;&gt;"","ตรวจรับแล้ว",IF(G17&lt;&gt;"","ส่งมอบแล้ว รอตรวจรับ",IF(D17="","-",IF('ตั้งค่า Setup'!$C$15&gt;D17,"เกินกำหนด",IF(D17-'ตั้งค่า Setup'!$C$15&lt;=14,"ใกล้ครบกำหนด (≤14 วัน)","ยังไม่ถึงกำหนด"))))))</f>
        <v/>
      </c>
      <c r="L17" s="118" t="str">
        <f aca="false">IF(OR(B17="",D17=""),"",MAX(0,IF(G17&lt;&gt;"",G17,IF(H17&lt;&gt;"",H17,'ตั้งค่า Setup'!$C$15))-D17))</f>
        <v/>
      </c>
      <c r="M17" s="32"/>
    </row>
    <row r="18" customFormat="false" ht="15" hidden="false" customHeight="false" outlineLevel="0" collapsed="false">
      <c r="A18" s="20"/>
      <c r="B18" s="32"/>
      <c r="C18" s="113"/>
      <c r="D18" s="24"/>
      <c r="E18" s="114"/>
      <c r="F18" s="115" t="str">
        <f aca="false">IF(E18="","",E18/'ตั้งค่า Setup'!$C$9)</f>
        <v/>
      </c>
      <c r="G18" s="24"/>
      <c r="H18" s="24"/>
      <c r="I18" s="116" t="str">
        <f aca="false">IF(OR(E18="",H18=""),"",E18)</f>
        <v/>
      </c>
      <c r="J18" s="117" t="str">
        <f aca="false">IF(OR(B18="",C18=""),"",IF(Dashboard!$C$19&gt;=C18,"✓ ถึงเกณฑ์แล้ว","ยังขาด "&amp;TEXT(C18-Dashboard!$C$19,"0.00%")))</f>
        <v/>
      </c>
      <c r="K18" s="117" t="str">
        <f aca="false">IF(B18="","",IF(H18&lt;&gt;"","ตรวจรับแล้ว",IF(G18&lt;&gt;"","ส่งมอบแล้ว รอตรวจรับ",IF(D18="","-",IF('ตั้งค่า Setup'!$C$15&gt;D18,"เกินกำหนด",IF(D18-'ตั้งค่า Setup'!$C$15&lt;=14,"ใกล้ครบกำหนด (≤14 วัน)","ยังไม่ถึงกำหนด"))))))</f>
        <v/>
      </c>
      <c r="L18" s="118" t="str">
        <f aca="false">IF(OR(B18="",D18=""),"",MAX(0,IF(G18&lt;&gt;"",G18,IF(H18&lt;&gt;"",H18,'ตั้งค่า Setup'!$C$15))-D18))</f>
        <v/>
      </c>
      <c r="M18" s="32"/>
    </row>
    <row r="19" customFormat="false" ht="15" hidden="false" customHeight="false" outlineLevel="0" collapsed="false">
      <c r="A19" s="20"/>
      <c r="B19" s="32"/>
      <c r="C19" s="113"/>
      <c r="D19" s="24"/>
      <c r="E19" s="114"/>
      <c r="F19" s="115" t="str">
        <f aca="false">IF(E19="","",E19/'ตั้งค่า Setup'!$C$9)</f>
        <v/>
      </c>
      <c r="G19" s="24"/>
      <c r="H19" s="24"/>
      <c r="I19" s="116" t="str">
        <f aca="false">IF(OR(E19="",H19=""),"",E19)</f>
        <v/>
      </c>
      <c r="J19" s="117" t="str">
        <f aca="false">IF(OR(B19="",C19=""),"",IF(Dashboard!$C$19&gt;=C19,"✓ ถึงเกณฑ์แล้ว","ยังขาด "&amp;TEXT(C19-Dashboard!$C$19,"0.00%")))</f>
        <v/>
      </c>
      <c r="K19" s="117" t="str">
        <f aca="false">IF(B19="","",IF(H19&lt;&gt;"","ตรวจรับแล้ว",IF(G19&lt;&gt;"","ส่งมอบแล้ว รอตรวจรับ",IF(D19="","-",IF('ตั้งค่า Setup'!$C$15&gt;D19,"เกินกำหนด",IF(D19-'ตั้งค่า Setup'!$C$15&lt;=14,"ใกล้ครบกำหนด (≤14 วัน)","ยังไม่ถึงกำหนด"))))))</f>
        <v/>
      </c>
      <c r="L19" s="118" t="str">
        <f aca="false">IF(OR(B19="",D19=""),"",MAX(0,IF(G19&lt;&gt;"",G19,IF(H19&lt;&gt;"",H19,'ตั้งค่า Setup'!$C$15))-D19))</f>
        <v/>
      </c>
      <c r="M19" s="32"/>
    </row>
    <row r="20" customFormat="false" ht="15" hidden="false" customHeight="false" outlineLevel="0" collapsed="false">
      <c r="A20" s="20"/>
      <c r="B20" s="32"/>
      <c r="C20" s="113"/>
      <c r="D20" s="24"/>
      <c r="E20" s="114"/>
      <c r="F20" s="115" t="str">
        <f aca="false">IF(E20="","",E20/'ตั้งค่า Setup'!$C$9)</f>
        <v/>
      </c>
      <c r="G20" s="24"/>
      <c r="H20" s="24"/>
      <c r="I20" s="116" t="str">
        <f aca="false">IF(OR(E20="",H20=""),"",E20)</f>
        <v/>
      </c>
      <c r="J20" s="117" t="str">
        <f aca="false">IF(OR(B20="",C20=""),"",IF(Dashboard!$C$19&gt;=C20,"✓ ถึงเกณฑ์แล้ว","ยังขาด "&amp;TEXT(C20-Dashboard!$C$19,"0.00%")))</f>
        <v/>
      </c>
      <c r="K20" s="117" t="str">
        <f aca="false">IF(B20="","",IF(H20&lt;&gt;"","ตรวจรับแล้ว",IF(G20&lt;&gt;"","ส่งมอบแล้ว รอตรวจรับ",IF(D20="","-",IF('ตั้งค่า Setup'!$C$15&gt;D20,"เกินกำหนด",IF(D20-'ตั้งค่า Setup'!$C$15&lt;=14,"ใกล้ครบกำหนด (≤14 วัน)","ยังไม่ถึงกำหนด"))))))</f>
        <v/>
      </c>
      <c r="L20" s="118" t="str">
        <f aca="false">IF(OR(B20="",D20=""),"",MAX(0,IF(G20&lt;&gt;"",G20,IF(H20&lt;&gt;"",H20,'ตั้งค่า Setup'!$C$15))-D20))</f>
        <v/>
      </c>
      <c r="M20" s="32"/>
    </row>
    <row r="21" customFormat="false" ht="15" hidden="false" customHeight="false" outlineLevel="0" collapsed="false">
      <c r="A21" s="20"/>
      <c r="B21" s="32"/>
      <c r="C21" s="113"/>
      <c r="D21" s="24"/>
      <c r="E21" s="114"/>
      <c r="F21" s="115" t="str">
        <f aca="false">IF(E21="","",E21/'ตั้งค่า Setup'!$C$9)</f>
        <v/>
      </c>
      <c r="G21" s="24"/>
      <c r="H21" s="24"/>
      <c r="I21" s="116" t="str">
        <f aca="false">IF(OR(E21="",H21=""),"",E21)</f>
        <v/>
      </c>
      <c r="J21" s="117" t="str">
        <f aca="false">IF(OR(B21="",C21=""),"",IF(Dashboard!$C$19&gt;=C21,"✓ ถึงเกณฑ์แล้ว","ยังขาด "&amp;TEXT(C21-Dashboard!$C$19,"0.00%")))</f>
        <v/>
      </c>
      <c r="K21" s="117" t="str">
        <f aca="false">IF(B21="","",IF(H21&lt;&gt;"","ตรวจรับแล้ว",IF(G21&lt;&gt;"","ส่งมอบแล้ว รอตรวจรับ",IF(D21="","-",IF('ตั้งค่า Setup'!$C$15&gt;D21,"เกินกำหนด",IF(D21-'ตั้งค่า Setup'!$C$15&lt;=14,"ใกล้ครบกำหนด (≤14 วัน)","ยังไม่ถึงกำหนด"))))))</f>
        <v/>
      </c>
      <c r="L21" s="118" t="str">
        <f aca="false">IF(OR(B21="",D21=""),"",MAX(0,IF(G21&lt;&gt;"",G21,IF(H21&lt;&gt;"",H21,'ตั้งค่า Setup'!$C$15))-D21))</f>
        <v/>
      </c>
      <c r="M21" s="32"/>
    </row>
    <row r="22" customFormat="false" ht="15" hidden="false" customHeight="false" outlineLevel="0" collapsed="false">
      <c r="A22" s="20"/>
      <c r="B22" s="32"/>
      <c r="C22" s="113"/>
      <c r="D22" s="24"/>
      <c r="E22" s="114"/>
      <c r="F22" s="115" t="str">
        <f aca="false">IF(E22="","",E22/'ตั้งค่า Setup'!$C$9)</f>
        <v/>
      </c>
      <c r="G22" s="24"/>
      <c r="H22" s="24"/>
      <c r="I22" s="116" t="str">
        <f aca="false">IF(OR(E22="",H22=""),"",E22)</f>
        <v/>
      </c>
      <c r="J22" s="117" t="str">
        <f aca="false">IF(OR(B22="",C22=""),"",IF(Dashboard!$C$19&gt;=C22,"✓ ถึงเกณฑ์แล้ว","ยังขาด "&amp;TEXT(C22-Dashboard!$C$19,"0.00%")))</f>
        <v/>
      </c>
      <c r="K22" s="117" t="str">
        <f aca="false">IF(B22="","",IF(H22&lt;&gt;"","ตรวจรับแล้ว",IF(G22&lt;&gt;"","ส่งมอบแล้ว รอตรวจรับ",IF(D22="","-",IF('ตั้งค่า Setup'!$C$15&gt;D22,"เกินกำหนด",IF(D22-'ตั้งค่า Setup'!$C$15&lt;=14,"ใกล้ครบกำหนด (≤14 วัน)","ยังไม่ถึงกำหนด"))))))</f>
        <v/>
      </c>
      <c r="L22" s="118" t="str">
        <f aca="false">IF(OR(B22="",D22=""),"",MAX(0,IF(G22&lt;&gt;"",G22,IF(H22&lt;&gt;"",H22,'ตั้งค่า Setup'!$C$15))-D22))</f>
        <v/>
      </c>
      <c r="M22" s="32"/>
    </row>
    <row r="23" customFormat="false" ht="15" hidden="false" customHeight="false" outlineLevel="0" collapsed="false">
      <c r="A23" s="20"/>
      <c r="B23" s="32"/>
      <c r="C23" s="113"/>
      <c r="D23" s="24"/>
      <c r="E23" s="114"/>
      <c r="F23" s="115" t="str">
        <f aca="false">IF(E23="","",E23/'ตั้งค่า Setup'!$C$9)</f>
        <v/>
      </c>
      <c r="G23" s="24"/>
      <c r="H23" s="24"/>
      <c r="I23" s="116" t="str">
        <f aca="false">IF(OR(E23="",H23=""),"",E23)</f>
        <v/>
      </c>
      <c r="J23" s="117" t="str">
        <f aca="false">IF(OR(B23="",C23=""),"",IF(Dashboard!$C$19&gt;=C23,"✓ ถึงเกณฑ์แล้ว","ยังขาด "&amp;TEXT(C23-Dashboard!$C$19,"0.00%")))</f>
        <v/>
      </c>
      <c r="K23" s="117" t="str">
        <f aca="false">IF(B23="","",IF(H23&lt;&gt;"","ตรวจรับแล้ว",IF(G23&lt;&gt;"","ส่งมอบแล้ว รอตรวจรับ",IF(D23="","-",IF('ตั้งค่า Setup'!$C$15&gt;D23,"เกินกำหนด",IF(D23-'ตั้งค่า Setup'!$C$15&lt;=14,"ใกล้ครบกำหนด (≤14 วัน)","ยังไม่ถึงกำหนด"))))))</f>
        <v/>
      </c>
      <c r="L23" s="118" t="str">
        <f aca="false">IF(OR(B23="",D23=""),"",MAX(0,IF(G23&lt;&gt;"",G23,IF(H23&lt;&gt;"",H23,'ตั้งค่า Setup'!$C$15))-D23))</f>
        <v/>
      </c>
      <c r="M23" s="32"/>
    </row>
    <row r="24" customFormat="false" ht="15" hidden="false" customHeight="false" outlineLevel="0" collapsed="false">
      <c r="A24" s="20"/>
      <c r="B24" s="32"/>
      <c r="C24" s="113"/>
      <c r="D24" s="24"/>
      <c r="E24" s="114"/>
      <c r="F24" s="115" t="str">
        <f aca="false">IF(E24="","",E24/'ตั้งค่า Setup'!$C$9)</f>
        <v/>
      </c>
      <c r="G24" s="24"/>
      <c r="H24" s="24"/>
      <c r="I24" s="116" t="str">
        <f aca="false">IF(OR(E24="",H24=""),"",E24)</f>
        <v/>
      </c>
      <c r="J24" s="117" t="str">
        <f aca="false">IF(OR(B24="",C24=""),"",IF(Dashboard!$C$19&gt;=C24,"✓ ถึงเกณฑ์แล้ว","ยังขาด "&amp;TEXT(C24-Dashboard!$C$19,"0.00%")))</f>
        <v/>
      </c>
      <c r="K24" s="117" t="str">
        <f aca="false">IF(B24="","",IF(H24&lt;&gt;"","ตรวจรับแล้ว",IF(G24&lt;&gt;"","ส่งมอบแล้ว รอตรวจรับ",IF(D24="","-",IF('ตั้งค่า Setup'!$C$15&gt;D24,"เกินกำหนด",IF(D24-'ตั้งค่า Setup'!$C$15&lt;=14,"ใกล้ครบกำหนด (≤14 วัน)","ยังไม่ถึงกำหนด"))))))</f>
        <v/>
      </c>
      <c r="L24" s="118" t="str">
        <f aca="false">IF(OR(B24="",D24=""),"",MAX(0,IF(G24&lt;&gt;"",G24,IF(H24&lt;&gt;"",H24,'ตั้งค่า Setup'!$C$15))-D24))</f>
        <v/>
      </c>
      <c r="M24" s="32"/>
    </row>
    <row r="25" customFormat="false" ht="15" hidden="false" customHeight="false" outlineLevel="0" collapsed="false">
      <c r="A25" s="20"/>
      <c r="B25" s="32"/>
      <c r="C25" s="113"/>
      <c r="D25" s="24"/>
      <c r="E25" s="114"/>
      <c r="F25" s="115" t="str">
        <f aca="false">IF(E25="","",E25/'ตั้งค่า Setup'!$C$9)</f>
        <v/>
      </c>
      <c r="G25" s="24"/>
      <c r="H25" s="24"/>
      <c r="I25" s="116" t="str">
        <f aca="false">IF(OR(E25="",H25=""),"",E25)</f>
        <v/>
      </c>
      <c r="J25" s="117" t="str">
        <f aca="false">IF(OR(B25="",C25=""),"",IF(Dashboard!$C$19&gt;=C25,"✓ ถึงเกณฑ์แล้ว","ยังขาด "&amp;TEXT(C25-Dashboard!$C$19,"0.00%")))</f>
        <v/>
      </c>
      <c r="K25" s="117" t="str">
        <f aca="false">IF(B25="","",IF(H25&lt;&gt;"","ตรวจรับแล้ว",IF(G25&lt;&gt;"","ส่งมอบแล้ว รอตรวจรับ",IF(D25="","-",IF('ตั้งค่า Setup'!$C$15&gt;D25,"เกินกำหนด",IF(D25-'ตั้งค่า Setup'!$C$15&lt;=14,"ใกล้ครบกำหนด (≤14 วัน)","ยังไม่ถึงกำหนด"))))))</f>
        <v/>
      </c>
      <c r="L25" s="118" t="str">
        <f aca="false">IF(OR(B25="",D25=""),"",MAX(0,IF(G25&lt;&gt;"",G25,IF(H25&lt;&gt;"",H25,'ตั้งค่า Setup'!$C$15))-D25))</f>
        <v/>
      </c>
      <c r="M25" s="32"/>
    </row>
    <row r="26" customFormat="false" ht="15" hidden="false" customHeight="false" outlineLevel="0" collapsed="false">
      <c r="A26" s="20"/>
      <c r="B26" s="32"/>
      <c r="C26" s="113"/>
      <c r="D26" s="24"/>
      <c r="E26" s="114"/>
      <c r="F26" s="115" t="str">
        <f aca="false">IF(E26="","",E26/'ตั้งค่า Setup'!$C$9)</f>
        <v/>
      </c>
      <c r="G26" s="24"/>
      <c r="H26" s="24"/>
      <c r="I26" s="116" t="str">
        <f aca="false">IF(OR(E26="",H26=""),"",E26)</f>
        <v/>
      </c>
      <c r="J26" s="117" t="str">
        <f aca="false">IF(OR(B26="",C26=""),"",IF(Dashboard!$C$19&gt;=C26,"✓ ถึงเกณฑ์แล้ว","ยังขาด "&amp;TEXT(C26-Dashboard!$C$19,"0.00%")))</f>
        <v/>
      </c>
      <c r="K26" s="117" t="str">
        <f aca="false">IF(B26="","",IF(H26&lt;&gt;"","ตรวจรับแล้ว",IF(G26&lt;&gt;"","ส่งมอบแล้ว รอตรวจรับ",IF(D26="","-",IF('ตั้งค่า Setup'!$C$15&gt;D26,"เกินกำหนด",IF(D26-'ตั้งค่า Setup'!$C$15&lt;=14,"ใกล้ครบกำหนด (≤14 วัน)","ยังไม่ถึงกำหนด"))))))</f>
        <v/>
      </c>
      <c r="L26" s="118" t="str">
        <f aca="false">IF(OR(B26="",D26=""),"",MAX(0,IF(G26&lt;&gt;"",G26,IF(H26&lt;&gt;"",H26,'ตั้งค่า Setup'!$C$15))-D26))</f>
        <v/>
      </c>
      <c r="M26" s="32"/>
    </row>
    <row r="27" customFormat="false" ht="15" hidden="false" customHeight="false" outlineLevel="0" collapsed="false">
      <c r="A27" s="119"/>
      <c r="B27" s="120" t="s">
        <v>486</v>
      </c>
      <c r="C27" s="119"/>
      <c r="D27" s="119"/>
      <c r="E27" s="121" t="n">
        <f aca="false">SUM(E7:E26)</f>
        <v>24200000</v>
      </c>
      <c r="F27" s="122" t="n">
        <f aca="false">SUM(F7:F26)</f>
        <v>1</v>
      </c>
      <c r="G27" s="119"/>
      <c r="H27" s="119"/>
      <c r="I27" s="121" t="n">
        <f aca="false">SUM(I7:I26)</f>
        <v>0</v>
      </c>
      <c r="J27" s="119"/>
      <c r="K27" s="123" t="str">
        <f aca="false">IF(COUNT(E7:E26)=0,"",IF(ABS(E27-'ตั้งค่า Setup'!$C$9)&lt;1,"✓ ตรงกับมูลค่าสัญญา","⚠ ต่างจากมูลค่าสัญญา "&amp;TEXT(E27-'ตั้งค่า Setup'!$C$9,"#,##0")))</f>
        <v>✓ ตรงกับมูลค่าสัญญา</v>
      </c>
      <c r="L27" s="119"/>
      <c r="M27" s="119"/>
    </row>
  </sheetData>
  <sheetProtection sheet="true" formatCells="false" formatColumns="false" formatRows="false"/>
  <conditionalFormatting sqref="K7:K26">
    <cfRule type="expression" priority="2" aboveAverage="0" equalAverage="0" bottom="0" percent="0" rank="0" text="" dxfId="5">
      <formula>K7="เกินกำหนด"</formula>
    </cfRule>
    <cfRule type="expression" priority="3" aboveAverage="0" equalAverage="0" bottom="0" percent="0" rank="0" text="" dxfId="1">
      <formula>LEFT(K7,4)="ใกล้ค"</formula>
    </cfRule>
    <cfRule type="expression" priority="4" aboveAverage="0" equalAverage="0" bottom="0" percent="0" rank="0" text="" dxfId="2">
      <formula>K7="ตรวจรับแล้ว"</formula>
    </cfRule>
  </conditionalFormatting>
  <conditionalFormatting sqref="J7:J26">
    <cfRule type="expression" priority="5" aboveAverage="0" equalAverage="0" bottom="0" percent="0" rank="0" text="" dxfId="12">
      <formula>LEFT(J7,1)="✓"</formula>
    </cfRule>
  </conditionalFormatting>
  <conditionalFormatting sqref="K27">
    <cfRule type="expression" priority="6" aboveAverage="0" equalAverage="0" bottom="0" percent="0" rank="0" text="" dxfId="4">
      <formula>LEFT(K27,1)="⚠"</formula>
    </cfRule>
  </conditionalFormatting>
  <dataValidations count="2">
    <dataValidation allowBlank="false" error="กรุณากรอกวันที่" errorStyle="stop" operator="greaterThan" showDropDown="false" showErrorMessage="false" showInputMessage="false" sqref="D7:D26 G7:H26" type="date">
      <formula1>36526</formula1>
      <formula2>0</formula2>
    </dataValidation>
    <dataValidation allowBlank="false" error="กรอก 0%–100%" errorStyle="stop" operator="between" showDropDown="false" showErrorMessage="false" showInputMessage="false" sqref="C7:C26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6" topLeftCell="D17" activePane="bottomRight" state="frozen"/>
      <selection pane="topLeft" activeCell="A1" activeCellId="0" sqref="A1"/>
      <selection pane="topRight" activeCell="D1" activeCellId="0" sqref="D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30"/>
    <col collapsed="false" customWidth="true" hidden="false" outlineLevel="0" max="4" min="4" style="1" width="9"/>
    <col collapsed="false" customWidth="true" hidden="false" outlineLevel="0" max="5" min="5" style="1" width="10"/>
    <col collapsed="false" customWidth="true" hidden="false" outlineLevel="0" max="8" min="6" style="1" width="9"/>
    <col collapsed="false" customWidth="true" hidden="false" outlineLevel="0" max="9" min="9" style="1" width="20"/>
    <col collapsed="false" customWidth="true" hidden="false" outlineLevel="0" max="10" min="10" style="1" width="10"/>
    <col collapsed="false" customWidth="true" hidden="false" outlineLevel="0" max="11" min="11" style="1" width="40"/>
    <col collapsed="false" customWidth="true" hidden="false" outlineLevel="0" max="12" min="12" style="1" width="36"/>
    <col collapsed="false" customWidth="true" hidden="false" outlineLevel="0" max="14" min="13" style="1" width="30"/>
    <col collapsed="false" customWidth="true" hidden="false" outlineLevel="0" max="15" min="15" style="1" width="34"/>
  </cols>
  <sheetData>
    <row r="1" customFormat="false" ht="20.1" hidden="false" customHeight="false" outlineLevel="0" collapsed="false">
      <c r="A1" s="2" t="s">
        <v>487</v>
      </c>
    </row>
    <row r="2" customFormat="false" ht="15" hidden="false" customHeight="false" outlineLevel="0" collapsed="false">
      <c r="A2" s="17" t="s">
        <v>488</v>
      </c>
    </row>
    <row r="3" customFormat="false" ht="22.35" hidden="false" customHeight="true" outlineLevel="0" collapsed="false">
      <c r="B3" s="18" t="s">
        <v>489</v>
      </c>
      <c r="C3" s="18" t="s">
        <v>157</v>
      </c>
      <c r="D3" s="106" t="s">
        <v>193</v>
      </c>
      <c r="E3" s="106"/>
      <c r="F3" s="106"/>
    </row>
    <row r="4" customFormat="false" ht="15" hidden="false" customHeight="false" outlineLevel="0" collapsed="false">
      <c r="B4" s="19" t="s">
        <v>490</v>
      </c>
      <c r="C4" s="22" t="s">
        <v>491</v>
      </c>
      <c r="D4" s="124"/>
      <c r="E4" s="124"/>
      <c r="F4" s="124"/>
    </row>
    <row r="5" customFormat="false" ht="15" hidden="false" customHeight="false" outlineLevel="0" collapsed="false">
      <c r="B5" s="19" t="s">
        <v>492</v>
      </c>
      <c r="C5" s="22" t="s">
        <v>493</v>
      </c>
      <c r="D5" s="21" t="s">
        <v>494</v>
      </c>
      <c r="E5" s="21"/>
      <c r="F5" s="21"/>
    </row>
    <row r="6" customFormat="false" ht="15" hidden="false" customHeight="false" outlineLevel="0" collapsed="false">
      <c r="B6" s="19" t="s">
        <v>495</v>
      </c>
      <c r="C6" s="24" t="n">
        <v>46167</v>
      </c>
      <c r="D6" s="21" t="s">
        <v>496</v>
      </c>
      <c r="E6" s="21"/>
      <c r="F6" s="21"/>
    </row>
    <row r="7" customFormat="false" ht="15" hidden="false" customHeight="false" outlineLevel="0" collapsed="false">
      <c r="B7" s="19" t="s">
        <v>497</v>
      </c>
      <c r="C7" s="22" t="s">
        <v>498</v>
      </c>
      <c r="D7" s="21" t="s">
        <v>499</v>
      </c>
      <c r="E7" s="21"/>
      <c r="F7" s="21"/>
    </row>
    <row r="8" customFormat="false" ht="15" hidden="false" customHeight="false" outlineLevel="0" collapsed="false">
      <c r="B8" s="19" t="s">
        <v>500</v>
      </c>
      <c r="C8" s="20" t="s">
        <v>501</v>
      </c>
      <c r="D8" s="21"/>
      <c r="E8" s="21"/>
      <c r="F8" s="21"/>
    </row>
    <row r="9" customFormat="false" ht="15" hidden="false" customHeight="false" outlineLevel="0" collapsed="false">
      <c r="B9" s="19" t="s">
        <v>502</v>
      </c>
      <c r="C9" s="22" t="s">
        <v>503</v>
      </c>
      <c r="D9" s="21"/>
      <c r="E9" s="21"/>
      <c r="F9" s="21"/>
    </row>
    <row r="10" customFormat="false" ht="15" hidden="false" customHeight="false" outlineLevel="0" collapsed="false">
      <c r="B10" s="19" t="s">
        <v>504</v>
      </c>
      <c r="C10" s="22" t="s">
        <v>505</v>
      </c>
      <c r="D10" s="21"/>
      <c r="E10" s="21"/>
      <c r="F10" s="21"/>
    </row>
    <row r="11" customFormat="false" ht="15" hidden="false" customHeight="false" outlineLevel="0" collapsed="false">
      <c r="B11" s="19" t="s">
        <v>506</v>
      </c>
      <c r="C11" s="22" t="s">
        <v>507</v>
      </c>
      <c r="D11" s="21"/>
      <c r="E11" s="21"/>
      <c r="F11" s="21"/>
    </row>
    <row r="12" customFormat="false" ht="15" hidden="false" customHeight="false" outlineLevel="0" collapsed="false">
      <c r="B12" s="19" t="s">
        <v>508</v>
      </c>
      <c r="C12" s="125" t="n">
        <f aca="false">MAX(1,INT(('ตั้งค่า Setup'!$C$15-'ตั้งค่า Setup'!$C$10+1)/7))</f>
        <v>17</v>
      </c>
      <c r="D12" s="21" t="s">
        <v>509</v>
      </c>
      <c r="E12" s="21"/>
      <c r="F12" s="21"/>
    </row>
    <row r="13" customFormat="false" ht="15" hidden="false" customHeight="false" outlineLevel="0" collapsed="false">
      <c r="B13" s="19" t="s">
        <v>510</v>
      </c>
      <c r="C13" s="26" t="n">
        <f aca="false">'ตั้งค่า Setup'!$C$15</f>
        <v>46293</v>
      </c>
      <c r="D13" s="21" t="s">
        <v>511</v>
      </c>
      <c r="E13" s="21"/>
      <c r="F13" s="21"/>
    </row>
    <row r="15" customFormat="false" ht="15" hidden="false" customHeight="false" outlineLevel="0" collapsed="false">
      <c r="A15" s="126" t="s">
        <v>512</v>
      </c>
    </row>
    <row r="16" customFormat="false" ht="42" hidden="false" customHeight="true" outlineLevel="0" collapsed="false">
      <c r="A16" s="18" t="s">
        <v>513</v>
      </c>
      <c r="B16" s="18" t="s">
        <v>514</v>
      </c>
      <c r="C16" s="18" t="s">
        <v>515</v>
      </c>
      <c r="D16" s="59" t="s">
        <v>516</v>
      </c>
      <c r="E16" s="59" t="s">
        <v>517</v>
      </c>
      <c r="F16" s="18" t="s">
        <v>518</v>
      </c>
      <c r="G16" s="18" t="s">
        <v>519</v>
      </c>
      <c r="H16" s="18" t="s">
        <v>520</v>
      </c>
      <c r="I16" s="18" t="s">
        <v>521</v>
      </c>
      <c r="J16" s="18" t="s">
        <v>522</v>
      </c>
      <c r="K16" s="18" t="s">
        <v>523</v>
      </c>
      <c r="L16" s="18" t="s">
        <v>524</v>
      </c>
      <c r="M16" s="18" t="s">
        <v>525</v>
      </c>
      <c r="N16" s="18" t="s">
        <v>526</v>
      </c>
      <c r="O16" s="18" t="s">
        <v>527</v>
      </c>
    </row>
    <row r="17" customFormat="false" ht="25.35" hidden="false" customHeight="false" outlineLevel="0" collapsed="false">
      <c r="A17" s="117" t="n">
        <f aca="false">IF('ตั้งค่า Setup'!$C$10+7*0&gt;MAX('ตั้งค่า Setup'!$C$111,'ตั้งค่า Setup'!$C$15)+7,"",1)</f>
        <v>1</v>
      </c>
      <c r="B17" s="127" t="n">
        <f aca="false">IF(A17="","",'ตั้งค่า Setup'!$C$10+7*0)</f>
        <v>46174</v>
      </c>
      <c r="C17" s="127" t="n">
        <f aca="false">IF(A17="","",B17+6)</f>
        <v>46180</v>
      </c>
      <c r="D17" s="115" t="n">
        <f aca="false">IF(A17="","",SUMPRODUCT('แผนงาน Schedule'!$G$7:$G$156,('แผนงาน Schedule'!$J$7:$J$156&lt;=C17)+('แผนงาน Schedule'!$I$7:$I$156&lt;=C17)*('แผนงาน Schedule'!$J$7:$J$156&gt;C17)*(C17-'แผนงาน Schedule'!$I$7:$I$156+1)/('แผนงาน Schedule'!$J$7:$J$156-'แผนงาน Schedule'!$I$7:$I$156+1)))</f>
        <v>0.00506198347107438</v>
      </c>
      <c r="E17" s="113" t="n">
        <v>0.0043</v>
      </c>
      <c r="F17" s="115" t="n">
        <f aca="false">IF(E17="","",E17-0)</f>
        <v>0.0043</v>
      </c>
      <c r="G17" s="128" t="n">
        <f aca="false">IF(OR(E17="",D17=""),"",E17-D17)</f>
        <v>-0.00076198347107438</v>
      </c>
      <c r="H17" s="22" t="n">
        <v>21</v>
      </c>
      <c r="I17" s="129" t="s">
        <v>528</v>
      </c>
      <c r="J17" s="130" t="s">
        <v>529</v>
      </c>
      <c r="K17" s="129"/>
      <c r="L17" s="129"/>
      <c r="M17" s="129"/>
      <c r="N17" s="129"/>
      <c r="O17" s="129"/>
    </row>
    <row r="18" customFormat="false" ht="25.35" hidden="false" customHeight="false" outlineLevel="0" collapsed="false">
      <c r="A18" s="117" t="n">
        <f aca="false">IF('ตั้งค่า Setup'!$C$10+7*1&gt;MAX('ตั้งค่า Setup'!$C$111,'ตั้งค่า Setup'!$C$15)+7,"",2)</f>
        <v>2</v>
      </c>
      <c r="B18" s="127" t="n">
        <f aca="false">IF(A18="","",'ตั้งค่า Setup'!$C$10+7*1)</f>
        <v>46181</v>
      </c>
      <c r="C18" s="127" t="n">
        <f aca="false">IF(A18="","",B18+6)</f>
        <v>46187</v>
      </c>
      <c r="D18" s="115" t="n">
        <f aca="false">IF(A18="","",SUMPRODUCT('แผนงาน Schedule'!$G$7:$G$156,('แผนงาน Schedule'!$J$7:$J$156&lt;=C18)+('แผนงาน Schedule'!$I$7:$I$156&lt;=C18)*('แผนงาน Schedule'!$J$7:$J$156&gt;C18)*(C18-'แผนงาน Schedule'!$I$7:$I$156+1)/('แผนงาน Schedule'!$J$7:$J$156-'แผนงาน Schedule'!$I$7:$I$156+1)))</f>
        <v>0.0101239669421488</v>
      </c>
      <c r="E18" s="113" t="n">
        <v>0.0121</v>
      </c>
      <c r="F18" s="115" t="n">
        <f aca="false">IF(E18="","",E18-N(E17))</f>
        <v>0.0078</v>
      </c>
      <c r="G18" s="128" t="n">
        <f aca="false">IF(OR(E18="",D18=""),"",E18-D18)</f>
        <v>0.00197603305785124</v>
      </c>
      <c r="H18" s="22" t="n">
        <v>24</v>
      </c>
      <c r="I18" s="129" t="s">
        <v>528</v>
      </c>
      <c r="J18" s="130" t="s">
        <v>529</v>
      </c>
      <c r="K18" s="129"/>
      <c r="L18" s="129"/>
      <c r="M18" s="129"/>
      <c r="N18" s="129"/>
      <c r="O18" s="129"/>
    </row>
    <row r="19" customFormat="false" ht="25.35" hidden="false" customHeight="false" outlineLevel="0" collapsed="false">
      <c r="A19" s="117" t="n">
        <f aca="false">IF('ตั้งค่า Setup'!$C$10+7*2&gt;MAX('ตั้งค่า Setup'!$C$111,'ตั้งค่า Setup'!$C$15)+7,"",3)</f>
        <v>3</v>
      </c>
      <c r="B19" s="127" t="n">
        <f aca="false">IF(A19="","",'ตั้งค่า Setup'!$C$10+7*2)</f>
        <v>46188</v>
      </c>
      <c r="C19" s="127" t="n">
        <f aca="false">IF(A19="","",B19+6)</f>
        <v>46194</v>
      </c>
      <c r="D19" s="115" t="n">
        <f aca="false">IF(A19="","",SUMPRODUCT('แผนงาน Schedule'!$G$7:$G$156,('แผนงาน Schedule'!$J$7:$J$156&lt;=C19)+('แผนงาน Schedule'!$I$7:$I$156&lt;=C19)*('แผนงาน Schedule'!$J$7:$J$156&gt;C19)*(C19-'แผนงาน Schedule'!$I$7:$I$156+1)/('แผนงาน Schedule'!$J$7:$J$156-'แผนงาน Schedule'!$I$7:$I$156+1)))</f>
        <v>0.0256598240469208</v>
      </c>
      <c r="E19" s="113" t="n">
        <v>0.0227</v>
      </c>
      <c r="F19" s="115" t="n">
        <f aca="false">IF(E19="","",E19-N(E18))</f>
        <v>0.0106</v>
      </c>
      <c r="G19" s="128" t="n">
        <f aca="false">IF(OR(E19="",D19=""),"",E19-D19)</f>
        <v>-0.00295982404692082</v>
      </c>
      <c r="H19" s="22" t="n">
        <v>27</v>
      </c>
      <c r="I19" s="129" t="s">
        <v>528</v>
      </c>
      <c r="J19" s="130" t="s">
        <v>529</v>
      </c>
      <c r="K19" s="129"/>
      <c r="L19" s="129"/>
      <c r="M19" s="129"/>
      <c r="N19" s="129"/>
      <c r="O19" s="129"/>
    </row>
    <row r="20" customFormat="false" ht="25.35" hidden="false" customHeight="false" outlineLevel="0" collapsed="false">
      <c r="A20" s="117" t="n">
        <f aca="false">IF('ตั้งค่า Setup'!$C$10+7*3&gt;MAX('ตั้งค่า Setup'!$C$111,'ตั้งค่า Setup'!$C$15)+7,"",4)</f>
        <v>4</v>
      </c>
      <c r="B20" s="127" t="n">
        <f aca="false">IF(A20="","",'ตั้งค่า Setup'!$C$10+7*3)</f>
        <v>46195</v>
      </c>
      <c r="C20" s="127" t="n">
        <f aca="false">IF(A20="","",B20+6)</f>
        <v>46201</v>
      </c>
      <c r="D20" s="115" t="n">
        <f aca="false">IF(A20="","",SUMPRODUCT('แผนงาน Schedule'!$G$7:$G$156,('แผนงาน Schedule'!$J$7:$J$156&lt;=C20)+('แผนงาน Schedule'!$I$7:$I$156&lt;=C20)*('แผนงาน Schedule'!$J$7:$J$156&gt;C20)*(C20-'แผนงาน Schedule'!$I$7:$I$156+1)/('แผนงาน Schedule'!$J$7:$J$156-'แผนงาน Schedule'!$I$7:$I$156+1)))</f>
        <v>0.0368568381764863</v>
      </c>
      <c r="E20" s="113" t="n">
        <v>0.0331</v>
      </c>
      <c r="F20" s="115" t="n">
        <f aca="false">IF(E20="","",E20-N(E19))</f>
        <v>0.0104</v>
      </c>
      <c r="G20" s="128" t="n">
        <f aca="false">IF(OR(E20="",D20=""),"",E20-D20)</f>
        <v>-0.00375683817648628</v>
      </c>
      <c r="H20" s="22" t="n">
        <v>30</v>
      </c>
      <c r="I20" s="129" t="s">
        <v>528</v>
      </c>
      <c r="J20" s="130" t="s">
        <v>530</v>
      </c>
      <c r="K20" s="129"/>
      <c r="L20" s="129"/>
      <c r="M20" s="129"/>
      <c r="N20" s="129"/>
      <c r="O20" s="129"/>
    </row>
    <row r="21" customFormat="false" ht="25.35" hidden="false" customHeight="false" outlineLevel="0" collapsed="false">
      <c r="A21" s="117" t="n">
        <f aca="false">IF('ตั้งค่า Setup'!$C$10+7*4&gt;MAX('ตั้งค่า Setup'!$C$111,'ตั้งค่า Setup'!$C$15)+7,"",5)</f>
        <v>5</v>
      </c>
      <c r="B21" s="127" t="n">
        <f aca="false">IF(A21="","",'ตั้งค่า Setup'!$C$10+7*4)</f>
        <v>46202</v>
      </c>
      <c r="C21" s="127" t="n">
        <f aca="false">IF(A21="","",B21+6)</f>
        <v>46208</v>
      </c>
      <c r="D21" s="115" t="n">
        <f aca="false">IF(A21="","",SUMPRODUCT('แผนงาน Schedule'!$G$7:$G$156,('แผนงาน Schedule'!$J$7:$J$156&lt;=C21)+('แผนงาน Schedule'!$I$7:$I$156&lt;=C21)*('แผนงาน Schedule'!$J$7:$J$156&gt;C21)*(C21-'แผนงาน Schedule'!$I$7:$I$156+1)/('แผนงาน Schedule'!$J$7:$J$156-'แผนงาน Schedule'!$I$7:$I$156+1)))</f>
        <v>0.0480538523060517</v>
      </c>
      <c r="E21" s="113" t="n">
        <v>0.0433</v>
      </c>
      <c r="F21" s="115" t="n">
        <f aca="false">IF(E21="","",E21-N(E20))</f>
        <v>0.0102</v>
      </c>
      <c r="G21" s="128" t="n">
        <f aca="false">IF(OR(E21="",D21=""),"",E21-D21)</f>
        <v>-0.00475385230605172</v>
      </c>
      <c r="H21" s="22" t="n">
        <v>18</v>
      </c>
      <c r="I21" s="129" t="s">
        <v>528</v>
      </c>
      <c r="J21" s="130" t="s">
        <v>529</v>
      </c>
      <c r="K21" s="129"/>
      <c r="L21" s="129"/>
      <c r="M21" s="129"/>
      <c r="N21" s="129"/>
      <c r="O21" s="129"/>
    </row>
    <row r="22" customFormat="false" ht="25.35" hidden="false" customHeight="false" outlineLevel="0" collapsed="false">
      <c r="A22" s="117" t="n">
        <f aca="false">IF('ตั้งค่า Setup'!$C$10+7*5&gt;MAX('ตั้งค่า Setup'!$C$111,'ตั้งค่า Setup'!$C$15)+7,"",6)</f>
        <v>6</v>
      </c>
      <c r="B22" s="127" t="n">
        <f aca="false">IF(A22="","",'ตั้งค่า Setup'!$C$10+7*5)</f>
        <v>46209</v>
      </c>
      <c r="C22" s="127" t="n">
        <f aca="false">IF(A22="","",B22+6)</f>
        <v>46215</v>
      </c>
      <c r="D22" s="115" t="n">
        <f aca="false">IF(A22="","",SUMPRODUCT('แผนงาน Schedule'!$G$7:$G$156,('แผนงาน Schedule'!$J$7:$J$156&lt;=C22)+('แผนงาน Schedule'!$I$7:$I$156&lt;=C22)*('แผนงาน Schedule'!$J$7:$J$156&gt;C22)*(C22-'แผนงาน Schedule'!$I$7:$I$156+1)/('แผนงาน Schedule'!$J$7:$J$156-'แผนงาน Schedule'!$I$7:$I$156+1)))</f>
        <v>0.0592508664356172</v>
      </c>
      <c r="E22" s="113" t="n">
        <v>0.053</v>
      </c>
      <c r="F22" s="115" t="n">
        <f aca="false">IF(E22="","",E22-N(E21))</f>
        <v>0.0097</v>
      </c>
      <c r="G22" s="128" t="n">
        <f aca="false">IF(OR(E22="",D22=""),"",E22-D22)</f>
        <v>-0.00625086643561717</v>
      </c>
      <c r="H22" s="22" t="n">
        <v>21</v>
      </c>
      <c r="I22" s="129" t="s">
        <v>528</v>
      </c>
      <c r="J22" s="130" t="s">
        <v>529</v>
      </c>
      <c r="K22" s="129"/>
      <c r="L22" s="129"/>
      <c r="M22" s="129"/>
      <c r="N22" s="129"/>
      <c r="O22" s="129"/>
    </row>
    <row r="23" customFormat="false" ht="25.35" hidden="false" customHeight="false" outlineLevel="0" collapsed="false">
      <c r="A23" s="117" t="n">
        <f aca="false">IF('ตั้งค่า Setup'!$C$10+7*6&gt;MAX('ตั้งค่า Setup'!$C$111,'ตั้งค่า Setup'!$C$15)+7,"",7)</f>
        <v>7</v>
      </c>
      <c r="B23" s="127" t="n">
        <f aca="false">IF(A23="","",'ตั้งค่า Setup'!$C$10+7*6)</f>
        <v>46216</v>
      </c>
      <c r="C23" s="127" t="n">
        <f aca="false">IF(A23="","",B23+6)</f>
        <v>46222</v>
      </c>
      <c r="D23" s="115" t="n">
        <f aca="false">IF(A23="","",SUMPRODUCT('แผนงาน Schedule'!$G$7:$G$156,('แผนงาน Schedule'!$J$7:$J$156&lt;=C23)+('แผนงาน Schedule'!$I$7:$I$156&lt;=C23)*('แผนงาน Schedule'!$J$7:$J$156&gt;C23)*(C23-'แผนงาน Schedule'!$I$7:$I$156+1)/('แผนงาน Schedule'!$J$7:$J$156-'แผนงาน Schedule'!$I$7:$I$156+1)))</f>
        <v>0.0704478805651826</v>
      </c>
      <c r="E23" s="113" t="n">
        <v>0.0621</v>
      </c>
      <c r="F23" s="115" t="n">
        <f aca="false">IF(E23="","",E23-N(E22))</f>
        <v>0.0091</v>
      </c>
      <c r="G23" s="128" t="n">
        <f aca="false">IF(OR(E23="",D23=""),"",E23-D23)</f>
        <v>-0.00834788056518263</v>
      </c>
      <c r="H23" s="22" t="n">
        <v>24</v>
      </c>
      <c r="I23" s="129" t="s">
        <v>528</v>
      </c>
      <c r="J23" s="130" t="s">
        <v>529</v>
      </c>
      <c r="K23" s="129"/>
      <c r="L23" s="129"/>
      <c r="M23" s="129"/>
      <c r="N23" s="129"/>
      <c r="O23" s="129"/>
    </row>
    <row r="24" customFormat="false" ht="25.35" hidden="false" customHeight="false" outlineLevel="0" collapsed="false">
      <c r="A24" s="117" t="n">
        <f aca="false">IF('ตั้งค่า Setup'!$C$10+7*7&gt;MAX('ตั้งค่า Setup'!$C$111,'ตั้งค่า Setup'!$C$15)+7,"",8)</f>
        <v>8</v>
      </c>
      <c r="B24" s="127" t="n">
        <f aca="false">IF(A24="","",'ตั้งค่า Setup'!$C$10+7*7)</f>
        <v>46223</v>
      </c>
      <c r="C24" s="127" t="n">
        <f aca="false">IF(A24="","",B24+6)</f>
        <v>46229</v>
      </c>
      <c r="D24" s="115" t="n">
        <f aca="false">IF(A24="","",SUMPRODUCT('แผนงาน Schedule'!$G$7:$G$156,('แผนงาน Schedule'!$J$7:$J$156&lt;=C24)+('แผนงาน Schedule'!$I$7:$I$156&lt;=C24)*('แผนงาน Schedule'!$J$7:$J$156&gt;C24)*(C24-'แผนงาน Schedule'!$I$7:$I$156+1)/('แผนงาน Schedule'!$J$7:$J$156-'แผนงาน Schedule'!$I$7:$I$156+1)))</f>
        <v>0.0816448946947481</v>
      </c>
      <c r="E24" s="113" t="n">
        <v>0.0709</v>
      </c>
      <c r="F24" s="115" t="n">
        <f aca="false">IF(E24="","",E24-N(E23))</f>
        <v>0.0088</v>
      </c>
      <c r="G24" s="128" t="n">
        <f aca="false">IF(OR(E24="",D24=""),"",E24-D24)</f>
        <v>-0.0107448946947481</v>
      </c>
      <c r="H24" s="22" t="n">
        <v>27</v>
      </c>
      <c r="I24" s="129" t="s">
        <v>528</v>
      </c>
      <c r="J24" s="130" t="s">
        <v>530</v>
      </c>
      <c r="K24" s="129"/>
      <c r="L24" s="129"/>
      <c r="M24" s="129"/>
      <c r="N24" s="129"/>
      <c r="O24" s="129"/>
    </row>
    <row r="25" customFormat="false" ht="25.35" hidden="false" customHeight="false" outlineLevel="0" collapsed="false">
      <c r="A25" s="117" t="n">
        <f aca="false">IF('ตั้งค่า Setup'!$C$10+7*8&gt;MAX('ตั้งค่า Setup'!$C$111,'ตั้งค่า Setup'!$C$15)+7,"",9)</f>
        <v>9</v>
      </c>
      <c r="B25" s="127" t="n">
        <f aca="false">IF(A25="","",'ตั้งค่า Setup'!$C$10+7*8)</f>
        <v>46230</v>
      </c>
      <c r="C25" s="127" t="n">
        <f aca="false">IF(A25="","",B25+6)</f>
        <v>46236</v>
      </c>
      <c r="D25" s="115" t="n">
        <f aca="false">IF(A25="","",SUMPRODUCT('แผนงาน Schedule'!$G$7:$G$156,('แผนงาน Schedule'!$J$7:$J$156&lt;=C25)+('แผนงาน Schedule'!$I$7:$I$156&lt;=C25)*('แผนงาน Schedule'!$J$7:$J$156&gt;C25)*(C25-'แผนงาน Schedule'!$I$7:$I$156+1)/('แผนงาน Schedule'!$J$7:$J$156-'แผนงาน Schedule'!$I$7:$I$156+1)))</f>
        <v>0.0946031877838041</v>
      </c>
      <c r="E25" s="113" t="n">
        <v>0.081</v>
      </c>
      <c r="F25" s="115" t="n">
        <f aca="false">IF(E25="","",E25-N(E24))</f>
        <v>0.0101</v>
      </c>
      <c r="G25" s="128" t="n">
        <f aca="false">IF(OR(E25="",D25=""),"",E25-D25)</f>
        <v>-0.0136031877838041</v>
      </c>
      <c r="H25" s="22" t="n">
        <v>30</v>
      </c>
      <c r="I25" s="129" t="s">
        <v>528</v>
      </c>
      <c r="J25" s="130" t="s">
        <v>529</v>
      </c>
      <c r="K25" s="129"/>
      <c r="L25" s="129"/>
      <c r="M25" s="129"/>
      <c r="N25" s="129"/>
      <c r="O25" s="129"/>
    </row>
    <row r="26" customFormat="false" ht="25.35" hidden="false" customHeight="false" outlineLevel="0" collapsed="false">
      <c r="A26" s="117" t="n">
        <f aca="false">IF('ตั้งค่า Setup'!$C$10+7*9&gt;MAX('ตั้งค่า Setup'!$C$111,'ตั้งค่า Setup'!$C$15)+7,"",10)</f>
        <v>10</v>
      </c>
      <c r="B26" s="127" t="n">
        <f aca="false">IF(A26="","",'ตั้งค่า Setup'!$C$10+7*9)</f>
        <v>46237</v>
      </c>
      <c r="C26" s="127" t="n">
        <f aca="false">IF(A26="","",B26+6)</f>
        <v>46243</v>
      </c>
      <c r="D26" s="115" t="n">
        <f aca="false">IF(A26="","",SUMPRODUCT('แผนงาน Schedule'!$G$7:$G$156,('แผนงาน Schedule'!$J$7:$J$156&lt;=C26)+('แผนงาน Schedule'!$I$7:$I$156&lt;=C26)*('แผนงาน Schedule'!$J$7:$J$156&gt;C26)*(C26-'แผนงาน Schedule'!$I$7:$I$156+1)/('แผนงาน Schedule'!$J$7:$J$156-'แผนงาน Schedule'!$I$7:$I$156+1)))</f>
        <v>0.111964678271587</v>
      </c>
      <c r="E26" s="113" t="n">
        <v>0.0947</v>
      </c>
      <c r="F26" s="115" t="n">
        <f aca="false">IF(E26="","",E26-N(E25))</f>
        <v>0.0137</v>
      </c>
      <c r="G26" s="128" t="n">
        <f aca="false">IF(OR(E26="",D26=""),"",E26-D26)</f>
        <v>-0.0172646782715866</v>
      </c>
      <c r="H26" s="22" t="n">
        <v>18</v>
      </c>
      <c r="I26" s="129" t="s">
        <v>528</v>
      </c>
      <c r="J26" s="130" t="s">
        <v>529</v>
      </c>
      <c r="K26" s="129"/>
      <c r="L26" s="129"/>
      <c r="M26" s="129"/>
      <c r="N26" s="129"/>
      <c r="O26" s="129"/>
    </row>
    <row r="27" customFormat="false" ht="25.35" hidden="false" customHeight="false" outlineLevel="0" collapsed="false">
      <c r="A27" s="117" t="n">
        <f aca="false">IF('ตั้งค่า Setup'!$C$10+7*10&gt;MAX('ตั้งค่า Setup'!$C$111,'ตั้งค่า Setup'!$C$15)+7,"",11)</f>
        <v>11</v>
      </c>
      <c r="B27" s="127" t="n">
        <f aca="false">IF(A27="","",'ตั้งค่า Setup'!$C$10+7*10)</f>
        <v>46244</v>
      </c>
      <c r="C27" s="127" t="n">
        <f aca="false">IF(A27="","",B27+6)</f>
        <v>46250</v>
      </c>
      <c r="D27" s="115" t="n">
        <f aca="false">IF(A27="","",SUMPRODUCT('แผนงาน Schedule'!$G$7:$G$156,('แผนงาน Schedule'!$J$7:$J$156&lt;=C27)+('แผนงาน Schedule'!$I$7:$I$156&lt;=C27)*('แผนงาน Schedule'!$J$7:$J$156&gt;C27)*(C27-'แผนงาน Schedule'!$I$7:$I$156+1)/('แผนงาน Schedule'!$J$7:$J$156-'แผนงาน Schedule'!$I$7:$I$156+1)))</f>
        <v>0.131670998017022</v>
      </c>
      <c r="E27" s="113" t="n">
        <v>0.1063</v>
      </c>
      <c r="F27" s="115" t="n">
        <f aca="false">IF(E27="","",E27-N(E26))</f>
        <v>0.0116</v>
      </c>
      <c r="G27" s="128" t="n">
        <f aca="false">IF(OR(E27="",D27=""),"",E27-D27)</f>
        <v>-0.0253709980170216</v>
      </c>
      <c r="H27" s="22" t="n">
        <v>21</v>
      </c>
      <c r="I27" s="129" t="s">
        <v>528</v>
      </c>
      <c r="J27" s="130" t="s">
        <v>529</v>
      </c>
      <c r="K27" s="129"/>
      <c r="L27" s="129"/>
      <c r="M27" s="129"/>
      <c r="N27" s="129"/>
      <c r="O27" s="129"/>
    </row>
    <row r="28" customFormat="false" ht="25.35" hidden="false" customHeight="false" outlineLevel="0" collapsed="false">
      <c r="A28" s="117" t="n">
        <f aca="false">IF('ตั้งค่า Setup'!$C$10+7*11&gt;MAX('ตั้งค่า Setup'!$C$111,'ตั้งค่า Setup'!$C$15)+7,"",12)</f>
        <v>12</v>
      </c>
      <c r="B28" s="127" t="n">
        <f aca="false">IF(A28="","",'ตั้งค่า Setup'!$C$10+7*11)</f>
        <v>46251</v>
      </c>
      <c r="C28" s="127" t="n">
        <f aca="false">IF(A28="","",B28+6)</f>
        <v>46257</v>
      </c>
      <c r="D28" s="115" t="n">
        <f aca="false">IF(A28="","",SUMPRODUCT('แผนงาน Schedule'!$G$7:$G$156,('แผนงาน Schedule'!$J$7:$J$156&lt;=C28)+('แผนงาน Schedule'!$I$7:$I$156&lt;=C28)*('แผนงาน Schedule'!$J$7:$J$156&gt;C28)*(C28-'แผนงาน Schedule'!$I$7:$I$156+1)/('แผนงาน Schedule'!$J$7:$J$156-'แผนงาน Schedule'!$I$7:$I$156+1)))</f>
        <v>0.141779877079972</v>
      </c>
      <c r="E28" s="113" t="n">
        <v>0.1154</v>
      </c>
      <c r="F28" s="115" t="n">
        <f aca="false">IF(E28="","",E28-N(E27))</f>
        <v>0.0091</v>
      </c>
      <c r="G28" s="128" t="n">
        <f aca="false">IF(OR(E28="",D28=""),"",E28-D28)</f>
        <v>-0.0263798770799719</v>
      </c>
      <c r="H28" s="22" t="n">
        <v>24</v>
      </c>
      <c r="I28" s="129" t="s">
        <v>528</v>
      </c>
      <c r="J28" s="130" t="s">
        <v>530</v>
      </c>
      <c r="K28" s="129"/>
      <c r="L28" s="129"/>
      <c r="M28" s="129"/>
      <c r="N28" s="129"/>
      <c r="O28" s="129"/>
    </row>
    <row r="29" customFormat="false" ht="25.35" hidden="false" customHeight="false" outlineLevel="0" collapsed="false">
      <c r="A29" s="117" t="n">
        <f aca="false">IF('ตั้งค่า Setup'!$C$10+7*12&gt;MAX('ตั้งค่า Setup'!$C$111,'ตั้งค่า Setup'!$C$15)+7,"",13)</f>
        <v>13</v>
      </c>
      <c r="B29" s="127" t="n">
        <f aca="false">IF(A29="","",'ตั้งค่า Setup'!$C$10+7*12)</f>
        <v>46258</v>
      </c>
      <c r="C29" s="127" t="n">
        <f aca="false">IF(A29="","",B29+6)</f>
        <v>46264</v>
      </c>
      <c r="D29" s="115" t="n">
        <f aca="false">IF(A29="","",SUMPRODUCT('แผนงาน Schedule'!$G$7:$G$156,('แผนงาน Schedule'!$J$7:$J$156&lt;=C29)+('แผนงาน Schedule'!$I$7:$I$156&lt;=C29)*('แผนงาน Schedule'!$J$7:$J$156&gt;C29)*(C29-'แผนงาน Schedule'!$I$7:$I$156+1)/('แผนงาน Schedule'!$J$7:$J$156-'แผนงาน Schedule'!$I$7:$I$156+1)))</f>
        <v>0.151888756142922</v>
      </c>
      <c r="E29" s="113" t="n">
        <v>0.1218</v>
      </c>
      <c r="F29" s="115" t="n">
        <f aca="false">IF(E29="","",E29-N(E28))</f>
        <v>0.0064</v>
      </c>
      <c r="G29" s="128" t="n">
        <f aca="false">IF(OR(E29="",D29=""),"",E29-D29)</f>
        <v>-0.0300887561429222</v>
      </c>
      <c r="H29" s="22" t="n">
        <v>27</v>
      </c>
      <c r="I29" s="129" t="s">
        <v>531</v>
      </c>
      <c r="J29" s="130" t="s">
        <v>529</v>
      </c>
      <c r="K29" s="129"/>
      <c r="L29" s="129"/>
      <c r="M29" s="129"/>
      <c r="N29" s="129"/>
      <c r="O29" s="129"/>
    </row>
    <row r="30" customFormat="false" ht="25.35" hidden="false" customHeight="false" outlineLevel="0" collapsed="false">
      <c r="A30" s="117" t="n">
        <f aca="false">IF('ตั้งค่า Setup'!$C$10+7*13&gt;MAX('ตั้งค่า Setup'!$C$111,'ตั้งค่า Setup'!$C$15)+7,"",14)</f>
        <v>14</v>
      </c>
      <c r="B30" s="127" t="n">
        <f aca="false">IF(A30="","",'ตั้งค่า Setup'!$C$10+7*13)</f>
        <v>46265</v>
      </c>
      <c r="C30" s="127" t="n">
        <f aca="false">IF(A30="","",B30+6)</f>
        <v>46271</v>
      </c>
      <c r="D30" s="115" t="n">
        <f aca="false">IF(A30="","",SUMPRODUCT('แผนงาน Schedule'!$G$7:$G$156,('แผนงาน Schedule'!$J$7:$J$156&lt;=C30)+('แผนงาน Schedule'!$I$7:$I$156&lt;=C30)*('แผนงาน Schedule'!$J$7:$J$156&gt;C30)*(C30-'แผนงาน Schedule'!$I$7:$I$156+1)/('แผนงาน Schedule'!$J$7:$J$156-'แผนงาน Schedule'!$I$7:$I$156+1)))</f>
        <v>0.174829517228921</v>
      </c>
      <c r="E30" s="113" t="n">
        <v>0.1376</v>
      </c>
      <c r="F30" s="115" t="n">
        <f aca="false">IF(E30="","",E30-N(E29))</f>
        <v>0.0158</v>
      </c>
      <c r="G30" s="128" t="n">
        <f aca="false">IF(OR(E30="",D30=""),"",E30-D30)</f>
        <v>-0.0372295172289211</v>
      </c>
      <c r="H30" s="22" t="n">
        <v>30</v>
      </c>
      <c r="I30" s="129" t="s">
        <v>531</v>
      </c>
      <c r="J30" s="130" t="s">
        <v>529</v>
      </c>
      <c r="K30" s="129"/>
      <c r="L30" s="129"/>
      <c r="M30" s="129"/>
      <c r="N30" s="129"/>
      <c r="O30" s="129"/>
    </row>
    <row r="31" customFormat="false" ht="25.35" hidden="false" customHeight="false" outlineLevel="0" collapsed="false">
      <c r="A31" s="117" t="n">
        <f aca="false">IF('ตั้งค่า Setup'!$C$10+7*14&gt;MAX('ตั้งค่า Setup'!$C$111,'ตั้งค่า Setup'!$C$15)+7,"",15)</f>
        <v>15</v>
      </c>
      <c r="B31" s="127" t="n">
        <f aca="false">IF(A31="","",'ตั้งค่า Setup'!$C$10+7*14)</f>
        <v>46272</v>
      </c>
      <c r="C31" s="127" t="n">
        <f aca="false">IF(A31="","",B31+6)</f>
        <v>46278</v>
      </c>
      <c r="D31" s="115" t="n">
        <f aca="false">IF(A31="","",SUMPRODUCT('แผนงาน Schedule'!$G$7:$G$156,('แผนงาน Schedule'!$J$7:$J$156&lt;=C31)+('แผนงาน Schedule'!$I$7:$I$156&lt;=C31)*('แผนงาน Schedule'!$J$7:$J$156&gt;C31)*(C31-'แผนงาน Schedule'!$I$7:$I$156+1)/('แผนงาน Schedule'!$J$7:$J$156-'แผนงาน Schedule'!$I$7:$I$156+1)))</f>
        <v>0.199908925318761</v>
      </c>
      <c r="E31" s="113" t="n">
        <v>0.1545</v>
      </c>
      <c r="F31" s="115" t="n">
        <f aca="false">IF(E31="","",E31-N(E30))</f>
        <v>0.0169</v>
      </c>
      <c r="G31" s="128" t="n">
        <f aca="false">IF(OR(E31="",D31=""),"",E31-D31)</f>
        <v>-0.0454089253187614</v>
      </c>
      <c r="H31" s="22" t="n">
        <v>18</v>
      </c>
      <c r="I31" s="129" t="s">
        <v>531</v>
      </c>
      <c r="J31" s="130" t="s">
        <v>529</v>
      </c>
      <c r="K31" s="129"/>
      <c r="L31" s="129"/>
      <c r="M31" s="129"/>
      <c r="N31" s="129"/>
      <c r="O31" s="129"/>
    </row>
    <row r="32" customFormat="false" ht="25.35" hidden="false" customHeight="false" outlineLevel="0" collapsed="false">
      <c r="A32" s="117" t="n">
        <f aca="false">IF('ตั้งค่า Setup'!$C$10+7*15&gt;MAX('ตั้งค่า Setup'!$C$111,'ตั้งค่า Setup'!$C$15)+7,"",16)</f>
        <v>16</v>
      </c>
      <c r="B32" s="127" t="n">
        <f aca="false">IF(A32="","",'ตั้งค่า Setup'!$C$10+7*15)</f>
        <v>46279</v>
      </c>
      <c r="C32" s="127" t="n">
        <f aca="false">IF(A32="","",B32+6)</f>
        <v>46285</v>
      </c>
      <c r="D32" s="115" t="n">
        <f aca="false">IF(A32="","",SUMPRODUCT('แผนงาน Schedule'!$G$7:$G$156,('แผนงาน Schedule'!$J$7:$J$156&lt;=C32)+('แผนงาน Schedule'!$I$7:$I$156&lt;=C32)*('แผนงาน Schedule'!$J$7:$J$156&gt;C32)*(C32-'แผนงาน Schedule'!$I$7:$I$156+1)/('แผนงาน Schedule'!$J$7:$J$156-'แผนงาน Schedule'!$I$7:$I$156+1)))</f>
        <v>0.224988333408602</v>
      </c>
      <c r="E32" s="113" t="n">
        <v>0.171</v>
      </c>
      <c r="F32" s="115" t="n">
        <f aca="false">IF(E32="","",E32-N(E31))</f>
        <v>0.0165</v>
      </c>
      <c r="G32" s="128" t="n">
        <f aca="false">IF(OR(E32="",D32=""),"",E32-D32)</f>
        <v>-0.0539883334086017</v>
      </c>
      <c r="H32" s="22" t="n">
        <v>28</v>
      </c>
      <c r="I32" s="129" t="s">
        <v>531</v>
      </c>
      <c r="J32" s="130" t="s">
        <v>529</v>
      </c>
      <c r="K32" s="129" t="s">
        <v>532</v>
      </c>
      <c r="L32" s="129"/>
      <c r="M32" s="129"/>
      <c r="N32" s="129"/>
      <c r="O32" s="129"/>
    </row>
    <row r="33" customFormat="false" ht="49.25" hidden="false" customHeight="false" outlineLevel="0" collapsed="false">
      <c r="A33" s="117" t="n">
        <f aca="false">IF('ตั้งค่า Setup'!$C$10+7*16&gt;MAX('ตั้งค่า Setup'!$C$111,'ตั้งค่า Setup'!$C$15)+7,"",17)</f>
        <v>17</v>
      </c>
      <c r="B33" s="127" t="n">
        <f aca="false">IF(A33="","",'ตั้งค่า Setup'!$C$10+7*16)</f>
        <v>46286</v>
      </c>
      <c r="C33" s="127" t="n">
        <f aca="false">IF(A33="","",B33+6)</f>
        <v>46292</v>
      </c>
      <c r="D33" s="115" t="n">
        <f aca="false">IF(A33="","",SUMPRODUCT('แผนงาน Schedule'!$G$7:$G$156,('แผนงาน Schedule'!$J$7:$J$156&lt;=C33)+('แผนงาน Schedule'!$I$7:$I$156&lt;=C33)*('แผนงาน Schedule'!$J$7:$J$156&gt;C33)*(C33-'แผนงาน Schedule'!$I$7:$I$156+1)/('แผนงาน Schedule'!$J$7:$J$156-'แผนงาน Schedule'!$I$7:$I$156+1)))</f>
        <v>0.250067741498442</v>
      </c>
      <c r="E33" s="113" t="n">
        <v>0.1828</v>
      </c>
      <c r="F33" s="115" t="n">
        <f aca="false">IF(E33="","",E33-N(E32))</f>
        <v>0.0118</v>
      </c>
      <c r="G33" s="128" t="n">
        <f aca="false">IF(OR(E33="",D33=""),"",E33-D33)</f>
        <v>-0.067267741498442</v>
      </c>
      <c r="H33" s="22" t="n">
        <v>32</v>
      </c>
      <c r="I33" s="129" t="s">
        <v>533</v>
      </c>
      <c r="J33" s="130" t="s">
        <v>534</v>
      </c>
      <c r="K33" s="130" t="s">
        <v>535</v>
      </c>
      <c r="L33" s="130" t="s">
        <v>536</v>
      </c>
      <c r="M33" s="129" t="s">
        <v>537</v>
      </c>
      <c r="N33" s="129" t="s">
        <v>538</v>
      </c>
      <c r="O33" s="129" t="s">
        <v>539</v>
      </c>
    </row>
    <row r="34" customFormat="false" ht="15" hidden="false" customHeight="false" outlineLevel="0" collapsed="false">
      <c r="A34" s="117" t="n">
        <f aca="false">IF('ตั้งค่า Setup'!$C$10+7*17&gt;MAX('ตั้งค่า Setup'!$C$111,'ตั้งค่า Setup'!$C$15)+7,"",18)</f>
        <v>18</v>
      </c>
      <c r="B34" s="127" t="n">
        <f aca="false">IF(A34="","",'ตั้งค่า Setup'!$C$10+7*17)</f>
        <v>46293</v>
      </c>
      <c r="C34" s="127" t="n">
        <f aca="false">IF(A34="","",B34+6)</f>
        <v>46299</v>
      </c>
      <c r="D34" s="115" t="n">
        <f aca="false">IF(A34="","",SUMPRODUCT('แผนงาน Schedule'!$G$7:$G$156,('แผนงาน Schedule'!$J$7:$J$156&lt;=C34)+('แผนงาน Schedule'!$I$7:$I$156&lt;=C34)*('แผนงาน Schedule'!$J$7:$J$156&gt;C34)*(C34-'แผนงาน Schedule'!$I$7:$I$156+1)/('แผนงาน Schedule'!$J$7:$J$156-'แผนงาน Schedule'!$I$7:$I$156+1)))</f>
        <v>0.280248378949215</v>
      </c>
      <c r="E34" s="113"/>
      <c r="F34" s="115" t="str">
        <f aca="false">IF(E34="","",E34-N(E33))</f>
        <v/>
      </c>
      <c r="G34" s="128" t="str">
        <f aca="false">IF(OR(E34="",D34=""),"",E34-D34)</f>
        <v/>
      </c>
      <c r="H34" s="22"/>
      <c r="I34" s="129"/>
      <c r="J34" s="129"/>
      <c r="K34" s="129"/>
      <c r="L34" s="129"/>
      <c r="M34" s="129"/>
      <c r="N34" s="129"/>
      <c r="O34" s="129"/>
    </row>
    <row r="35" customFormat="false" ht="15" hidden="false" customHeight="false" outlineLevel="0" collapsed="false">
      <c r="A35" s="117" t="n">
        <f aca="false">IF('ตั้งค่า Setup'!$C$10+7*18&gt;MAX('ตั้งค่า Setup'!$C$111,'ตั้งค่า Setup'!$C$15)+7,"",19)</f>
        <v>19</v>
      </c>
      <c r="B35" s="127" t="n">
        <f aca="false">IF(A35="","",'ตั้งค่า Setup'!$C$10+7*18)</f>
        <v>46300</v>
      </c>
      <c r="C35" s="127" t="n">
        <f aca="false">IF(A35="","",B35+6)</f>
        <v>46306</v>
      </c>
      <c r="D35" s="115" t="n">
        <f aca="false">IF(A35="","",SUMPRODUCT('แผนงาน Schedule'!$G$7:$G$156,('แผนงาน Schedule'!$J$7:$J$156&lt;=C35)+('แผนงาน Schedule'!$I$7:$I$156&lt;=C35)*('แผนงาน Schedule'!$J$7:$J$156&gt;C35)*(C35-'แผนงาน Schedule'!$I$7:$I$156+1)/('แผนงาน Schedule'!$J$7:$J$156-'แผนงาน Schedule'!$I$7:$I$156+1)))</f>
        <v>0.315365090141422</v>
      </c>
      <c r="E35" s="113"/>
      <c r="F35" s="115" t="str">
        <f aca="false">IF(E35="","",E35-N(E34))</f>
        <v/>
      </c>
      <c r="G35" s="128" t="str">
        <f aca="false">IF(OR(E35="",D35=""),"",E35-D35)</f>
        <v/>
      </c>
      <c r="H35" s="22"/>
      <c r="I35" s="129"/>
      <c r="J35" s="129"/>
      <c r="K35" s="129"/>
      <c r="L35" s="129"/>
      <c r="M35" s="129"/>
      <c r="N35" s="129"/>
      <c r="O35" s="129"/>
    </row>
    <row r="36" customFormat="false" ht="15" hidden="false" customHeight="false" outlineLevel="0" collapsed="false">
      <c r="A36" s="117" t="n">
        <f aca="false">IF('ตั้งค่า Setup'!$C$10+7*19&gt;MAX('ตั้งค่า Setup'!$C$111,'ตั้งค่า Setup'!$C$15)+7,"",20)</f>
        <v>20</v>
      </c>
      <c r="B36" s="127" t="n">
        <f aca="false">IF(A36="","",'ตั้งค่า Setup'!$C$10+7*19)</f>
        <v>46307</v>
      </c>
      <c r="C36" s="127" t="n">
        <f aca="false">IF(A36="","",B36+6)</f>
        <v>46313</v>
      </c>
      <c r="D36" s="115" t="n">
        <f aca="false">IF(A36="","",SUMPRODUCT('แผนงาน Schedule'!$G$7:$G$156,('แผนงาน Schedule'!$J$7:$J$156&lt;=C36)+('แผนงาน Schedule'!$I$7:$I$156&lt;=C36)*('แผนงาน Schedule'!$J$7:$J$156&gt;C36)*(C36-'แผนงาน Schedule'!$I$7:$I$156+1)/('แผนงาน Schedule'!$J$7:$J$156-'แผนงาน Schedule'!$I$7:$I$156+1)))</f>
        <v>0.34637012829387</v>
      </c>
      <c r="E36" s="113"/>
      <c r="F36" s="115" t="str">
        <f aca="false">IF(E36="","",E36-N(E35))</f>
        <v/>
      </c>
      <c r="G36" s="128" t="str">
        <f aca="false">IF(OR(E36="",D36=""),"",E36-D36)</f>
        <v/>
      </c>
      <c r="H36" s="22"/>
      <c r="I36" s="129"/>
      <c r="J36" s="129"/>
      <c r="K36" s="129"/>
      <c r="L36" s="129"/>
      <c r="M36" s="129"/>
      <c r="N36" s="129"/>
      <c r="O36" s="129"/>
    </row>
    <row r="37" customFormat="false" ht="15" hidden="false" customHeight="false" outlineLevel="0" collapsed="false">
      <c r="A37" s="117" t="n">
        <f aca="false">IF('ตั้งค่า Setup'!$C$10+7*20&gt;MAX('ตั้งค่า Setup'!$C$111,'ตั้งค่า Setup'!$C$15)+7,"",21)</f>
        <v>21</v>
      </c>
      <c r="B37" s="127" t="n">
        <f aca="false">IF(A37="","",'ตั้งค่า Setup'!$C$10+7*20)</f>
        <v>46314</v>
      </c>
      <c r="C37" s="127" t="n">
        <f aca="false">IF(A37="","",B37+6)</f>
        <v>46320</v>
      </c>
      <c r="D37" s="115" t="n">
        <f aca="false">IF(A37="","",SUMPRODUCT('แผนงาน Schedule'!$G$7:$G$156,('แผนงาน Schedule'!$J$7:$J$156&lt;=C37)+('แผนงาน Schedule'!$I$7:$I$156&lt;=C37)*('แผนงาน Schedule'!$J$7:$J$156&gt;C37)*(C37-'แผนงาน Schedule'!$I$7:$I$156+1)/('แผนงาน Schedule'!$J$7:$J$156-'แผนงาน Schedule'!$I$7:$I$156+1)))</f>
        <v>0.368192429990854</v>
      </c>
      <c r="E37" s="113"/>
      <c r="F37" s="115" t="str">
        <f aca="false">IF(E37="","",E37-N(E36))</f>
        <v/>
      </c>
      <c r="G37" s="128" t="str">
        <f aca="false">IF(OR(E37="",D37=""),"",E37-D37)</f>
        <v/>
      </c>
      <c r="H37" s="22"/>
      <c r="I37" s="129"/>
      <c r="J37" s="129"/>
      <c r="K37" s="129"/>
      <c r="L37" s="129"/>
      <c r="M37" s="129"/>
      <c r="N37" s="129"/>
      <c r="O37" s="129"/>
    </row>
    <row r="38" customFormat="false" ht="15" hidden="false" customHeight="false" outlineLevel="0" collapsed="false">
      <c r="A38" s="117" t="n">
        <f aca="false">IF('ตั้งค่า Setup'!$C$10+7*21&gt;MAX('ตั้งค่า Setup'!$C$111,'ตั้งค่า Setup'!$C$15)+7,"",22)</f>
        <v>22</v>
      </c>
      <c r="B38" s="127" t="n">
        <f aca="false">IF(A38="","",'ตั้งค่า Setup'!$C$10+7*21)</f>
        <v>46321</v>
      </c>
      <c r="C38" s="127" t="n">
        <f aca="false">IF(A38="","",B38+6)</f>
        <v>46327</v>
      </c>
      <c r="D38" s="115" t="n">
        <f aca="false">IF(A38="","",SUMPRODUCT('แผนงาน Schedule'!$G$7:$G$156,('แผนงาน Schedule'!$J$7:$J$156&lt;=C38)+('แผนงาน Schedule'!$I$7:$I$156&lt;=C38)*('แผนงาน Schedule'!$J$7:$J$156&gt;C38)*(C38-'แผนงาน Schedule'!$I$7:$I$156+1)/('แผนงาน Schedule'!$J$7:$J$156-'แผนงาน Schedule'!$I$7:$I$156+1)))</f>
        <v>0.391348169604537</v>
      </c>
      <c r="E38" s="113"/>
      <c r="F38" s="115" t="str">
        <f aca="false">IF(E38="","",E38-N(E37))</f>
        <v/>
      </c>
      <c r="G38" s="128" t="str">
        <f aca="false">IF(OR(E38="",D38=""),"",E38-D38)</f>
        <v/>
      </c>
      <c r="H38" s="22"/>
      <c r="I38" s="129"/>
      <c r="J38" s="129"/>
      <c r="K38" s="129"/>
      <c r="L38" s="129"/>
      <c r="M38" s="129"/>
      <c r="N38" s="129"/>
      <c r="O38" s="129"/>
    </row>
    <row r="39" customFormat="false" ht="15" hidden="false" customHeight="false" outlineLevel="0" collapsed="false">
      <c r="A39" s="117" t="n">
        <f aca="false">IF('ตั้งค่า Setup'!$C$10+7*22&gt;MAX('ตั้งค่า Setup'!$C$111,'ตั้งค่า Setup'!$C$15)+7,"",23)</f>
        <v>23</v>
      </c>
      <c r="B39" s="127" t="n">
        <f aca="false">IF(A39="","",'ตั้งค่า Setup'!$C$10+7*22)</f>
        <v>46328</v>
      </c>
      <c r="C39" s="127" t="n">
        <f aca="false">IF(A39="","",B39+6)</f>
        <v>46334</v>
      </c>
      <c r="D39" s="115" t="n">
        <f aca="false">IF(A39="","",SUMPRODUCT('แผนงาน Schedule'!$G$7:$G$156,('แผนงาน Schedule'!$J$7:$J$156&lt;=C39)+('แผนงาน Schedule'!$I$7:$I$156&lt;=C39)*('แผนงาน Schedule'!$J$7:$J$156&gt;C39)*(C39-'แผนงาน Schedule'!$I$7:$I$156+1)/('แผนงาน Schedule'!$J$7:$J$156-'แผนงาน Schedule'!$I$7:$I$156+1)))</f>
        <v>0.422504536718416</v>
      </c>
      <c r="E39" s="113"/>
      <c r="F39" s="115" t="str">
        <f aca="false">IF(E39="","",E39-N(E38))</f>
        <v/>
      </c>
      <c r="G39" s="128" t="str">
        <f aca="false">IF(OR(E39="",D39=""),"",E39-D39)</f>
        <v/>
      </c>
      <c r="H39" s="22"/>
      <c r="I39" s="129"/>
      <c r="J39" s="129"/>
      <c r="K39" s="129"/>
      <c r="L39" s="129"/>
      <c r="M39" s="129"/>
      <c r="N39" s="129"/>
      <c r="O39" s="129"/>
    </row>
    <row r="40" customFormat="false" ht="15" hidden="false" customHeight="false" outlineLevel="0" collapsed="false">
      <c r="A40" s="117" t="n">
        <f aca="false">IF('ตั้งค่า Setup'!$C$10+7*23&gt;MAX('ตั้งค่า Setup'!$C$111,'ตั้งค่า Setup'!$C$15)+7,"",24)</f>
        <v>24</v>
      </c>
      <c r="B40" s="127" t="n">
        <f aca="false">IF(A40="","",'ตั้งค่า Setup'!$C$10+7*23)</f>
        <v>46335</v>
      </c>
      <c r="C40" s="127" t="n">
        <f aca="false">IF(A40="","",B40+6)</f>
        <v>46341</v>
      </c>
      <c r="D40" s="115" t="n">
        <f aca="false">IF(A40="","",SUMPRODUCT('แผนงาน Schedule'!$G$7:$G$156,('แผนงาน Schedule'!$J$7:$J$156&lt;=C40)+('แผนงาน Schedule'!$I$7:$I$156&lt;=C40)*('แผนงาน Schedule'!$J$7:$J$156&gt;C40)*(C40-'แผนงาน Schedule'!$I$7:$I$156+1)/('แผนงาน Schedule'!$J$7:$J$156-'แผนงาน Schedule'!$I$7:$I$156+1)))</f>
        <v>0.461431965877442</v>
      </c>
      <c r="E40" s="113"/>
      <c r="F40" s="115" t="str">
        <f aca="false">IF(E40="","",E40-N(E39))</f>
        <v/>
      </c>
      <c r="G40" s="128" t="str">
        <f aca="false">IF(OR(E40="",D40=""),"",E40-D40)</f>
        <v/>
      </c>
      <c r="H40" s="22"/>
      <c r="I40" s="129"/>
      <c r="J40" s="129"/>
      <c r="K40" s="129"/>
      <c r="L40" s="129"/>
      <c r="M40" s="129"/>
      <c r="N40" s="129"/>
      <c r="O40" s="129"/>
    </row>
    <row r="41" customFormat="false" ht="15" hidden="false" customHeight="false" outlineLevel="0" collapsed="false">
      <c r="A41" s="117" t="n">
        <f aca="false">IF('ตั้งค่า Setup'!$C$10+7*24&gt;MAX('ตั้งค่า Setup'!$C$111,'ตั้งค่า Setup'!$C$15)+7,"",25)</f>
        <v>25</v>
      </c>
      <c r="B41" s="127" t="n">
        <f aca="false">IF(A41="","",'ตั้งค่า Setup'!$C$10+7*24)</f>
        <v>46342</v>
      </c>
      <c r="C41" s="127" t="n">
        <f aca="false">IF(A41="","",B41+6)</f>
        <v>46348</v>
      </c>
      <c r="D41" s="115" t="n">
        <f aca="false">IF(A41="","",SUMPRODUCT('แผนงาน Schedule'!$G$7:$G$156,('แผนงาน Schedule'!$J$7:$J$156&lt;=C41)+('แผนงาน Schedule'!$I$7:$I$156&lt;=C41)*('แผนงาน Schedule'!$J$7:$J$156&gt;C41)*(C41-'แผนงาน Schedule'!$I$7:$I$156+1)/('แผนงาน Schedule'!$J$7:$J$156-'แผนงาน Schedule'!$I$7:$I$156+1)))</f>
        <v>0.486562944304143</v>
      </c>
      <c r="E41" s="113"/>
      <c r="F41" s="115" t="str">
        <f aca="false">IF(E41="","",E41-N(E40))</f>
        <v/>
      </c>
      <c r="G41" s="128" t="str">
        <f aca="false">IF(OR(E41="",D41=""),"",E41-D41)</f>
        <v/>
      </c>
      <c r="H41" s="22"/>
      <c r="I41" s="129"/>
      <c r="J41" s="129"/>
      <c r="K41" s="129"/>
      <c r="L41" s="129"/>
      <c r="M41" s="129"/>
      <c r="N41" s="129"/>
      <c r="O41" s="129"/>
    </row>
    <row r="42" customFormat="false" ht="15" hidden="false" customHeight="false" outlineLevel="0" collapsed="false">
      <c r="A42" s="117" t="n">
        <f aca="false">IF('ตั้งค่า Setup'!$C$10+7*25&gt;MAX('ตั้งค่า Setup'!$C$111,'ตั้งค่า Setup'!$C$15)+7,"",26)</f>
        <v>26</v>
      </c>
      <c r="B42" s="127" t="n">
        <f aca="false">IF(A42="","",'ตั้งค่า Setup'!$C$10+7*25)</f>
        <v>46349</v>
      </c>
      <c r="C42" s="127" t="n">
        <f aca="false">IF(A42="","",B42+6)</f>
        <v>46355</v>
      </c>
      <c r="D42" s="115" t="n">
        <f aca="false">IF(A42="","",SUMPRODUCT('แผนงาน Schedule'!$G$7:$G$156,('แผนงาน Schedule'!$J$7:$J$156&lt;=C42)+('แผนงาน Schedule'!$I$7:$I$156&lt;=C42)*('แผนงาน Schedule'!$J$7:$J$156&gt;C42)*(C42-'แผนงาน Schedule'!$I$7:$I$156+1)/('แผนงาน Schedule'!$J$7:$J$156-'แผนงาน Schedule'!$I$7:$I$156+1)))</f>
        <v>0.511693922730843</v>
      </c>
      <c r="E42" s="113"/>
      <c r="F42" s="115" t="str">
        <f aca="false">IF(E42="","",E42-N(E41))</f>
        <v/>
      </c>
      <c r="G42" s="128" t="str">
        <f aca="false">IF(OR(E42="",D42=""),"",E42-D42)</f>
        <v/>
      </c>
      <c r="H42" s="22"/>
      <c r="I42" s="129"/>
      <c r="J42" s="129"/>
      <c r="K42" s="129"/>
      <c r="L42" s="129"/>
      <c r="M42" s="129"/>
      <c r="N42" s="129"/>
      <c r="O42" s="129"/>
    </row>
    <row r="43" customFormat="false" ht="15" hidden="false" customHeight="false" outlineLevel="0" collapsed="false">
      <c r="A43" s="117" t="n">
        <f aca="false">IF('ตั้งค่า Setup'!$C$10+7*26&gt;MAX('ตั้งค่า Setup'!$C$111,'ตั้งค่า Setup'!$C$15)+7,"",27)</f>
        <v>27</v>
      </c>
      <c r="B43" s="127" t="n">
        <f aca="false">IF(A43="","",'ตั้งค่า Setup'!$C$10+7*26)</f>
        <v>46356</v>
      </c>
      <c r="C43" s="127" t="n">
        <f aca="false">IF(A43="","",B43+6)</f>
        <v>46362</v>
      </c>
      <c r="D43" s="115" t="n">
        <f aca="false">IF(A43="","",SUMPRODUCT('แผนงาน Schedule'!$G$7:$G$156,('แผนงาน Schedule'!$J$7:$J$156&lt;=C43)+('แผนงาน Schedule'!$I$7:$I$156&lt;=C43)*('แผนงาน Schedule'!$J$7:$J$156&gt;C43)*(C43-'แผนงาน Schedule'!$I$7:$I$156+1)/('แผนงาน Schedule'!$J$7:$J$156-'แผนงาน Schedule'!$I$7:$I$156+1)))</f>
        <v>0.543965854046298</v>
      </c>
      <c r="E43" s="113"/>
      <c r="F43" s="115" t="str">
        <f aca="false">IF(E43="","",E43-N(E42))</f>
        <v/>
      </c>
      <c r="G43" s="128" t="str">
        <f aca="false">IF(OR(E43="",D43=""),"",E43-D43)</f>
        <v/>
      </c>
      <c r="H43" s="22"/>
      <c r="I43" s="129"/>
      <c r="J43" s="129"/>
      <c r="K43" s="129"/>
      <c r="L43" s="129"/>
      <c r="M43" s="129"/>
      <c r="N43" s="129"/>
      <c r="O43" s="129"/>
    </row>
    <row r="44" customFormat="false" ht="15" hidden="false" customHeight="false" outlineLevel="0" collapsed="false">
      <c r="A44" s="117" t="n">
        <f aca="false">IF('ตั้งค่า Setup'!$C$10+7*27&gt;MAX('ตั้งค่า Setup'!$C$111,'ตั้งค่า Setup'!$C$15)+7,"",28)</f>
        <v>28</v>
      </c>
      <c r="B44" s="127" t="n">
        <f aca="false">IF(A44="","",'ตั้งค่า Setup'!$C$10+7*27)</f>
        <v>46363</v>
      </c>
      <c r="C44" s="127" t="n">
        <f aca="false">IF(A44="","",B44+6)</f>
        <v>46369</v>
      </c>
      <c r="D44" s="115" t="n">
        <f aca="false">IF(A44="","",SUMPRODUCT('แผนงาน Schedule'!$G$7:$G$156,('แผนงาน Schedule'!$J$7:$J$156&lt;=C44)+('แผนงาน Schedule'!$I$7:$I$156&lt;=C44)*('แผนงาน Schedule'!$J$7:$J$156&gt;C44)*(C44-'แผนงาน Schedule'!$I$7:$I$156+1)/('แผนงาน Schedule'!$J$7:$J$156-'แผนงาน Schedule'!$I$7:$I$156+1)))</f>
        <v>0.577427944176544</v>
      </c>
      <c r="E44" s="113"/>
      <c r="F44" s="115" t="str">
        <f aca="false">IF(E44="","",E44-N(E43))</f>
        <v/>
      </c>
      <c r="G44" s="128" t="str">
        <f aca="false">IF(OR(E44="",D44=""),"",E44-D44)</f>
        <v/>
      </c>
      <c r="H44" s="22"/>
      <c r="I44" s="129"/>
      <c r="J44" s="129"/>
      <c r="K44" s="129"/>
      <c r="L44" s="129"/>
      <c r="M44" s="129"/>
      <c r="N44" s="129"/>
      <c r="O44" s="129"/>
    </row>
    <row r="45" customFormat="false" ht="15" hidden="false" customHeight="false" outlineLevel="0" collapsed="false">
      <c r="A45" s="117" t="n">
        <f aca="false">IF('ตั้งค่า Setup'!$C$10+7*28&gt;MAX('ตั้งค่า Setup'!$C$111,'ตั้งค่า Setup'!$C$15)+7,"",29)</f>
        <v>29</v>
      </c>
      <c r="B45" s="127" t="n">
        <f aca="false">IF(A45="","",'ตั้งค่า Setup'!$C$10+7*28)</f>
        <v>46370</v>
      </c>
      <c r="C45" s="127" t="n">
        <f aca="false">IF(A45="","",B45+6)</f>
        <v>46376</v>
      </c>
      <c r="D45" s="115" t="n">
        <f aca="false">IF(A45="","",SUMPRODUCT('แผนงาน Schedule'!$G$7:$G$156,('แผนงาน Schedule'!$J$7:$J$156&lt;=C45)+('แผนงาน Schedule'!$I$7:$I$156&lt;=C45)*('แผนงาน Schedule'!$J$7:$J$156&gt;C45)*(C45-'แผนงาน Schedule'!$I$7:$I$156+1)/('แผนงาน Schedule'!$J$7:$J$156-'แผนงาน Schedule'!$I$7:$I$156+1)))</f>
        <v>0.613334315727006</v>
      </c>
      <c r="E45" s="113"/>
      <c r="F45" s="115" t="str">
        <f aca="false">IF(E45="","",E45-N(E44))</f>
        <v/>
      </c>
      <c r="G45" s="128" t="str">
        <f aca="false">IF(OR(E45="",D45=""),"",E45-D45)</f>
        <v/>
      </c>
      <c r="H45" s="22"/>
      <c r="I45" s="129"/>
      <c r="J45" s="129"/>
      <c r="K45" s="129"/>
      <c r="L45" s="129"/>
      <c r="M45" s="129"/>
      <c r="N45" s="129"/>
      <c r="O45" s="129"/>
    </row>
    <row r="46" customFormat="false" ht="15" hidden="false" customHeight="false" outlineLevel="0" collapsed="false">
      <c r="A46" s="117" t="n">
        <f aca="false">IF('ตั้งค่า Setup'!$C$10+7*29&gt;MAX('ตั้งค่า Setup'!$C$111,'ตั้งค่า Setup'!$C$15)+7,"",30)</f>
        <v>30</v>
      </c>
      <c r="B46" s="127" t="n">
        <f aca="false">IF(A46="","",'ตั้งค่า Setup'!$C$10+7*29)</f>
        <v>46377</v>
      </c>
      <c r="C46" s="127" t="n">
        <f aca="false">IF(A46="","",B46+6)</f>
        <v>46383</v>
      </c>
      <c r="D46" s="115" t="n">
        <f aca="false">IF(A46="","",SUMPRODUCT('แผนงาน Schedule'!$G$7:$G$156,('แผนงาน Schedule'!$J$7:$J$156&lt;=C46)+('แผนงาน Schedule'!$I$7:$I$156&lt;=C46)*('แผนงาน Schedule'!$J$7:$J$156&gt;C46)*(C46-'แผนงาน Schedule'!$I$7:$I$156+1)/('แผนงาน Schedule'!$J$7:$J$156-'แผนงาน Schedule'!$I$7:$I$156+1)))</f>
        <v>0.649000479010408</v>
      </c>
      <c r="E46" s="113"/>
      <c r="F46" s="115" t="str">
        <f aca="false">IF(E46="","",E46-N(E45))</f>
        <v/>
      </c>
      <c r="G46" s="128" t="str">
        <f aca="false">IF(OR(E46="",D46=""),"",E46-D46)</f>
        <v/>
      </c>
      <c r="H46" s="22"/>
      <c r="I46" s="129"/>
      <c r="J46" s="129"/>
      <c r="K46" s="129"/>
      <c r="L46" s="129"/>
      <c r="M46" s="129"/>
      <c r="N46" s="129"/>
      <c r="O46" s="129"/>
    </row>
    <row r="47" customFormat="false" ht="15" hidden="false" customHeight="false" outlineLevel="0" collapsed="false">
      <c r="A47" s="117" t="n">
        <f aca="false">IF('ตั้งค่า Setup'!$C$10+7*30&gt;MAX('ตั้งค่า Setup'!$C$111,'ตั้งค่า Setup'!$C$15)+7,"",31)</f>
        <v>31</v>
      </c>
      <c r="B47" s="127" t="n">
        <f aca="false">IF(A47="","",'ตั้งค่า Setup'!$C$10+7*30)</f>
        <v>46384</v>
      </c>
      <c r="C47" s="127" t="n">
        <f aca="false">IF(A47="","",B47+6)</f>
        <v>46390</v>
      </c>
      <c r="D47" s="115" t="n">
        <f aca="false">IF(A47="","",SUMPRODUCT('แผนงาน Schedule'!$G$7:$G$156,('แผนงาน Schedule'!$J$7:$J$156&lt;=C47)+('แผนงาน Schedule'!$I$7:$I$156&lt;=C47)*('แผนงาน Schedule'!$J$7:$J$156&gt;C47)*(C47-'แผนงาน Schedule'!$I$7:$I$156+1)/('แผนงาน Schedule'!$J$7:$J$156-'แผนงาน Schedule'!$I$7:$I$156+1)))</f>
        <v>0.687675277954912</v>
      </c>
      <c r="E47" s="113"/>
      <c r="F47" s="115" t="str">
        <f aca="false">IF(E47="","",E47-N(E46))</f>
        <v/>
      </c>
      <c r="G47" s="128" t="str">
        <f aca="false">IF(OR(E47="",D47=""),"",E47-D47)</f>
        <v/>
      </c>
      <c r="H47" s="22"/>
      <c r="I47" s="129"/>
      <c r="J47" s="129"/>
      <c r="K47" s="129"/>
      <c r="L47" s="129"/>
      <c r="M47" s="129"/>
      <c r="N47" s="129"/>
      <c r="O47" s="129"/>
    </row>
    <row r="48" customFormat="false" ht="15" hidden="false" customHeight="false" outlineLevel="0" collapsed="false">
      <c r="A48" s="117" t="n">
        <f aca="false">IF('ตั้งค่า Setup'!$C$10+7*31&gt;MAX('ตั้งค่า Setup'!$C$111,'ตั้งค่า Setup'!$C$15)+7,"",32)</f>
        <v>32</v>
      </c>
      <c r="B48" s="127" t="n">
        <f aca="false">IF(A48="","",'ตั้งค่า Setup'!$C$10+7*31)</f>
        <v>46391</v>
      </c>
      <c r="C48" s="127" t="n">
        <f aca="false">IF(A48="","",B48+6)</f>
        <v>46397</v>
      </c>
      <c r="D48" s="115" t="n">
        <f aca="false">IF(A48="","",SUMPRODUCT('แผนงาน Schedule'!$G$7:$G$156,('แผนงาน Schedule'!$J$7:$J$156&lt;=C48)+('แผนงาน Schedule'!$I$7:$I$156&lt;=C48)*('แผนงาน Schedule'!$J$7:$J$156&gt;C48)*(C48-'แผนงาน Schedule'!$I$7:$I$156+1)/('แผนงาน Schedule'!$J$7:$J$156-'แผนงาน Schedule'!$I$7:$I$156+1)))</f>
        <v>0.730831162864782</v>
      </c>
      <c r="E48" s="113"/>
      <c r="F48" s="115" t="str">
        <f aca="false">IF(E48="","",E48-N(E47))</f>
        <v/>
      </c>
      <c r="G48" s="128" t="str">
        <f aca="false">IF(OR(E48="",D48=""),"",E48-D48)</f>
        <v/>
      </c>
      <c r="H48" s="22"/>
      <c r="I48" s="129"/>
      <c r="J48" s="129"/>
      <c r="K48" s="129"/>
      <c r="L48" s="129"/>
      <c r="M48" s="129"/>
      <c r="N48" s="129"/>
      <c r="O48" s="129"/>
    </row>
    <row r="49" customFormat="false" ht="15" hidden="false" customHeight="false" outlineLevel="0" collapsed="false">
      <c r="A49" s="117" t="n">
        <f aca="false">IF('ตั้งค่า Setup'!$C$10+7*32&gt;MAX('ตั้งค่า Setup'!$C$111,'ตั้งค่า Setup'!$C$15)+7,"",33)</f>
        <v>33</v>
      </c>
      <c r="B49" s="127" t="n">
        <f aca="false">IF(A49="","",'ตั้งค่า Setup'!$C$10+7*32)</f>
        <v>46398</v>
      </c>
      <c r="C49" s="127" t="n">
        <f aca="false">IF(A49="","",B49+6)</f>
        <v>46404</v>
      </c>
      <c r="D49" s="115" t="n">
        <f aca="false">IF(A49="","",SUMPRODUCT('แผนงาน Schedule'!$G$7:$G$156,('แผนงาน Schedule'!$J$7:$J$156&lt;=C49)+('แผนงาน Schedule'!$I$7:$I$156&lt;=C49)*('แผนงาน Schedule'!$J$7:$J$156&gt;C49)*(C49-'แผนงาน Schedule'!$I$7:$I$156+1)/('แผนงาน Schedule'!$J$7:$J$156-'แผนงาน Schedule'!$I$7:$I$156+1)))</f>
        <v>0.770734350448282</v>
      </c>
      <c r="E49" s="113"/>
      <c r="F49" s="115" t="str">
        <f aca="false">IF(E49="","",E49-N(E48))</f>
        <v/>
      </c>
      <c r="G49" s="128" t="str">
        <f aca="false">IF(OR(E49="",D49=""),"",E49-D49)</f>
        <v/>
      </c>
      <c r="H49" s="22"/>
      <c r="I49" s="129"/>
      <c r="J49" s="129"/>
      <c r="K49" s="129"/>
      <c r="L49" s="129"/>
      <c r="M49" s="129"/>
      <c r="N49" s="129"/>
      <c r="O49" s="129"/>
    </row>
    <row r="50" customFormat="false" ht="15" hidden="false" customHeight="false" outlineLevel="0" collapsed="false">
      <c r="A50" s="117" t="n">
        <f aca="false">IF('ตั้งค่า Setup'!$C$10+7*33&gt;MAX('ตั้งค่า Setup'!$C$111,'ตั้งค่า Setup'!$C$15)+7,"",34)</f>
        <v>34</v>
      </c>
      <c r="B50" s="127" t="n">
        <f aca="false">IF(A50="","",'ตั้งค่า Setup'!$C$10+7*33)</f>
        <v>46405</v>
      </c>
      <c r="C50" s="127" t="n">
        <f aca="false">IF(A50="","",B50+6)</f>
        <v>46411</v>
      </c>
      <c r="D50" s="115" t="n">
        <f aca="false">IF(A50="","",SUMPRODUCT('แผนงาน Schedule'!$G$7:$G$156,('แผนงาน Schedule'!$J$7:$J$156&lt;=C50)+('แผนงาน Schedule'!$I$7:$I$156&lt;=C50)*('แผนงาน Schedule'!$J$7:$J$156&gt;C50)*(C50-'แผนงาน Schedule'!$I$7:$I$156+1)/('แผนงาน Schedule'!$J$7:$J$156-'แผนงาน Schedule'!$I$7:$I$156+1)))</f>
        <v>0.795462218457405</v>
      </c>
      <c r="E50" s="113"/>
      <c r="F50" s="115" t="str">
        <f aca="false">IF(E50="","",E50-N(E49))</f>
        <v/>
      </c>
      <c r="G50" s="128" t="str">
        <f aca="false">IF(OR(E50="",D50=""),"",E50-D50)</f>
        <v/>
      </c>
      <c r="H50" s="22"/>
      <c r="I50" s="129"/>
      <c r="J50" s="129"/>
      <c r="K50" s="129"/>
      <c r="L50" s="129"/>
      <c r="M50" s="129"/>
      <c r="N50" s="129"/>
      <c r="O50" s="129"/>
    </row>
    <row r="51" customFormat="false" ht="15" hidden="false" customHeight="false" outlineLevel="0" collapsed="false">
      <c r="A51" s="117" t="n">
        <f aca="false">IF('ตั้งค่า Setup'!$C$10+7*34&gt;MAX('ตั้งค่า Setup'!$C$111,'ตั้งค่า Setup'!$C$15)+7,"",35)</f>
        <v>35</v>
      </c>
      <c r="B51" s="127" t="n">
        <f aca="false">IF(A51="","",'ตั้งค่า Setup'!$C$10+7*34)</f>
        <v>46412</v>
      </c>
      <c r="C51" s="127" t="n">
        <f aca="false">IF(A51="","",B51+6)</f>
        <v>46418</v>
      </c>
      <c r="D51" s="115" t="n">
        <f aca="false">IF(A51="","",SUMPRODUCT('แผนงาน Schedule'!$G$7:$G$156,('แผนงาน Schedule'!$J$7:$J$156&lt;=C51)+('แผนงาน Schedule'!$I$7:$I$156&lt;=C51)*('แผนงาน Schedule'!$J$7:$J$156&gt;C51)*(C51-'แผนงาน Schedule'!$I$7:$I$156+1)/('แผนงาน Schedule'!$J$7:$J$156-'แผนงาน Schedule'!$I$7:$I$156+1)))</f>
        <v>0.820190086466528</v>
      </c>
      <c r="E51" s="113"/>
      <c r="F51" s="115" t="str">
        <f aca="false">IF(E51="","",E51-N(E50))</f>
        <v/>
      </c>
      <c r="G51" s="128" t="str">
        <f aca="false">IF(OR(E51="",D51=""),"",E51-D51)</f>
        <v/>
      </c>
      <c r="H51" s="22"/>
      <c r="I51" s="129"/>
      <c r="J51" s="129"/>
      <c r="K51" s="129"/>
      <c r="L51" s="129"/>
      <c r="M51" s="129"/>
      <c r="N51" s="129"/>
      <c r="O51" s="129"/>
    </row>
    <row r="52" customFormat="false" ht="15" hidden="false" customHeight="false" outlineLevel="0" collapsed="false">
      <c r="A52" s="117" t="n">
        <f aca="false">IF('ตั้งค่า Setup'!$C$10+7*35&gt;MAX('ตั้งค่า Setup'!$C$111,'ตั้งค่า Setup'!$C$15)+7,"",36)</f>
        <v>36</v>
      </c>
      <c r="B52" s="127" t="n">
        <f aca="false">IF(A52="","",'ตั้งค่า Setup'!$C$10+7*35)</f>
        <v>46419</v>
      </c>
      <c r="C52" s="127" t="n">
        <f aca="false">IF(A52="","",B52+6)</f>
        <v>46425</v>
      </c>
      <c r="D52" s="115" t="n">
        <f aca="false">IF(A52="","",SUMPRODUCT('แผนงาน Schedule'!$G$7:$G$156,('แผนงาน Schedule'!$J$7:$J$156&lt;=C52)+('แผนงาน Schedule'!$I$7:$I$156&lt;=C52)*('แผนงาน Schedule'!$J$7:$J$156&gt;C52)*(C52-'แผนงาน Schedule'!$I$7:$I$156+1)/('แผนงาน Schedule'!$J$7:$J$156-'แผนงาน Schedule'!$I$7:$I$156+1)))</f>
        <v>0.854888527979282</v>
      </c>
      <c r="E52" s="113"/>
      <c r="F52" s="115" t="str">
        <f aca="false">IF(E52="","",E52-N(E51))</f>
        <v/>
      </c>
      <c r="G52" s="128" t="str">
        <f aca="false">IF(OR(E52="",D52=""),"",E52-D52)</f>
        <v/>
      </c>
      <c r="H52" s="22"/>
      <c r="I52" s="129"/>
      <c r="J52" s="129"/>
      <c r="K52" s="129"/>
      <c r="L52" s="129"/>
      <c r="M52" s="129"/>
      <c r="N52" s="129"/>
      <c r="O52" s="129"/>
    </row>
    <row r="53" customFormat="false" ht="15" hidden="false" customHeight="false" outlineLevel="0" collapsed="false">
      <c r="A53" s="117" t="n">
        <f aca="false">IF('ตั้งค่า Setup'!$C$10+7*36&gt;MAX('ตั้งค่า Setup'!$C$111,'ตั้งค่า Setup'!$C$15)+7,"",37)</f>
        <v>37</v>
      </c>
      <c r="B53" s="127" t="n">
        <f aca="false">IF(A53="","",'ตั้งค่า Setup'!$C$10+7*36)</f>
        <v>46426</v>
      </c>
      <c r="C53" s="127" t="n">
        <f aca="false">IF(A53="","",B53+6)</f>
        <v>46432</v>
      </c>
      <c r="D53" s="115" t="n">
        <f aca="false">IF(A53="","",SUMPRODUCT('แผนงาน Schedule'!$G$7:$G$156,('แผนงาน Schedule'!$J$7:$J$156&lt;=C53)+('แผนงาน Schedule'!$I$7:$I$156&lt;=C53)*('แผนงาน Schedule'!$J$7:$J$156&gt;C53)*(C53-'แผนงาน Schedule'!$I$7:$I$156+1)/('แผนงาน Schedule'!$J$7:$J$156-'แผนงาน Schedule'!$I$7:$I$156+1)))</f>
        <v>0.886577287072614</v>
      </c>
      <c r="E53" s="113"/>
      <c r="F53" s="115" t="str">
        <f aca="false">IF(E53="","",E53-N(E52))</f>
        <v/>
      </c>
      <c r="G53" s="128" t="str">
        <f aca="false">IF(OR(E53="",D53=""),"",E53-D53)</f>
        <v/>
      </c>
      <c r="H53" s="22"/>
      <c r="I53" s="129"/>
      <c r="J53" s="129"/>
      <c r="K53" s="129"/>
      <c r="L53" s="129"/>
      <c r="M53" s="129"/>
      <c r="N53" s="129"/>
      <c r="O53" s="129"/>
    </row>
    <row r="54" customFormat="false" ht="15" hidden="false" customHeight="false" outlineLevel="0" collapsed="false">
      <c r="A54" s="117" t="n">
        <f aca="false">IF('ตั้งค่า Setup'!$C$10+7*37&gt;MAX('ตั้งค่า Setup'!$C$111,'ตั้งค่า Setup'!$C$15)+7,"",38)</f>
        <v>38</v>
      </c>
      <c r="B54" s="127" t="n">
        <f aca="false">IF(A54="","",'ตั้งค่า Setup'!$C$10+7*37)</f>
        <v>46433</v>
      </c>
      <c r="C54" s="127" t="n">
        <f aca="false">IF(A54="","",B54+6)</f>
        <v>46439</v>
      </c>
      <c r="D54" s="115" t="n">
        <f aca="false">IF(A54="","",SUMPRODUCT('แผนงาน Schedule'!$G$7:$G$156,('แผนงาน Schedule'!$J$7:$J$156&lt;=C54)+('แผนงาน Schedule'!$I$7:$I$156&lt;=C54)*('แผนงาน Schedule'!$J$7:$J$156&gt;C54)*(C54-'แผนงาน Schedule'!$I$7:$I$156+1)/('แผนงาน Schedule'!$J$7:$J$156-'แผนงาน Schedule'!$I$7:$I$156+1)))</f>
        <v>0.91254563989055</v>
      </c>
      <c r="E54" s="113"/>
      <c r="F54" s="115" t="str">
        <f aca="false">IF(E54="","",E54-N(E53))</f>
        <v/>
      </c>
      <c r="G54" s="128" t="str">
        <f aca="false">IF(OR(E54="",D54=""),"",E54-D54)</f>
        <v/>
      </c>
      <c r="H54" s="22"/>
      <c r="I54" s="129"/>
      <c r="J54" s="129"/>
      <c r="K54" s="129"/>
      <c r="L54" s="129"/>
      <c r="M54" s="129"/>
      <c r="N54" s="129"/>
      <c r="O54" s="129"/>
    </row>
    <row r="55" customFormat="false" ht="15" hidden="false" customHeight="false" outlineLevel="0" collapsed="false">
      <c r="A55" s="117" t="n">
        <f aca="false">IF('ตั้งค่า Setup'!$C$10+7*38&gt;MAX('ตั้งค่า Setup'!$C$111,'ตั้งค่า Setup'!$C$15)+7,"",39)</f>
        <v>39</v>
      </c>
      <c r="B55" s="127" t="n">
        <f aca="false">IF(A55="","",'ตั้งค่า Setup'!$C$10+7*38)</f>
        <v>46440</v>
      </c>
      <c r="C55" s="127" t="n">
        <f aca="false">IF(A55="","",B55+6)</f>
        <v>46446</v>
      </c>
      <c r="D55" s="115" t="n">
        <f aca="false">IF(A55="","",SUMPRODUCT('แผนงาน Schedule'!$G$7:$G$156,('แผนงาน Schedule'!$J$7:$J$156&lt;=C55)+('แผนงาน Schedule'!$I$7:$I$156&lt;=C55)*('แผนงาน Schedule'!$J$7:$J$156&gt;C55)*(C55-'แผนงาน Schedule'!$I$7:$I$156+1)/('แผนงาน Schedule'!$J$7:$J$156-'แผนงาน Schedule'!$I$7:$I$156+1)))</f>
        <v>0.938019921562241</v>
      </c>
      <c r="E55" s="113"/>
      <c r="F55" s="115" t="str">
        <f aca="false">IF(E55="","",E55-N(E54))</f>
        <v/>
      </c>
      <c r="G55" s="128" t="str">
        <f aca="false">IF(OR(E55="",D55=""),"",E55-D55)</f>
        <v/>
      </c>
      <c r="H55" s="22"/>
      <c r="I55" s="129"/>
      <c r="J55" s="129"/>
      <c r="K55" s="129"/>
      <c r="L55" s="129"/>
      <c r="M55" s="129"/>
      <c r="N55" s="129"/>
      <c r="O55" s="129"/>
    </row>
    <row r="56" customFormat="false" ht="15" hidden="false" customHeight="false" outlineLevel="0" collapsed="false">
      <c r="A56" s="117" t="n">
        <f aca="false">IF('ตั้งค่า Setup'!$C$10+7*39&gt;MAX('ตั้งค่า Setup'!$C$111,'ตั้งค่า Setup'!$C$15)+7,"",40)</f>
        <v>40</v>
      </c>
      <c r="B56" s="127" t="n">
        <f aca="false">IF(A56="","",'ตั้งค่า Setup'!$C$10+7*39)</f>
        <v>46447</v>
      </c>
      <c r="C56" s="127" t="n">
        <f aca="false">IF(A56="","",B56+6)</f>
        <v>46453</v>
      </c>
      <c r="D56" s="115" t="n">
        <f aca="false">IF(A56="","",SUMPRODUCT('แผนงาน Schedule'!$G$7:$G$156,('แผนงาน Schedule'!$J$7:$J$156&lt;=C56)+('แผนงาน Schedule'!$I$7:$I$156&lt;=C56)*('แผนงาน Schedule'!$J$7:$J$156&gt;C56)*(C56-'แผนงาน Schedule'!$I$7:$I$156+1)/('แผนงาน Schedule'!$J$7:$J$156-'แผนงาน Schedule'!$I$7:$I$156+1)))</f>
        <v>0.957404599058204</v>
      </c>
      <c r="E56" s="113"/>
      <c r="F56" s="115" t="str">
        <f aca="false">IF(E56="","",E56-N(E55))</f>
        <v/>
      </c>
      <c r="G56" s="128" t="str">
        <f aca="false">IF(OR(E56="",D56=""),"",E56-D56)</f>
        <v/>
      </c>
      <c r="H56" s="22"/>
      <c r="I56" s="129"/>
      <c r="J56" s="129"/>
      <c r="K56" s="129"/>
      <c r="L56" s="129"/>
      <c r="M56" s="129"/>
      <c r="N56" s="129"/>
      <c r="O56" s="129"/>
    </row>
    <row r="57" customFormat="false" ht="15" hidden="false" customHeight="false" outlineLevel="0" collapsed="false">
      <c r="A57" s="117" t="n">
        <f aca="false">IF('ตั้งค่า Setup'!$C$10+7*40&gt;MAX('ตั้งค่า Setup'!$C$111,'ตั้งค่า Setup'!$C$15)+7,"",41)</f>
        <v>41</v>
      </c>
      <c r="B57" s="127" t="n">
        <f aca="false">IF(A57="","",'ตั้งค่า Setup'!$C$10+7*40)</f>
        <v>46454</v>
      </c>
      <c r="C57" s="127" t="n">
        <f aca="false">IF(A57="","",B57+6)</f>
        <v>46460</v>
      </c>
      <c r="D57" s="115" t="n">
        <f aca="false">IF(A57="","",SUMPRODUCT('แผนงาน Schedule'!$G$7:$G$156,('แผนงาน Schedule'!$J$7:$J$156&lt;=C57)+('แผนงาน Schedule'!$I$7:$I$156&lt;=C57)*('แผนงาน Schedule'!$J$7:$J$156&gt;C57)*(C57-'แผนงาน Schedule'!$I$7:$I$156+1)/('แผนงาน Schedule'!$J$7:$J$156-'แผนงาน Schedule'!$I$7:$I$156+1)))</f>
        <v>0.97909287682015</v>
      </c>
      <c r="E57" s="113"/>
      <c r="F57" s="115" t="str">
        <f aca="false">IF(E57="","",E57-N(E56))</f>
        <v/>
      </c>
      <c r="G57" s="128" t="str">
        <f aca="false">IF(OR(E57="",D57=""),"",E57-D57)</f>
        <v/>
      </c>
      <c r="H57" s="22"/>
      <c r="I57" s="129"/>
      <c r="J57" s="129"/>
      <c r="K57" s="129"/>
      <c r="L57" s="129"/>
      <c r="M57" s="129"/>
      <c r="N57" s="129"/>
      <c r="O57" s="129"/>
    </row>
    <row r="58" customFormat="false" ht="15" hidden="false" customHeight="false" outlineLevel="0" collapsed="false">
      <c r="A58" s="117" t="n">
        <f aca="false">IF('ตั้งค่า Setup'!$C$10+7*41&gt;MAX('ตั้งค่า Setup'!$C$111,'ตั้งค่า Setup'!$C$15)+7,"",42)</f>
        <v>42</v>
      </c>
      <c r="B58" s="127" t="n">
        <f aca="false">IF(A58="","",'ตั้งค่า Setup'!$C$10+7*41)</f>
        <v>46461</v>
      </c>
      <c r="C58" s="127" t="n">
        <f aca="false">IF(A58="","",B58+6)</f>
        <v>46467</v>
      </c>
      <c r="D58" s="115" t="n">
        <f aca="false">IF(A58="","",SUMPRODUCT('แผนงาน Schedule'!$G$7:$G$156,('แผนงาน Schedule'!$J$7:$J$156&lt;=C58)+('แผนงาน Schedule'!$I$7:$I$156&lt;=C58)*('แผนงาน Schedule'!$J$7:$J$156&gt;C58)*(C58-'แผนงาน Schedule'!$I$7:$I$156+1)/('แผนงาน Schedule'!$J$7:$J$156-'แผนงาน Schedule'!$I$7:$I$156+1)))</f>
        <v>0.995867768595041</v>
      </c>
      <c r="E58" s="113"/>
      <c r="F58" s="115" t="str">
        <f aca="false">IF(E58="","",E58-N(E57))</f>
        <v/>
      </c>
      <c r="G58" s="128" t="str">
        <f aca="false">IF(OR(E58="",D58=""),"",E58-D58)</f>
        <v/>
      </c>
      <c r="H58" s="22"/>
      <c r="I58" s="129"/>
      <c r="J58" s="129"/>
      <c r="K58" s="129"/>
      <c r="L58" s="129"/>
      <c r="M58" s="129"/>
      <c r="N58" s="129"/>
      <c r="O58" s="129"/>
    </row>
    <row r="59" customFormat="false" ht="15" hidden="false" customHeight="false" outlineLevel="0" collapsed="false">
      <c r="A59" s="117" t="n">
        <f aca="false">IF('ตั้งค่า Setup'!$C$10+7*42&gt;MAX('ตั้งค่า Setup'!$C$111,'ตั้งค่า Setup'!$C$15)+7,"",43)</f>
        <v>43</v>
      </c>
      <c r="B59" s="127" t="n">
        <f aca="false">IF(A59="","",'ตั้งค่า Setup'!$C$10+7*42)</f>
        <v>46468</v>
      </c>
      <c r="C59" s="127" t="n">
        <f aca="false">IF(A59="","",B59+6)</f>
        <v>46474</v>
      </c>
      <c r="D59" s="115" t="n">
        <f aca="false">IF(A59="","",SUMPRODUCT('แผนงาน Schedule'!$G$7:$G$156,('แผนงาน Schedule'!$J$7:$J$156&lt;=C59)+('แผนงาน Schedule'!$I$7:$I$156&lt;=C59)*('แผนงาน Schedule'!$J$7:$J$156&gt;C59)*(C59-'แผนงาน Schedule'!$I$7:$I$156+1)/('แผนงาน Schedule'!$J$7:$J$156-'แผนงาน Schedule'!$I$7:$I$156+1)))</f>
        <v>1</v>
      </c>
      <c r="E59" s="113"/>
      <c r="F59" s="115" t="str">
        <f aca="false">IF(E59="","",E59-N(E58))</f>
        <v/>
      </c>
      <c r="G59" s="128" t="str">
        <f aca="false">IF(OR(E59="",D59=""),"",E59-D59)</f>
        <v/>
      </c>
      <c r="H59" s="22"/>
      <c r="I59" s="129"/>
      <c r="J59" s="129"/>
      <c r="K59" s="129"/>
      <c r="L59" s="129"/>
      <c r="M59" s="129"/>
      <c r="N59" s="129"/>
      <c r="O59" s="129"/>
    </row>
    <row r="60" customFormat="false" ht="15" hidden="false" customHeight="false" outlineLevel="0" collapsed="false">
      <c r="A60" s="117" t="n">
        <f aca="false">IF('ตั้งค่า Setup'!$C$10+7*43&gt;MAX('ตั้งค่า Setup'!$C$111,'ตั้งค่า Setup'!$C$15)+7,"",44)</f>
        <v>44</v>
      </c>
      <c r="B60" s="127" t="n">
        <f aca="false">IF(A60="","",'ตั้งค่า Setup'!$C$10+7*43)</f>
        <v>46475</v>
      </c>
      <c r="C60" s="127" t="n">
        <f aca="false">IF(A60="","",B60+6)</f>
        <v>46481</v>
      </c>
      <c r="D60" s="115" t="n">
        <f aca="false">IF(A60="","",SUMPRODUCT('แผนงาน Schedule'!$G$7:$G$156,('แผนงาน Schedule'!$J$7:$J$156&lt;=C60)+('แผนงาน Schedule'!$I$7:$I$156&lt;=C60)*('แผนงาน Schedule'!$J$7:$J$156&gt;C60)*(C60-'แผนงาน Schedule'!$I$7:$I$156+1)/('แผนงาน Schedule'!$J$7:$J$156-'แผนงาน Schedule'!$I$7:$I$156+1)))</f>
        <v>1</v>
      </c>
      <c r="E60" s="113"/>
      <c r="F60" s="115" t="str">
        <f aca="false">IF(E60="","",E60-N(E59))</f>
        <v/>
      </c>
      <c r="G60" s="128" t="str">
        <f aca="false">IF(OR(E60="",D60=""),"",E60-D60)</f>
        <v/>
      </c>
      <c r="H60" s="22"/>
      <c r="I60" s="129"/>
      <c r="J60" s="129"/>
      <c r="K60" s="129"/>
      <c r="L60" s="129"/>
      <c r="M60" s="129"/>
      <c r="N60" s="129"/>
      <c r="O60" s="129"/>
    </row>
    <row r="61" customFormat="false" ht="15" hidden="false" customHeight="false" outlineLevel="0" collapsed="false">
      <c r="A61" s="117" t="n">
        <f aca="false">IF('ตั้งค่า Setup'!$C$10+7*44&gt;MAX('ตั้งค่า Setup'!$C$111,'ตั้งค่า Setup'!$C$15)+7,"",45)</f>
        <v>45</v>
      </c>
      <c r="B61" s="127" t="n">
        <f aca="false">IF(A61="","",'ตั้งค่า Setup'!$C$10+7*44)</f>
        <v>46482</v>
      </c>
      <c r="C61" s="127" t="n">
        <f aca="false">IF(A61="","",B61+6)</f>
        <v>46488</v>
      </c>
      <c r="D61" s="115" t="n">
        <f aca="false">IF(A61="","",SUMPRODUCT('แผนงาน Schedule'!$G$7:$G$156,('แผนงาน Schedule'!$J$7:$J$156&lt;=C61)+('แผนงาน Schedule'!$I$7:$I$156&lt;=C61)*('แผนงาน Schedule'!$J$7:$J$156&gt;C61)*(C61-'แผนงาน Schedule'!$I$7:$I$156+1)/('แผนงาน Schedule'!$J$7:$J$156-'แผนงาน Schedule'!$I$7:$I$156+1)))</f>
        <v>1</v>
      </c>
      <c r="E61" s="113"/>
      <c r="F61" s="115" t="str">
        <f aca="false">IF(E61="","",E61-N(E60))</f>
        <v/>
      </c>
      <c r="G61" s="128" t="str">
        <f aca="false">IF(OR(E61="",D61=""),"",E61-D61)</f>
        <v/>
      </c>
      <c r="H61" s="22"/>
      <c r="I61" s="129"/>
      <c r="J61" s="129"/>
      <c r="K61" s="129"/>
      <c r="L61" s="129"/>
      <c r="M61" s="129"/>
      <c r="N61" s="129"/>
      <c r="O61" s="129"/>
    </row>
    <row r="62" customFormat="false" ht="15" hidden="false" customHeight="false" outlineLevel="0" collapsed="false">
      <c r="A62" s="117" t="str">
        <f aca="false">IF('ตั้งค่า Setup'!$C$10+7*45&gt;MAX('ตั้งค่า Setup'!$C$111,'ตั้งค่า Setup'!$C$15)+7,"",46)</f>
        <v/>
      </c>
      <c r="B62" s="127" t="str">
        <f aca="false">IF(A62="","",'ตั้งค่า Setup'!$C$10+7*45)</f>
        <v/>
      </c>
      <c r="C62" s="127" t="str">
        <f aca="false">IF(A62="","",B62+6)</f>
        <v/>
      </c>
      <c r="D62" s="115" t="str">
        <f aca="false">IF(A62="","",SUMPRODUCT('แผนงาน Schedule'!$G$7:$G$156,('แผนงาน Schedule'!$J$7:$J$156&lt;=C62)+('แผนงาน Schedule'!$I$7:$I$156&lt;=C62)*('แผนงาน Schedule'!$J$7:$J$156&gt;C62)*(C62-'แผนงาน Schedule'!$I$7:$I$156+1)/('แผนงาน Schedule'!$J$7:$J$156-'แผนงาน Schedule'!$I$7:$I$156+1)))</f>
        <v/>
      </c>
      <c r="E62" s="113"/>
      <c r="F62" s="115" t="str">
        <f aca="false">IF(E62="","",E62-N(E61))</f>
        <v/>
      </c>
      <c r="G62" s="128" t="str">
        <f aca="false">IF(OR(E62="",D62=""),"",E62-D62)</f>
        <v/>
      </c>
      <c r="H62" s="22"/>
      <c r="I62" s="129"/>
      <c r="J62" s="129"/>
      <c r="K62" s="129"/>
      <c r="L62" s="129"/>
      <c r="M62" s="129"/>
      <c r="N62" s="129"/>
      <c r="O62" s="129"/>
    </row>
    <row r="63" customFormat="false" ht="15" hidden="false" customHeight="false" outlineLevel="0" collapsed="false">
      <c r="A63" s="117" t="str">
        <f aca="false">IF('ตั้งค่า Setup'!$C$10+7*46&gt;MAX('ตั้งค่า Setup'!$C$111,'ตั้งค่า Setup'!$C$15)+7,"",47)</f>
        <v/>
      </c>
      <c r="B63" s="127" t="str">
        <f aca="false">IF(A63="","",'ตั้งค่า Setup'!$C$10+7*46)</f>
        <v/>
      </c>
      <c r="C63" s="127" t="str">
        <f aca="false">IF(A63="","",B63+6)</f>
        <v/>
      </c>
      <c r="D63" s="115" t="str">
        <f aca="false">IF(A63="","",SUMPRODUCT('แผนงาน Schedule'!$G$7:$G$156,('แผนงาน Schedule'!$J$7:$J$156&lt;=C63)+('แผนงาน Schedule'!$I$7:$I$156&lt;=C63)*('แผนงาน Schedule'!$J$7:$J$156&gt;C63)*(C63-'แผนงาน Schedule'!$I$7:$I$156+1)/('แผนงาน Schedule'!$J$7:$J$156-'แผนงาน Schedule'!$I$7:$I$156+1)))</f>
        <v/>
      </c>
      <c r="E63" s="113"/>
      <c r="F63" s="115" t="str">
        <f aca="false">IF(E63="","",E63-N(E62))</f>
        <v/>
      </c>
      <c r="G63" s="128" t="str">
        <f aca="false">IF(OR(E63="",D63=""),"",E63-D63)</f>
        <v/>
      </c>
      <c r="H63" s="22"/>
      <c r="I63" s="129"/>
      <c r="J63" s="129"/>
      <c r="K63" s="129"/>
      <c r="L63" s="129"/>
      <c r="M63" s="129"/>
      <c r="N63" s="129"/>
      <c r="O63" s="129"/>
    </row>
    <row r="64" customFormat="false" ht="15" hidden="false" customHeight="false" outlineLevel="0" collapsed="false">
      <c r="A64" s="117" t="str">
        <f aca="false">IF('ตั้งค่า Setup'!$C$10+7*47&gt;MAX('ตั้งค่า Setup'!$C$111,'ตั้งค่า Setup'!$C$15)+7,"",48)</f>
        <v/>
      </c>
      <c r="B64" s="127" t="str">
        <f aca="false">IF(A64="","",'ตั้งค่า Setup'!$C$10+7*47)</f>
        <v/>
      </c>
      <c r="C64" s="127" t="str">
        <f aca="false">IF(A64="","",B64+6)</f>
        <v/>
      </c>
      <c r="D64" s="115" t="str">
        <f aca="false">IF(A64="","",SUMPRODUCT('แผนงาน Schedule'!$G$7:$G$156,('แผนงาน Schedule'!$J$7:$J$156&lt;=C64)+('แผนงาน Schedule'!$I$7:$I$156&lt;=C64)*('แผนงาน Schedule'!$J$7:$J$156&gt;C64)*(C64-'แผนงาน Schedule'!$I$7:$I$156+1)/('แผนงาน Schedule'!$J$7:$J$156-'แผนงาน Schedule'!$I$7:$I$156+1)))</f>
        <v/>
      </c>
      <c r="E64" s="113"/>
      <c r="F64" s="115" t="str">
        <f aca="false">IF(E64="","",E64-N(E63))</f>
        <v/>
      </c>
      <c r="G64" s="128" t="str">
        <f aca="false">IF(OR(E64="",D64=""),"",E64-D64)</f>
        <v/>
      </c>
      <c r="H64" s="22"/>
      <c r="I64" s="129"/>
      <c r="J64" s="129"/>
      <c r="K64" s="129"/>
      <c r="L64" s="129"/>
      <c r="M64" s="129"/>
      <c r="N64" s="129"/>
      <c r="O64" s="129"/>
    </row>
    <row r="65" customFormat="false" ht="15" hidden="false" customHeight="false" outlineLevel="0" collapsed="false">
      <c r="A65" s="117" t="str">
        <f aca="false">IF('ตั้งค่า Setup'!$C$10+7*48&gt;MAX('ตั้งค่า Setup'!$C$111,'ตั้งค่า Setup'!$C$15)+7,"",49)</f>
        <v/>
      </c>
      <c r="B65" s="127" t="str">
        <f aca="false">IF(A65="","",'ตั้งค่า Setup'!$C$10+7*48)</f>
        <v/>
      </c>
      <c r="C65" s="127" t="str">
        <f aca="false">IF(A65="","",B65+6)</f>
        <v/>
      </c>
      <c r="D65" s="115" t="str">
        <f aca="false">IF(A65="","",SUMPRODUCT('แผนงาน Schedule'!$G$7:$G$156,('แผนงาน Schedule'!$J$7:$J$156&lt;=C65)+('แผนงาน Schedule'!$I$7:$I$156&lt;=C65)*('แผนงาน Schedule'!$J$7:$J$156&gt;C65)*(C65-'แผนงาน Schedule'!$I$7:$I$156+1)/('แผนงาน Schedule'!$J$7:$J$156-'แผนงาน Schedule'!$I$7:$I$156+1)))</f>
        <v/>
      </c>
      <c r="E65" s="113"/>
      <c r="F65" s="115" t="str">
        <f aca="false">IF(E65="","",E65-N(E64))</f>
        <v/>
      </c>
      <c r="G65" s="128" t="str">
        <f aca="false">IF(OR(E65="",D65=""),"",E65-D65)</f>
        <v/>
      </c>
      <c r="H65" s="22"/>
      <c r="I65" s="129"/>
      <c r="J65" s="129"/>
      <c r="K65" s="129"/>
      <c r="L65" s="129"/>
      <c r="M65" s="129"/>
      <c r="N65" s="129"/>
      <c r="O65" s="129"/>
    </row>
    <row r="66" customFormat="false" ht="15" hidden="false" customHeight="false" outlineLevel="0" collapsed="false">
      <c r="A66" s="117" t="str">
        <f aca="false">IF('ตั้งค่า Setup'!$C$10+7*49&gt;MAX('ตั้งค่า Setup'!$C$111,'ตั้งค่า Setup'!$C$15)+7,"",50)</f>
        <v/>
      </c>
      <c r="B66" s="127" t="str">
        <f aca="false">IF(A66="","",'ตั้งค่า Setup'!$C$10+7*49)</f>
        <v/>
      </c>
      <c r="C66" s="127" t="str">
        <f aca="false">IF(A66="","",B66+6)</f>
        <v/>
      </c>
      <c r="D66" s="115" t="str">
        <f aca="false">IF(A66="","",SUMPRODUCT('แผนงาน Schedule'!$G$7:$G$156,('แผนงาน Schedule'!$J$7:$J$156&lt;=C66)+('แผนงาน Schedule'!$I$7:$I$156&lt;=C66)*('แผนงาน Schedule'!$J$7:$J$156&gt;C66)*(C66-'แผนงาน Schedule'!$I$7:$I$156+1)/('แผนงาน Schedule'!$J$7:$J$156-'แผนงาน Schedule'!$I$7:$I$156+1)))</f>
        <v/>
      </c>
      <c r="E66" s="113"/>
      <c r="F66" s="115" t="str">
        <f aca="false">IF(E66="","",E66-N(E65))</f>
        <v/>
      </c>
      <c r="G66" s="128" t="str">
        <f aca="false">IF(OR(E66="",D66=""),"",E66-D66)</f>
        <v/>
      </c>
      <c r="H66" s="22"/>
      <c r="I66" s="129"/>
      <c r="J66" s="129"/>
      <c r="K66" s="129"/>
      <c r="L66" s="129"/>
      <c r="M66" s="129"/>
      <c r="N66" s="129"/>
      <c r="O66" s="129"/>
    </row>
    <row r="67" customFormat="false" ht="15" hidden="false" customHeight="false" outlineLevel="0" collapsed="false">
      <c r="A67" s="117" t="str">
        <f aca="false">IF('ตั้งค่า Setup'!$C$10+7*50&gt;MAX('ตั้งค่า Setup'!$C$111,'ตั้งค่า Setup'!$C$15)+7,"",51)</f>
        <v/>
      </c>
      <c r="B67" s="127" t="str">
        <f aca="false">IF(A67="","",'ตั้งค่า Setup'!$C$10+7*50)</f>
        <v/>
      </c>
      <c r="C67" s="127" t="str">
        <f aca="false">IF(A67="","",B67+6)</f>
        <v/>
      </c>
      <c r="D67" s="115" t="str">
        <f aca="false">IF(A67="","",SUMPRODUCT('แผนงาน Schedule'!$G$7:$G$156,('แผนงาน Schedule'!$J$7:$J$156&lt;=C67)+('แผนงาน Schedule'!$I$7:$I$156&lt;=C67)*('แผนงาน Schedule'!$J$7:$J$156&gt;C67)*(C67-'แผนงาน Schedule'!$I$7:$I$156+1)/('แผนงาน Schedule'!$J$7:$J$156-'แผนงาน Schedule'!$I$7:$I$156+1)))</f>
        <v/>
      </c>
      <c r="E67" s="113"/>
      <c r="F67" s="115" t="str">
        <f aca="false">IF(E67="","",E67-N(E66))</f>
        <v/>
      </c>
      <c r="G67" s="128" t="str">
        <f aca="false">IF(OR(E67="",D67=""),"",E67-D67)</f>
        <v/>
      </c>
      <c r="H67" s="22"/>
      <c r="I67" s="129"/>
      <c r="J67" s="129"/>
      <c r="K67" s="129"/>
      <c r="L67" s="129"/>
      <c r="M67" s="129"/>
      <c r="N67" s="129"/>
      <c r="O67" s="129"/>
    </row>
    <row r="68" customFormat="false" ht="15" hidden="false" customHeight="false" outlineLevel="0" collapsed="false">
      <c r="A68" s="117" t="str">
        <f aca="false">IF('ตั้งค่า Setup'!$C$10+7*51&gt;MAX('ตั้งค่า Setup'!$C$111,'ตั้งค่า Setup'!$C$15)+7,"",52)</f>
        <v/>
      </c>
      <c r="B68" s="127" t="str">
        <f aca="false">IF(A68="","",'ตั้งค่า Setup'!$C$10+7*51)</f>
        <v/>
      </c>
      <c r="C68" s="127" t="str">
        <f aca="false">IF(A68="","",B68+6)</f>
        <v/>
      </c>
      <c r="D68" s="115" t="str">
        <f aca="false">IF(A68="","",SUMPRODUCT('แผนงาน Schedule'!$G$7:$G$156,('แผนงาน Schedule'!$J$7:$J$156&lt;=C68)+('แผนงาน Schedule'!$I$7:$I$156&lt;=C68)*('แผนงาน Schedule'!$J$7:$J$156&gt;C68)*(C68-'แผนงาน Schedule'!$I$7:$I$156+1)/('แผนงาน Schedule'!$J$7:$J$156-'แผนงาน Schedule'!$I$7:$I$156+1)))</f>
        <v/>
      </c>
      <c r="E68" s="113"/>
      <c r="F68" s="115" t="str">
        <f aca="false">IF(E68="","",E68-N(E67))</f>
        <v/>
      </c>
      <c r="G68" s="128" t="str">
        <f aca="false">IF(OR(E68="",D68=""),"",E68-D68)</f>
        <v/>
      </c>
      <c r="H68" s="22"/>
      <c r="I68" s="129"/>
      <c r="J68" s="129"/>
      <c r="K68" s="129"/>
      <c r="L68" s="129"/>
      <c r="M68" s="129"/>
      <c r="N68" s="129"/>
      <c r="O68" s="129"/>
    </row>
    <row r="69" customFormat="false" ht="15" hidden="false" customHeight="false" outlineLevel="0" collapsed="false">
      <c r="A69" s="117" t="str">
        <f aca="false">IF('ตั้งค่า Setup'!$C$10+7*52&gt;MAX('ตั้งค่า Setup'!$C$111,'ตั้งค่า Setup'!$C$15)+7,"",53)</f>
        <v/>
      </c>
      <c r="B69" s="127" t="str">
        <f aca="false">IF(A69="","",'ตั้งค่า Setup'!$C$10+7*52)</f>
        <v/>
      </c>
      <c r="C69" s="127" t="str">
        <f aca="false">IF(A69="","",B69+6)</f>
        <v/>
      </c>
      <c r="D69" s="115" t="str">
        <f aca="false">IF(A69="","",SUMPRODUCT('แผนงาน Schedule'!$G$7:$G$156,('แผนงาน Schedule'!$J$7:$J$156&lt;=C69)+('แผนงาน Schedule'!$I$7:$I$156&lt;=C69)*('แผนงาน Schedule'!$J$7:$J$156&gt;C69)*(C69-'แผนงาน Schedule'!$I$7:$I$156+1)/('แผนงาน Schedule'!$J$7:$J$156-'แผนงาน Schedule'!$I$7:$I$156+1)))</f>
        <v/>
      </c>
      <c r="E69" s="113"/>
      <c r="F69" s="115" t="str">
        <f aca="false">IF(E69="","",E69-N(E68))</f>
        <v/>
      </c>
      <c r="G69" s="128" t="str">
        <f aca="false">IF(OR(E69="",D69=""),"",E69-D69)</f>
        <v/>
      </c>
      <c r="H69" s="22"/>
      <c r="I69" s="129"/>
      <c r="J69" s="129"/>
      <c r="K69" s="129"/>
      <c r="L69" s="129"/>
      <c r="M69" s="129"/>
      <c r="N69" s="129"/>
      <c r="O69" s="129"/>
    </row>
    <row r="70" customFormat="false" ht="15" hidden="false" customHeight="false" outlineLevel="0" collapsed="false">
      <c r="A70" s="117" t="str">
        <f aca="false">IF('ตั้งค่า Setup'!$C$10+7*53&gt;MAX('ตั้งค่า Setup'!$C$111,'ตั้งค่า Setup'!$C$15)+7,"",54)</f>
        <v/>
      </c>
      <c r="B70" s="127" t="str">
        <f aca="false">IF(A70="","",'ตั้งค่า Setup'!$C$10+7*53)</f>
        <v/>
      </c>
      <c r="C70" s="127" t="str">
        <f aca="false">IF(A70="","",B70+6)</f>
        <v/>
      </c>
      <c r="D70" s="115" t="str">
        <f aca="false">IF(A70="","",SUMPRODUCT('แผนงาน Schedule'!$G$7:$G$156,('แผนงาน Schedule'!$J$7:$J$156&lt;=C70)+('แผนงาน Schedule'!$I$7:$I$156&lt;=C70)*('แผนงาน Schedule'!$J$7:$J$156&gt;C70)*(C70-'แผนงาน Schedule'!$I$7:$I$156+1)/('แผนงาน Schedule'!$J$7:$J$156-'แผนงาน Schedule'!$I$7:$I$156+1)))</f>
        <v/>
      </c>
      <c r="E70" s="113"/>
      <c r="F70" s="115" t="str">
        <f aca="false">IF(E70="","",E70-N(E69))</f>
        <v/>
      </c>
      <c r="G70" s="128" t="str">
        <f aca="false">IF(OR(E70="",D70=""),"",E70-D70)</f>
        <v/>
      </c>
      <c r="H70" s="22"/>
      <c r="I70" s="129"/>
      <c r="J70" s="129"/>
      <c r="K70" s="129"/>
      <c r="L70" s="129"/>
      <c r="M70" s="129"/>
      <c r="N70" s="129"/>
      <c r="O70" s="129"/>
    </row>
    <row r="71" customFormat="false" ht="15" hidden="false" customHeight="false" outlineLevel="0" collapsed="false">
      <c r="A71" s="117" t="str">
        <f aca="false">IF('ตั้งค่า Setup'!$C$10+7*54&gt;MAX('ตั้งค่า Setup'!$C$111,'ตั้งค่า Setup'!$C$15)+7,"",55)</f>
        <v/>
      </c>
      <c r="B71" s="127" t="str">
        <f aca="false">IF(A71="","",'ตั้งค่า Setup'!$C$10+7*54)</f>
        <v/>
      </c>
      <c r="C71" s="127" t="str">
        <f aca="false">IF(A71="","",B71+6)</f>
        <v/>
      </c>
      <c r="D71" s="115" t="str">
        <f aca="false">IF(A71="","",SUMPRODUCT('แผนงาน Schedule'!$G$7:$G$156,('แผนงาน Schedule'!$J$7:$J$156&lt;=C71)+('แผนงาน Schedule'!$I$7:$I$156&lt;=C71)*('แผนงาน Schedule'!$J$7:$J$156&gt;C71)*(C71-'แผนงาน Schedule'!$I$7:$I$156+1)/('แผนงาน Schedule'!$J$7:$J$156-'แผนงาน Schedule'!$I$7:$I$156+1)))</f>
        <v/>
      </c>
      <c r="E71" s="113"/>
      <c r="F71" s="115" t="str">
        <f aca="false">IF(E71="","",E71-N(E70))</f>
        <v/>
      </c>
      <c r="G71" s="128" t="str">
        <f aca="false">IF(OR(E71="",D71=""),"",E71-D71)</f>
        <v/>
      </c>
      <c r="H71" s="22"/>
      <c r="I71" s="129"/>
      <c r="J71" s="129"/>
      <c r="K71" s="129"/>
      <c r="L71" s="129"/>
      <c r="M71" s="129"/>
      <c r="N71" s="129"/>
      <c r="O71" s="129"/>
    </row>
    <row r="72" customFormat="false" ht="15" hidden="false" customHeight="false" outlineLevel="0" collapsed="false">
      <c r="A72" s="117" t="str">
        <f aca="false">IF('ตั้งค่า Setup'!$C$10+7*55&gt;MAX('ตั้งค่า Setup'!$C$111,'ตั้งค่า Setup'!$C$15)+7,"",56)</f>
        <v/>
      </c>
      <c r="B72" s="127" t="str">
        <f aca="false">IF(A72="","",'ตั้งค่า Setup'!$C$10+7*55)</f>
        <v/>
      </c>
      <c r="C72" s="127" t="str">
        <f aca="false">IF(A72="","",B72+6)</f>
        <v/>
      </c>
      <c r="D72" s="115" t="str">
        <f aca="false">IF(A72="","",SUMPRODUCT('แผนงาน Schedule'!$G$7:$G$156,('แผนงาน Schedule'!$J$7:$J$156&lt;=C72)+('แผนงาน Schedule'!$I$7:$I$156&lt;=C72)*('แผนงาน Schedule'!$J$7:$J$156&gt;C72)*(C72-'แผนงาน Schedule'!$I$7:$I$156+1)/('แผนงาน Schedule'!$J$7:$J$156-'แผนงาน Schedule'!$I$7:$I$156+1)))</f>
        <v/>
      </c>
      <c r="E72" s="113"/>
      <c r="F72" s="115" t="str">
        <f aca="false">IF(E72="","",E72-N(E71))</f>
        <v/>
      </c>
      <c r="G72" s="128" t="str">
        <f aca="false">IF(OR(E72="",D72=""),"",E72-D72)</f>
        <v/>
      </c>
      <c r="H72" s="22"/>
      <c r="I72" s="129"/>
      <c r="J72" s="129"/>
      <c r="K72" s="129"/>
      <c r="L72" s="129"/>
      <c r="M72" s="129"/>
      <c r="N72" s="129"/>
      <c r="O72" s="129"/>
    </row>
    <row r="73" customFormat="false" ht="15" hidden="false" customHeight="false" outlineLevel="0" collapsed="false">
      <c r="A73" s="117" t="str">
        <f aca="false">IF('ตั้งค่า Setup'!$C$10+7*56&gt;MAX('ตั้งค่า Setup'!$C$111,'ตั้งค่า Setup'!$C$15)+7,"",57)</f>
        <v/>
      </c>
      <c r="B73" s="127" t="str">
        <f aca="false">IF(A73="","",'ตั้งค่า Setup'!$C$10+7*56)</f>
        <v/>
      </c>
      <c r="C73" s="127" t="str">
        <f aca="false">IF(A73="","",B73+6)</f>
        <v/>
      </c>
      <c r="D73" s="115" t="str">
        <f aca="false">IF(A73="","",SUMPRODUCT('แผนงาน Schedule'!$G$7:$G$156,('แผนงาน Schedule'!$J$7:$J$156&lt;=C73)+('แผนงาน Schedule'!$I$7:$I$156&lt;=C73)*('แผนงาน Schedule'!$J$7:$J$156&gt;C73)*(C73-'แผนงาน Schedule'!$I$7:$I$156+1)/('แผนงาน Schedule'!$J$7:$J$156-'แผนงาน Schedule'!$I$7:$I$156+1)))</f>
        <v/>
      </c>
      <c r="E73" s="113"/>
      <c r="F73" s="115" t="str">
        <f aca="false">IF(E73="","",E73-N(E72))</f>
        <v/>
      </c>
      <c r="G73" s="128" t="str">
        <f aca="false">IF(OR(E73="",D73=""),"",E73-D73)</f>
        <v/>
      </c>
      <c r="H73" s="22"/>
      <c r="I73" s="129"/>
      <c r="J73" s="129"/>
      <c r="K73" s="129"/>
      <c r="L73" s="129"/>
      <c r="M73" s="129"/>
      <c r="N73" s="129"/>
      <c r="O73" s="129"/>
    </row>
    <row r="74" customFormat="false" ht="15" hidden="false" customHeight="false" outlineLevel="0" collapsed="false">
      <c r="A74" s="117" t="str">
        <f aca="false">IF('ตั้งค่า Setup'!$C$10+7*57&gt;MAX('ตั้งค่า Setup'!$C$111,'ตั้งค่า Setup'!$C$15)+7,"",58)</f>
        <v/>
      </c>
      <c r="B74" s="127" t="str">
        <f aca="false">IF(A74="","",'ตั้งค่า Setup'!$C$10+7*57)</f>
        <v/>
      </c>
      <c r="C74" s="127" t="str">
        <f aca="false">IF(A74="","",B74+6)</f>
        <v/>
      </c>
      <c r="D74" s="115" t="str">
        <f aca="false">IF(A74="","",SUMPRODUCT('แผนงาน Schedule'!$G$7:$G$156,('แผนงาน Schedule'!$J$7:$J$156&lt;=C74)+('แผนงาน Schedule'!$I$7:$I$156&lt;=C74)*('แผนงาน Schedule'!$J$7:$J$156&gt;C74)*(C74-'แผนงาน Schedule'!$I$7:$I$156+1)/('แผนงาน Schedule'!$J$7:$J$156-'แผนงาน Schedule'!$I$7:$I$156+1)))</f>
        <v/>
      </c>
      <c r="E74" s="113"/>
      <c r="F74" s="115" t="str">
        <f aca="false">IF(E74="","",E74-N(E73))</f>
        <v/>
      </c>
      <c r="G74" s="128" t="str">
        <f aca="false">IF(OR(E74="",D74=""),"",E74-D74)</f>
        <v/>
      </c>
      <c r="H74" s="22"/>
      <c r="I74" s="129"/>
      <c r="J74" s="129"/>
      <c r="K74" s="129"/>
      <c r="L74" s="129"/>
      <c r="M74" s="129"/>
      <c r="N74" s="129"/>
      <c r="O74" s="129"/>
    </row>
    <row r="75" customFormat="false" ht="15" hidden="false" customHeight="false" outlineLevel="0" collapsed="false">
      <c r="A75" s="117" t="str">
        <f aca="false">IF('ตั้งค่า Setup'!$C$10+7*58&gt;MAX('ตั้งค่า Setup'!$C$111,'ตั้งค่า Setup'!$C$15)+7,"",59)</f>
        <v/>
      </c>
      <c r="B75" s="127" t="str">
        <f aca="false">IF(A75="","",'ตั้งค่า Setup'!$C$10+7*58)</f>
        <v/>
      </c>
      <c r="C75" s="127" t="str">
        <f aca="false">IF(A75="","",B75+6)</f>
        <v/>
      </c>
      <c r="D75" s="115" t="str">
        <f aca="false">IF(A75="","",SUMPRODUCT('แผนงาน Schedule'!$G$7:$G$156,('แผนงาน Schedule'!$J$7:$J$156&lt;=C75)+('แผนงาน Schedule'!$I$7:$I$156&lt;=C75)*('แผนงาน Schedule'!$J$7:$J$156&gt;C75)*(C75-'แผนงาน Schedule'!$I$7:$I$156+1)/('แผนงาน Schedule'!$J$7:$J$156-'แผนงาน Schedule'!$I$7:$I$156+1)))</f>
        <v/>
      </c>
      <c r="E75" s="113"/>
      <c r="F75" s="115" t="str">
        <f aca="false">IF(E75="","",E75-N(E74))</f>
        <v/>
      </c>
      <c r="G75" s="128" t="str">
        <f aca="false">IF(OR(E75="",D75=""),"",E75-D75)</f>
        <v/>
      </c>
      <c r="H75" s="22"/>
      <c r="I75" s="129"/>
      <c r="J75" s="129"/>
      <c r="K75" s="129"/>
      <c r="L75" s="129"/>
      <c r="M75" s="129"/>
      <c r="N75" s="129"/>
      <c r="O75" s="129"/>
    </row>
    <row r="76" customFormat="false" ht="15" hidden="false" customHeight="false" outlineLevel="0" collapsed="false">
      <c r="A76" s="117" t="str">
        <f aca="false">IF('ตั้งค่า Setup'!$C$10+7*59&gt;MAX('ตั้งค่า Setup'!$C$111,'ตั้งค่า Setup'!$C$15)+7,"",60)</f>
        <v/>
      </c>
      <c r="B76" s="127" t="str">
        <f aca="false">IF(A76="","",'ตั้งค่า Setup'!$C$10+7*59)</f>
        <v/>
      </c>
      <c r="C76" s="127" t="str">
        <f aca="false">IF(A76="","",B76+6)</f>
        <v/>
      </c>
      <c r="D76" s="115" t="str">
        <f aca="false">IF(A76="","",SUMPRODUCT('แผนงาน Schedule'!$G$7:$G$156,('แผนงาน Schedule'!$J$7:$J$156&lt;=C76)+('แผนงาน Schedule'!$I$7:$I$156&lt;=C76)*('แผนงาน Schedule'!$J$7:$J$156&gt;C76)*(C76-'แผนงาน Schedule'!$I$7:$I$156+1)/('แผนงาน Schedule'!$J$7:$J$156-'แผนงาน Schedule'!$I$7:$I$156+1)))</f>
        <v/>
      </c>
      <c r="E76" s="113"/>
      <c r="F76" s="115" t="str">
        <f aca="false">IF(E76="","",E76-N(E75))</f>
        <v/>
      </c>
      <c r="G76" s="128" t="str">
        <f aca="false">IF(OR(E76="",D76=""),"",E76-D76)</f>
        <v/>
      </c>
      <c r="H76" s="22"/>
      <c r="I76" s="129"/>
      <c r="J76" s="129"/>
      <c r="K76" s="129"/>
      <c r="L76" s="129"/>
      <c r="M76" s="129"/>
      <c r="N76" s="129"/>
      <c r="O76" s="129"/>
    </row>
    <row r="77" customFormat="false" ht="15" hidden="false" customHeight="false" outlineLevel="0" collapsed="false">
      <c r="A77" s="117" t="str">
        <f aca="false">IF('ตั้งค่า Setup'!$C$10+7*60&gt;MAX('ตั้งค่า Setup'!$C$111,'ตั้งค่า Setup'!$C$15)+7,"",61)</f>
        <v/>
      </c>
      <c r="B77" s="127" t="str">
        <f aca="false">IF(A77="","",'ตั้งค่า Setup'!$C$10+7*60)</f>
        <v/>
      </c>
      <c r="C77" s="127" t="str">
        <f aca="false">IF(A77="","",B77+6)</f>
        <v/>
      </c>
      <c r="D77" s="115" t="str">
        <f aca="false">IF(A77="","",SUMPRODUCT('แผนงาน Schedule'!$G$7:$G$156,('แผนงาน Schedule'!$J$7:$J$156&lt;=C77)+('แผนงาน Schedule'!$I$7:$I$156&lt;=C77)*('แผนงาน Schedule'!$J$7:$J$156&gt;C77)*(C77-'แผนงาน Schedule'!$I$7:$I$156+1)/('แผนงาน Schedule'!$J$7:$J$156-'แผนงาน Schedule'!$I$7:$I$156+1)))</f>
        <v/>
      </c>
      <c r="E77" s="113"/>
      <c r="F77" s="115" t="str">
        <f aca="false">IF(E77="","",E77-N(E76))</f>
        <v/>
      </c>
      <c r="G77" s="128" t="str">
        <f aca="false">IF(OR(E77="",D77=""),"",E77-D77)</f>
        <v/>
      </c>
      <c r="H77" s="22"/>
      <c r="I77" s="129"/>
      <c r="J77" s="129"/>
      <c r="K77" s="129"/>
      <c r="L77" s="129"/>
      <c r="M77" s="129"/>
      <c r="N77" s="129"/>
      <c r="O77" s="129"/>
    </row>
    <row r="78" customFormat="false" ht="15" hidden="false" customHeight="false" outlineLevel="0" collapsed="false">
      <c r="A78" s="117" t="str">
        <f aca="false">IF('ตั้งค่า Setup'!$C$10+7*61&gt;MAX('ตั้งค่า Setup'!$C$111,'ตั้งค่า Setup'!$C$15)+7,"",62)</f>
        <v/>
      </c>
      <c r="B78" s="127" t="str">
        <f aca="false">IF(A78="","",'ตั้งค่า Setup'!$C$10+7*61)</f>
        <v/>
      </c>
      <c r="C78" s="127" t="str">
        <f aca="false">IF(A78="","",B78+6)</f>
        <v/>
      </c>
      <c r="D78" s="115" t="str">
        <f aca="false">IF(A78="","",SUMPRODUCT('แผนงาน Schedule'!$G$7:$G$156,('แผนงาน Schedule'!$J$7:$J$156&lt;=C78)+('แผนงาน Schedule'!$I$7:$I$156&lt;=C78)*('แผนงาน Schedule'!$J$7:$J$156&gt;C78)*(C78-'แผนงาน Schedule'!$I$7:$I$156+1)/('แผนงาน Schedule'!$J$7:$J$156-'แผนงาน Schedule'!$I$7:$I$156+1)))</f>
        <v/>
      </c>
      <c r="E78" s="113"/>
      <c r="F78" s="115" t="str">
        <f aca="false">IF(E78="","",E78-N(E77))</f>
        <v/>
      </c>
      <c r="G78" s="128" t="str">
        <f aca="false">IF(OR(E78="",D78=""),"",E78-D78)</f>
        <v/>
      </c>
      <c r="H78" s="22"/>
      <c r="I78" s="129"/>
      <c r="J78" s="129"/>
      <c r="K78" s="129"/>
      <c r="L78" s="129"/>
      <c r="M78" s="129"/>
      <c r="N78" s="129"/>
      <c r="O78" s="129"/>
    </row>
    <row r="79" customFormat="false" ht="15" hidden="false" customHeight="false" outlineLevel="0" collapsed="false">
      <c r="A79" s="117" t="str">
        <f aca="false">IF('ตั้งค่า Setup'!$C$10+7*62&gt;MAX('ตั้งค่า Setup'!$C$111,'ตั้งค่า Setup'!$C$15)+7,"",63)</f>
        <v/>
      </c>
      <c r="B79" s="127" t="str">
        <f aca="false">IF(A79="","",'ตั้งค่า Setup'!$C$10+7*62)</f>
        <v/>
      </c>
      <c r="C79" s="127" t="str">
        <f aca="false">IF(A79="","",B79+6)</f>
        <v/>
      </c>
      <c r="D79" s="115" t="str">
        <f aca="false">IF(A79="","",SUMPRODUCT('แผนงาน Schedule'!$G$7:$G$156,('แผนงาน Schedule'!$J$7:$J$156&lt;=C79)+('แผนงาน Schedule'!$I$7:$I$156&lt;=C79)*('แผนงาน Schedule'!$J$7:$J$156&gt;C79)*(C79-'แผนงาน Schedule'!$I$7:$I$156+1)/('แผนงาน Schedule'!$J$7:$J$156-'แผนงาน Schedule'!$I$7:$I$156+1)))</f>
        <v/>
      </c>
      <c r="E79" s="113"/>
      <c r="F79" s="115" t="str">
        <f aca="false">IF(E79="","",E79-N(E78))</f>
        <v/>
      </c>
      <c r="G79" s="128" t="str">
        <f aca="false">IF(OR(E79="",D79=""),"",E79-D79)</f>
        <v/>
      </c>
      <c r="H79" s="22"/>
      <c r="I79" s="129"/>
      <c r="J79" s="129"/>
      <c r="K79" s="129"/>
      <c r="L79" s="129"/>
      <c r="M79" s="129"/>
      <c r="N79" s="129"/>
      <c r="O79" s="129"/>
    </row>
    <row r="80" customFormat="false" ht="15" hidden="false" customHeight="false" outlineLevel="0" collapsed="false">
      <c r="A80" s="117" t="str">
        <f aca="false">IF('ตั้งค่า Setup'!$C$10+7*63&gt;MAX('ตั้งค่า Setup'!$C$111,'ตั้งค่า Setup'!$C$15)+7,"",64)</f>
        <v/>
      </c>
      <c r="B80" s="127" t="str">
        <f aca="false">IF(A80="","",'ตั้งค่า Setup'!$C$10+7*63)</f>
        <v/>
      </c>
      <c r="C80" s="127" t="str">
        <f aca="false">IF(A80="","",B80+6)</f>
        <v/>
      </c>
      <c r="D80" s="115" t="str">
        <f aca="false">IF(A80="","",SUMPRODUCT('แผนงาน Schedule'!$G$7:$G$156,('แผนงาน Schedule'!$J$7:$J$156&lt;=C80)+('แผนงาน Schedule'!$I$7:$I$156&lt;=C80)*('แผนงาน Schedule'!$J$7:$J$156&gt;C80)*(C80-'แผนงาน Schedule'!$I$7:$I$156+1)/('แผนงาน Schedule'!$J$7:$J$156-'แผนงาน Schedule'!$I$7:$I$156+1)))</f>
        <v/>
      </c>
      <c r="E80" s="113"/>
      <c r="F80" s="115" t="str">
        <f aca="false">IF(E80="","",E80-N(E79))</f>
        <v/>
      </c>
      <c r="G80" s="128" t="str">
        <f aca="false">IF(OR(E80="",D80=""),"",E80-D80)</f>
        <v/>
      </c>
      <c r="H80" s="22"/>
      <c r="I80" s="129"/>
      <c r="J80" s="129"/>
      <c r="K80" s="129"/>
      <c r="L80" s="129"/>
      <c r="M80" s="129"/>
      <c r="N80" s="129"/>
      <c r="O80" s="129"/>
    </row>
    <row r="81" customFormat="false" ht="15" hidden="false" customHeight="false" outlineLevel="0" collapsed="false">
      <c r="A81" s="117" t="str">
        <f aca="false">IF('ตั้งค่า Setup'!$C$10+7*64&gt;MAX('ตั้งค่า Setup'!$C$111,'ตั้งค่า Setup'!$C$15)+7,"",65)</f>
        <v/>
      </c>
      <c r="B81" s="127" t="str">
        <f aca="false">IF(A81="","",'ตั้งค่า Setup'!$C$10+7*64)</f>
        <v/>
      </c>
      <c r="C81" s="127" t="str">
        <f aca="false">IF(A81="","",B81+6)</f>
        <v/>
      </c>
      <c r="D81" s="115" t="str">
        <f aca="false">IF(A81="","",SUMPRODUCT('แผนงาน Schedule'!$G$7:$G$156,('แผนงาน Schedule'!$J$7:$J$156&lt;=C81)+('แผนงาน Schedule'!$I$7:$I$156&lt;=C81)*('แผนงาน Schedule'!$J$7:$J$156&gt;C81)*(C81-'แผนงาน Schedule'!$I$7:$I$156+1)/('แผนงาน Schedule'!$J$7:$J$156-'แผนงาน Schedule'!$I$7:$I$156+1)))</f>
        <v/>
      </c>
      <c r="E81" s="113"/>
      <c r="F81" s="115" t="str">
        <f aca="false">IF(E81="","",E81-N(E80))</f>
        <v/>
      </c>
      <c r="G81" s="128" t="str">
        <f aca="false">IF(OR(E81="",D81=""),"",E81-D81)</f>
        <v/>
      </c>
      <c r="H81" s="22"/>
      <c r="I81" s="129"/>
      <c r="J81" s="129"/>
      <c r="K81" s="129"/>
      <c r="L81" s="129"/>
      <c r="M81" s="129"/>
      <c r="N81" s="129"/>
      <c r="O81" s="129"/>
    </row>
    <row r="82" customFormat="false" ht="15" hidden="false" customHeight="false" outlineLevel="0" collapsed="false">
      <c r="A82" s="117" t="str">
        <f aca="false">IF('ตั้งค่า Setup'!$C$10+7*65&gt;MAX('ตั้งค่า Setup'!$C$111,'ตั้งค่า Setup'!$C$15)+7,"",66)</f>
        <v/>
      </c>
      <c r="B82" s="127" t="str">
        <f aca="false">IF(A82="","",'ตั้งค่า Setup'!$C$10+7*65)</f>
        <v/>
      </c>
      <c r="C82" s="127" t="str">
        <f aca="false">IF(A82="","",B82+6)</f>
        <v/>
      </c>
      <c r="D82" s="115" t="str">
        <f aca="false">IF(A82="","",SUMPRODUCT('แผนงาน Schedule'!$G$7:$G$156,('แผนงาน Schedule'!$J$7:$J$156&lt;=C82)+('แผนงาน Schedule'!$I$7:$I$156&lt;=C82)*('แผนงาน Schedule'!$J$7:$J$156&gt;C82)*(C82-'แผนงาน Schedule'!$I$7:$I$156+1)/('แผนงาน Schedule'!$J$7:$J$156-'แผนงาน Schedule'!$I$7:$I$156+1)))</f>
        <v/>
      </c>
      <c r="E82" s="113"/>
      <c r="F82" s="115" t="str">
        <f aca="false">IF(E82="","",E82-N(E81))</f>
        <v/>
      </c>
      <c r="G82" s="128" t="str">
        <f aca="false">IF(OR(E82="",D82=""),"",E82-D82)</f>
        <v/>
      </c>
      <c r="H82" s="22"/>
      <c r="I82" s="129"/>
      <c r="J82" s="129"/>
      <c r="K82" s="129"/>
      <c r="L82" s="129"/>
      <c r="M82" s="129"/>
      <c r="N82" s="129"/>
      <c r="O82" s="129"/>
    </row>
    <row r="83" customFormat="false" ht="15" hidden="false" customHeight="false" outlineLevel="0" collapsed="false">
      <c r="A83" s="117" t="str">
        <f aca="false">IF('ตั้งค่า Setup'!$C$10+7*66&gt;MAX('ตั้งค่า Setup'!$C$111,'ตั้งค่า Setup'!$C$15)+7,"",67)</f>
        <v/>
      </c>
      <c r="B83" s="127" t="str">
        <f aca="false">IF(A83="","",'ตั้งค่า Setup'!$C$10+7*66)</f>
        <v/>
      </c>
      <c r="C83" s="127" t="str">
        <f aca="false">IF(A83="","",B83+6)</f>
        <v/>
      </c>
      <c r="D83" s="115" t="str">
        <f aca="false">IF(A83="","",SUMPRODUCT('แผนงาน Schedule'!$G$7:$G$156,('แผนงาน Schedule'!$J$7:$J$156&lt;=C83)+('แผนงาน Schedule'!$I$7:$I$156&lt;=C83)*('แผนงาน Schedule'!$J$7:$J$156&gt;C83)*(C83-'แผนงาน Schedule'!$I$7:$I$156+1)/('แผนงาน Schedule'!$J$7:$J$156-'แผนงาน Schedule'!$I$7:$I$156+1)))</f>
        <v/>
      </c>
      <c r="E83" s="113"/>
      <c r="F83" s="115" t="str">
        <f aca="false">IF(E83="","",E83-N(E82))</f>
        <v/>
      </c>
      <c r="G83" s="128" t="str">
        <f aca="false">IF(OR(E83="",D83=""),"",E83-D83)</f>
        <v/>
      </c>
      <c r="H83" s="22"/>
      <c r="I83" s="129"/>
      <c r="J83" s="129"/>
      <c r="K83" s="129"/>
      <c r="L83" s="129"/>
      <c r="M83" s="129"/>
      <c r="N83" s="129"/>
      <c r="O83" s="129"/>
    </row>
    <row r="84" customFormat="false" ht="15" hidden="false" customHeight="false" outlineLevel="0" collapsed="false">
      <c r="A84" s="117" t="str">
        <f aca="false">IF('ตั้งค่า Setup'!$C$10+7*67&gt;MAX('ตั้งค่า Setup'!$C$111,'ตั้งค่า Setup'!$C$15)+7,"",68)</f>
        <v/>
      </c>
      <c r="B84" s="127" t="str">
        <f aca="false">IF(A84="","",'ตั้งค่า Setup'!$C$10+7*67)</f>
        <v/>
      </c>
      <c r="C84" s="127" t="str">
        <f aca="false">IF(A84="","",B84+6)</f>
        <v/>
      </c>
      <c r="D84" s="115" t="str">
        <f aca="false">IF(A84="","",SUMPRODUCT('แผนงาน Schedule'!$G$7:$G$156,('แผนงาน Schedule'!$J$7:$J$156&lt;=C84)+('แผนงาน Schedule'!$I$7:$I$156&lt;=C84)*('แผนงาน Schedule'!$J$7:$J$156&gt;C84)*(C84-'แผนงาน Schedule'!$I$7:$I$156+1)/('แผนงาน Schedule'!$J$7:$J$156-'แผนงาน Schedule'!$I$7:$I$156+1)))</f>
        <v/>
      </c>
      <c r="E84" s="113"/>
      <c r="F84" s="115" t="str">
        <f aca="false">IF(E84="","",E84-N(E83))</f>
        <v/>
      </c>
      <c r="G84" s="128" t="str">
        <f aca="false">IF(OR(E84="",D84=""),"",E84-D84)</f>
        <v/>
      </c>
      <c r="H84" s="22"/>
      <c r="I84" s="129"/>
      <c r="J84" s="129"/>
      <c r="K84" s="129"/>
      <c r="L84" s="129"/>
      <c r="M84" s="129"/>
      <c r="N84" s="129"/>
      <c r="O84" s="129"/>
    </row>
    <row r="85" customFormat="false" ht="15" hidden="false" customHeight="false" outlineLevel="0" collapsed="false">
      <c r="A85" s="117" t="str">
        <f aca="false">IF('ตั้งค่า Setup'!$C$10+7*68&gt;MAX('ตั้งค่า Setup'!$C$111,'ตั้งค่า Setup'!$C$15)+7,"",69)</f>
        <v/>
      </c>
      <c r="B85" s="127" t="str">
        <f aca="false">IF(A85="","",'ตั้งค่า Setup'!$C$10+7*68)</f>
        <v/>
      </c>
      <c r="C85" s="127" t="str">
        <f aca="false">IF(A85="","",B85+6)</f>
        <v/>
      </c>
      <c r="D85" s="115" t="str">
        <f aca="false">IF(A85="","",SUMPRODUCT('แผนงาน Schedule'!$G$7:$G$156,('แผนงาน Schedule'!$J$7:$J$156&lt;=C85)+('แผนงาน Schedule'!$I$7:$I$156&lt;=C85)*('แผนงาน Schedule'!$J$7:$J$156&gt;C85)*(C85-'แผนงาน Schedule'!$I$7:$I$156+1)/('แผนงาน Schedule'!$J$7:$J$156-'แผนงาน Schedule'!$I$7:$I$156+1)))</f>
        <v/>
      </c>
      <c r="E85" s="113"/>
      <c r="F85" s="115" t="str">
        <f aca="false">IF(E85="","",E85-N(E84))</f>
        <v/>
      </c>
      <c r="G85" s="128" t="str">
        <f aca="false">IF(OR(E85="",D85=""),"",E85-D85)</f>
        <v/>
      </c>
      <c r="H85" s="22"/>
      <c r="I85" s="129"/>
      <c r="J85" s="129"/>
      <c r="K85" s="129"/>
      <c r="L85" s="129"/>
      <c r="M85" s="129"/>
      <c r="N85" s="129"/>
      <c r="O85" s="129"/>
    </row>
    <row r="86" customFormat="false" ht="15" hidden="false" customHeight="false" outlineLevel="0" collapsed="false">
      <c r="A86" s="117" t="str">
        <f aca="false">IF('ตั้งค่า Setup'!$C$10+7*69&gt;MAX('ตั้งค่า Setup'!$C$111,'ตั้งค่า Setup'!$C$15)+7,"",70)</f>
        <v/>
      </c>
      <c r="B86" s="127" t="str">
        <f aca="false">IF(A86="","",'ตั้งค่า Setup'!$C$10+7*69)</f>
        <v/>
      </c>
      <c r="C86" s="127" t="str">
        <f aca="false">IF(A86="","",B86+6)</f>
        <v/>
      </c>
      <c r="D86" s="115" t="str">
        <f aca="false">IF(A86="","",SUMPRODUCT('แผนงาน Schedule'!$G$7:$G$156,('แผนงาน Schedule'!$J$7:$J$156&lt;=C86)+('แผนงาน Schedule'!$I$7:$I$156&lt;=C86)*('แผนงาน Schedule'!$J$7:$J$156&gt;C86)*(C86-'แผนงาน Schedule'!$I$7:$I$156+1)/('แผนงาน Schedule'!$J$7:$J$156-'แผนงาน Schedule'!$I$7:$I$156+1)))</f>
        <v/>
      </c>
      <c r="E86" s="113"/>
      <c r="F86" s="115" t="str">
        <f aca="false">IF(E86="","",E86-N(E85))</f>
        <v/>
      </c>
      <c r="G86" s="128" t="str">
        <f aca="false">IF(OR(E86="",D86=""),"",E86-D86)</f>
        <v/>
      </c>
      <c r="H86" s="22"/>
      <c r="I86" s="129"/>
      <c r="J86" s="129"/>
      <c r="K86" s="129"/>
      <c r="L86" s="129"/>
      <c r="M86" s="129"/>
      <c r="N86" s="129"/>
      <c r="O86" s="129"/>
    </row>
    <row r="87" customFormat="false" ht="15" hidden="false" customHeight="false" outlineLevel="0" collapsed="false">
      <c r="A87" s="117" t="str">
        <f aca="false">IF('ตั้งค่า Setup'!$C$10+7*70&gt;MAX('ตั้งค่า Setup'!$C$111,'ตั้งค่า Setup'!$C$15)+7,"",71)</f>
        <v/>
      </c>
      <c r="B87" s="127" t="str">
        <f aca="false">IF(A87="","",'ตั้งค่า Setup'!$C$10+7*70)</f>
        <v/>
      </c>
      <c r="C87" s="127" t="str">
        <f aca="false">IF(A87="","",B87+6)</f>
        <v/>
      </c>
      <c r="D87" s="115" t="str">
        <f aca="false">IF(A87="","",SUMPRODUCT('แผนงาน Schedule'!$G$7:$G$156,('แผนงาน Schedule'!$J$7:$J$156&lt;=C87)+('แผนงาน Schedule'!$I$7:$I$156&lt;=C87)*('แผนงาน Schedule'!$J$7:$J$156&gt;C87)*(C87-'แผนงาน Schedule'!$I$7:$I$156+1)/('แผนงาน Schedule'!$J$7:$J$156-'แผนงาน Schedule'!$I$7:$I$156+1)))</f>
        <v/>
      </c>
      <c r="E87" s="113"/>
      <c r="F87" s="115" t="str">
        <f aca="false">IF(E87="","",E87-N(E86))</f>
        <v/>
      </c>
      <c r="G87" s="128" t="str">
        <f aca="false">IF(OR(E87="",D87=""),"",E87-D87)</f>
        <v/>
      </c>
      <c r="H87" s="22"/>
      <c r="I87" s="129"/>
      <c r="J87" s="129"/>
      <c r="K87" s="129"/>
      <c r="L87" s="129"/>
      <c r="M87" s="129"/>
      <c r="N87" s="129"/>
      <c r="O87" s="129"/>
    </row>
    <row r="88" customFormat="false" ht="15" hidden="false" customHeight="false" outlineLevel="0" collapsed="false">
      <c r="A88" s="117" t="str">
        <f aca="false">IF('ตั้งค่า Setup'!$C$10+7*71&gt;MAX('ตั้งค่า Setup'!$C$111,'ตั้งค่า Setup'!$C$15)+7,"",72)</f>
        <v/>
      </c>
      <c r="B88" s="127" t="str">
        <f aca="false">IF(A88="","",'ตั้งค่า Setup'!$C$10+7*71)</f>
        <v/>
      </c>
      <c r="C88" s="127" t="str">
        <f aca="false">IF(A88="","",B88+6)</f>
        <v/>
      </c>
      <c r="D88" s="115" t="str">
        <f aca="false">IF(A88="","",SUMPRODUCT('แผนงาน Schedule'!$G$7:$G$156,('แผนงาน Schedule'!$J$7:$J$156&lt;=C88)+('แผนงาน Schedule'!$I$7:$I$156&lt;=C88)*('แผนงาน Schedule'!$J$7:$J$156&gt;C88)*(C88-'แผนงาน Schedule'!$I$7:$I$156+1)/('แผนงาน Schedule'!$J$7:$J$156-'แผนงาน Schedule'!$I$7:$I$156+1)))</f>
        <v/>
      </c>
      <c r="E88" s="113"/>
      <c r="F88" s="115" t="str">
        <f aca="false">IF(E88="","",E88-N(E87))</f>
        <v/>
      </c>
      <c r="G88" s="128" t="str">
        <f aca="false">IF(OR(E88="",D88=""),"",E88-D88)</f>
        <v/>
      </c>
      <c r="H88" s="22"/>
      <c r="I88" s="129"/>
      <c r="J88" s="129"/>
      <c r="K88" s="129"/>
      <c r="L88" s="129"/>
      <c r="M88" s="129"/>
      <c r="N88" s="129"/>
      <c r="O88" s="129"/>
    </row>
    <row r="89" customFormat="false" ht="15" hidden="false" customHeight="false" outlineLevel="0" collapsed="false">
      <c r="A89" s="117" t="str">
        <f aca="false">IF('ตั้งค่า Setup'!$C$10+7*72&gt;MAX('ตั้งค่า Setup'!$C$111,'ตั้งค่า Setup'!$C$15)+7,"",73)</f>
        <v/>
      </c>
      <c r="B89" s="127" t="str">
        <f aca="false">IF(A89="","",'ตั้งค่า Setup'!$C$10+7*72)</f>
        <v/>
      </c>
      <c r="C89" s="127" t="str">
        <f aca="false">IF(A89="","",B89+6)</f>
        <v/>
      </c>
      <c r="D89" s="115" t="str">
        <f aca="false">IF(A89="","",SUMPRODUCT('แผนงาน Schedule'!$G$7:$G$156,('แผนงาน Schedule'!$J$7:$J$156&lt;=C89)+('แผนงาน Schedule'!$I$7:$I$156&lt;=C89)*('แผนงาน Schedule'!$J$7:$J$156&gt;C89)*(C89-'แผนงาน Schedule'!$I$7:$I$156+1)/('แผนงาน Schedule'!$J$7:$J$156-'แผนงาน Schedule'!$I$7:$I$156+1)))</f>
        <v/>
      </c>
      <c r="E89" s="113"/>
      <c r="F89" s="115" t="str">
        <f aca="false">IF(E89="","",E89-N(E88))</f>
        <v/>
      </c>
      <c r="G89" s="128" t="str">
        <f aca="false">IF(OR(E89="",D89=""),"",E89-D89)</f>
        <v/>
      </c>
      <c r="H89" s="22"/>
      <c r="I89" s="129"/>
      <c r="J89" s="129"/>
      <c r="K89" s="129"/>
      <c r="L89" s="129"/>
      <c r="M89" s="129"/>
      <c r="N89" s="129"/>
      <c r="O89" s="129"/>
    </row>
    <row r="90" customFormat="false" ht="15" hidden="false" customHeight="false" outlineLevel="0" collapsed="false">
      <c r="A90" s="117" t="str">
        <f aca="false">IF('ตั้งค่า Setup'!$C$10+7*73&gt;MAX('ตั้งค่า Setup'!$C$111,'ตั้งค่า Setup'!$C$15)+7,"",74)</f>
        <v/>
      </c>
      <c r="B90" s="127" t="str">
        <f aca="false">IF(A90="","",'ตั้งค่า Setup'!$C$10+7*73)</f>
        <v/>
      </c>
      <c r="C90" s="127" t="str">
        <f aca="false">IF(A90="","",B90+6)</f>
        <v/>
      </c>
      <c r="D90" s="115" t="str">
        <f aca="false">IF(A90="","",SUMPRODUCT('แผนงาน Schedule'!$G$7:$G$156,('แผนงาน Schedule'!$J$7:$J$156&lt;=C90)+('แผนงาน Schedule'!$I$7:$I$156&lt;=C90)*('แผนงาน Schedule'!$J$7:$J$156&gt;C90)*(C90-'แผนงาน Schedule'!$I$7:$I$156+1)/('แผนงาน Schedule'!$J$7:$J$156-'แผนงาน Schedule'!$I$7:$I$156+1)))</f>
        <v/>
      </c>
      <c r="E90" s="113"/>
      <c r="F90" s="115" t="str">
        <f aca="false">IF(E90="","",E90-N(E89))</f>
        <v/>
      </c>
      <c r="G90" s="128" t="str">
        <f aca="false">IF(OR(E90="",D90=""),"",E90-D90)</f>
        <v/>
      </c>
      <c r="H90" s="22"/>
      <c r="I90" s="129"/>
      <c r="J90" s="129"/>
      <c r="K90" s="129"/>
      <c r="L90" s="129"/>
      <c r="M90" s="129"/>
      <c r="N90" s="129"/>
      <c r="O90" s="129"/>
    </row>
    <row r="91" customFormat="false" ht="15" hidden="false" customHeight="false" outlineLevel="0" collapsed="false">
      <c r="A91" s="117" t="str">
        <f aca="false">IF('ตั้งค่า Setup'!$C$10+7*74&gt;MAX('ตั้งค่า Setup'!$C$111,'ตั้งค่า Setup'!$C$15)+7,"",75)</f>
        <v/>
      </c>
      <c r="B91" s="127" t="str">
        <f aca="false">IF(A91="","",'ตั้งค่า Setup'!$C$10+7*74)</f>
        <v/>
      </c>
      <c r="C91" s="127" t="str">
        <f aca="false">IF(A91="","",B91+6)</f>
        <v/>
      </c>
      <c r="D91" s="115" t="str">
        <f aca="false">IF(A91="","",SUMPRODUCT('แผนงาน Schedule'!$G$7:$G$156,('แผนงาน Schedule'!$J$7:$J$156&lt;=C91)+('แผนงาน Schedule'!$I$7:$I$156&lt;=C91)*('แผนงาน Schedule'!$J$7:$J$156&gt;C91)*(C91-'แผนงาน Schedule'!$I$7:$I$156+1)/('แผนงาน Schedule'!$J$7:$J$156-'แผนงาน Schedule'!$I$7:$I$156+1)))</f>
        <v/>
      </c>
      <c r="E91" s="113"/>
      <c r="F91" s="115" t="str">
        <f aca="false">IF(E91="","",E91-N(E90))</f>
        <v/>
      </c>
      <c r="G91" s="128" t="str">
        <f aca="false">IF(OR(E91="",D91=""),"",E91-D91)</f>
        <v/>
      </c>
      <c r="H91" s="22"/>
      <c r="I91" s="129"/>
      <c r="J91" s="129"/>
      <c r="K91" s="129"/>
      <c r="L91" s="129"/>
      <c r="M91" s="129"/>
      <c r="N91" s="129"/>
      <c r="O91" s="129"/>
    </row>
    <row r="92" customFormat="false" ht="15" hidden="false" customHeight="false" outlineLevel="0" collapsed="false">
      <c r="A92" s="117" t="str">
        <f aca="false">IF('ตั้งค่า Setup'!$C$10+7*75&gt;MAX('ตั้งค่า Setup'!$C$111,'ตั้งค่า Setup'!$C$15)+7,"",76)</f>
        <v/>
      </c>
      <c r="B92" s="127" t="str">
        <f aca="false">IF(A92="","",'ตั้งค่า Setup'!$C$10+7*75)</f>
        <v/>
      </c>
      <c r="C92" s="127" t="str">
        <f aca="false">IF(A92="","",B92+6)</f>
        <v/>
      </c>
      <c r="D92" s="115" t="str">
        <f aca="false">IF(A92="","",SUMPRODUCT('แผนงาน Schedule'!$G$7:$G$156,('แผนงาน Schedule'!$J$7:$J$156&lt;=C92)+('แผนงาน Schedule'!$I$7:$I$156&lt;=C92)*('แผนงาน Schedule'!$J$7:$J$156&gt;C92)*(C92-'แผนงาน Schedule'!$I$7:$I$156+1)/('แผนงาน Schedule'!$J$7:$J$156-'แผนงาน Schedule'!$I$7:$I$156+1)))</f>
        <v/>
      </c>
      <c r="E92" s="113"/>
      <c r="F92" s="115" t="str">
        <f aca="false">IF(E92="","",E92-N(E91))</f>
        <v/>
      </c>
      <c r="G92" s="128" t="str">
        <f aca="false">IF(OR(E92="",D92=""),"",E92-D92)</f>
        <v/>
      </c>
      <c r="H92" s="22"/>
      <c r="I92" s="129"/>
      <c r="J92" s="129"/>
      <c r="K92" s="129"/>
      <c r="L92" s="129"/>
      <c r="M92" s="129"/>
      <c r="N92" s="129"/>
      <c r="O92" s="129"/>
    </row>
    <row r="93" customFormat="false" ht="15" hidden="false" customHeight="false" outlineLevel="0" collapsed="false">
      <c r="A93" s="117" t="str">
        <f aca="false">IF('ตั้งค่า Setup'!$C$10+7*76&gt;MAX('ตั้งค่า Setup'!$C$111,'ตั้งค่า Setup'!$C$15)+7,"",77)</f>
        <v/>
      </c>
      <c r="B93" s="127" t="str">
        <f aca="false">IF(A93="","",'ตั้งค่า Setup'!$C$10+7*76)</f>
        <v/>
      </c>
      <c r="C93" s="127" t="str">
        <f aca="false">IF(A93="","",B93+6)</f>
        <v/>
      </c>
      <c r="D93" s="115" t="str">
        <f aca="false">IF(A93="","",SUMPRODUCT('แผนงาน Schedule'!$G$7:$G$156,('แผนงาน Schedule'!$J$7:$J$156&lt;=C93)+('แผนงาน Schedule'!$I$7:$I$156&lt;=C93)*('แผนงาน Schedule'!$J$7:$J$156&gt;C93)*(C93-'แผนงาน Schedule'!$I$7:$I$156+1)/('แผนงาน Schedule'!$J$7:$J$156-'แผนงาน Schedule'!$I$7:$I$156+1)))</f>
        <v/>
      </c>
      <c r="E93" s="113"/>
      <c r="F93" s="115" t="str">
        <f aca="false">IF(E93="","",E93-N(E92))</f>
        <v/>
      </c>
      <c r="G93" s="128" t="str">
        <f aca="false">IF(OR(E93="",D93=""),"",E93-D93)</f>
        <v/>
      </c>
      <c r="H93" s="22"/>
      <c r="I93" s="129"/>
      <c r="J93" s="129"/>
      <c r="K93" s="129"/>
      <c r="L93" s="129"/>
      <c r="M93" s="129"/>
      <c r="N93" s="129"/>
      <c r="O93" s="129"/>
    </row>
    <row r="94" customFormat="false" ht="15" hidden="false" customHeight="false" outlineLevel="0" collapsed="false">
      <c r="A94" s="117" t="str">
        <f aca="false">IF('ตั้งค่า Setup'!$C$10+7*77&gt;MAX('ตั้งค่า Setup'!$C$111,'ตั้งค่า Setup'!$C$15)+7,"",78)</f>
        <v/>
      </c>
      <c r="B94" s="127" t="str">
        <f aca="false">IF(A94="","",'ตั้งค่า Setup'!$C$10+7*77)</f>
        <v/>
      </c>
      <c r="C94" s="127" t="str">
        <f aca="false">IF(A94="","",B94+6)</f>
        <v/>
      </c>
      <c r="D94" s="115" t="str">
        <f aca="false">IF(A94="","",SUMPRODUCT('แผนงาน Schedule'!$G$7:$G$156,('แผนงาน Schedule'!$J$7:$J$156&lt;=C94)+('แผนงาน Schedule'!$I$7:$I$156&lt;=C94)*('แผนงาน Schedule'!$J$7:$J$156&gt;C94)*(C94-'แผนงาน Schedule'!$I$7:$I$156+1)/('แผนงาน Schedule'!$J$7:$J$156-'แผนงาน Schedule'!$I$7:$I$156+1)))</f>
        <v/>
      </c>
      <c r="E94" s="113"/>
      <c r="F94" s="115" t="str">
        <f aca="false">IF(E94="","",E94-N(E93))</f>
        <v/>
      </c>
      <c r="G94" s="128" t="str">
        <f aca="false">IF(OR(E94="",D94=""),"",E94-D94)</f>
        <v/>
      </c>
      <c r="H94" s="22"/>
      <c r="I94" s="129"/>
      <c r="J94" s="129"/>
      <c r="K94" s="129"/>
      <c r="L94" s="129"/>
      <c r="M94" s="129"/>
      <c r="N94" s="129"/>
      <c r="O94" s="129"/>
    </row>
    <row r="95" customFormat="false" ht="15" hidden="false" customHeight="false" outlineLevel="0" collapsed="false">
      <c r="A95" s="117" t="str">
        <f aca="false">IF('ตั้งค่า Setup'!$C$10+7*78&gt;MAX('ตั้งค่า Setup'!$C$111,'ตั้งค่า Setup'!$C$15)+7,"",79)</f>
        <v/>
      </c>
      <c r="B95" s="127" t="str">
        <f aca="false">IF(A95="","",'ตั้งค่า Setup'!$C$10+7*78)</f>
        <v/>
      </c>
      <c r="C95" s="127" t="str">
        <f aca="false">IF(A95="","",B95+6)</f>
        <v/>
      </c>
      <c r="D95" s="115" t="str">
        <f aca="false">IF(A95="","",SUMPRODUCT('แผนงาน Schedule'!$G$7:$G$156,('แผนงาน Schedule'!$J$7:$J$156&lt;=C95)+('แผนงาน Schedule'!$I$7:$I$156&lt;=C95)*('แผนงาน Schedule'!$J$7:$J$156&gt;C95)*(C95-'แผนงาน Schedule'!$I$7:$I$156+1)/('แผนงาน Schedule'!$J$7:$J$156-'แผนงาน Schedule'!$I$7:$I$156+1)))</f>
        <v/>
      </c>
      <c r="E95" s="113"/>
      <c r="F95" s="115" t="str">
        <f aca="false">IF(E95="","",E95-N(E94))</f>
        <v/>
      </c>
      <c r="G95" s="128" t="str">
        <f aca="false">IF(OR(E95="",D95=""),"",E95-D95)</f>
        <v/>
      </c>
      <c r="H95" s="22"/>
      <c r="I95" s="129"/>
      <c r="J95" s="129"/>
      <c r="K95" s="129"/>
      <c r="L95" s="129"/>
      <c r="M95" s="129"/>
      <c r="N95" s="129"/>
      <c r="O95" s="129"/>
    </row>
    <row r="96" customFormat="false" ht="15" hidden="false" customHeight="false" outlineLevel="0" collapsed="false">
      <c r="A96" s="117" t="str">
        <f aca="false">IF('ตั้งค่า Setup'!$C$10+7*79&gt;MAX('ตั้งค่า Setup'!$C$111,'ตั้งค่า Setup'!$C$15)+7,"",80)</f>
        <v/>
      </c>
      <c r="B96" s="127" t="str">
        <f aca="false">IF(A96="","",'ตั้งค่า Setup'!$C$10+7*79)</f>
        <v/>
      </c>
      <c r="C96" s="127" t="str">
        <f aca="false">IF(A96="","",B96+6)</f>
        <v/>
      </c>
      <c r="D96" s="115" t="str">
        <f aca="false">IF(A96="","",SUMPRODUCT('แผนงาน Schedule'!$G$7:$G$156,('แผนงาน Schedule'!$J$7:$J$156&lt;=C96)+('แผนงาน Schedule'!$I$7:$I$156&lt;=C96)*('แผนงาน Schedule'!$J$7:$J$156&gt;C96)*(C96-'แผนงาน Schedule'!$I$7:$I$156+1)/('แผนงาน Schedule'!$J$7:$J$156-'แผนงาน Schedule'!$I$7:$I$156+1)))</f>
        <v/>
      </c>
      <c r="E96" s="113"/>
      <c r="F96" s="115" t="str">
        <f aca="false">IF(E96="","",E96-N(E95))</f>
        <v/>
      </c>
      <c r="G96" s="128" t="str">
        <f aca="false">IF(OR(E96="",D96=""),"",E96-D96)</f>
        <v/>
      </c>
      <c r="H96" s="22"/>
      <c r="I96" s="129"/>
      <c r="J96" s="129"/>
      <c r="K96" s="129"/>
      <c r="L96" s="129"/>
      <c r="M96" s="129"/>
      <c r="N96" s="129"/>
      <c r="O96" s="129"/>
    </row>
    <row r="97" customFormat="false" ht="15" hidden="false" customHeight="false" outlineLevel="0" collapsed="false">
      <c r="A97" s="117" t="str">
        <f aca="false">IF('ตั้งค่า Setup'!$C$10+7*80&gt;MAX('ตั้งค่า Setup'!$C$111,'ตั้งค่า Setup'!$C$15)+7,"",81)</f>
        <v/>
      </c>
      <c r="B97" s="127" t="str">
        <f aca="false">IF(A97="","",'ตั้งค่า Setup'!$C$10+7*80)</f>
        <v/>
      </c>
      <c r="C97" s="127" t="str">
        <f aca="false">IF(A97="","",B97+6)</f>
        <v/>
      </c>
      <c r="D97" s="115" t="str">
        <f aca="false">IF(A97="","",SUMPRODUCT('แผนงาน Schedule'!$G$7:$G$156,('แผนงาน Schedule'!$J$7:$J$156&lt;=C97)+('แผนงาน Schedule'!$I$7:$I$156&lt;=C97)*('แผนงาน Schedule'!$J$7:$J$156&gt;C97)*(C97-'แผนงาน Schedule'!$I$7:$I$156+1)/('แผนงาน Schedule'!$J$7:$J$156-'แผนงาน Schedule'!$I$7:$I$156+1)))</f>
        <v/>
      </c>
      <c r="E97" s="113"/>
      <c r="F97" s="115" t="str">
        <f aca="false">IF(E97="","",E97-N(E96))</f>
        <v/>
      </c>
      <c r="G97" s="128" t="str">
        <f aca="false">IF(OR(E97="",D97=""),"",E97-D97)</f>
        <v/>
      </c>
      <c r="H97" s="22"/>
      <c r="I97" s="129"/>
      <c r="J97" s="129"/>
      <c r="K97" s="129"/>
      <c r="L97" s="129"/>
      <c r="M97" s="129"/>
      <c r="N97" s="129"/>
      <c r="O97" s="129"/>
    </row>
    <row r="98" customFormat="false" ht="15" hidden="false" customHeight="false" outlineLevel="0" collapsed="false">
      <c r="A98" s="117" t="str">
        <f aca="false">IF('ตั้งค่า Setup'!$C$10+7*81&gt;MAX('ตั้งค่า Setup'!$C$111,'ตั้งค่า Setup'!$C$15)+7,"",82)</f>
        <v/>
      </c>
      <c r="B98" s="127" t="str">
        <f aca="false">IF(A98="","",'ตั้งค่า Setup'!$C$10+7*81)</f>
        <v/>
      </c>
      <c r="C98" s="127" t="str">
        <f aca="false">IF(A98="","",B98+6)</f>
        <v/>
      </c>
      <c r="D98" s="115" t="str">
        <f aca="false">IF(A98="","",SUMPRODUCT('แผนงาน Schedule'!$G$7:$G$156,('แผนงาน Schedule'!$J$7:$J$156&lt;=C98)+('แผนงาน Schedule'!$I$7:$I$156&lt;=C98)*('แผนงาน Schedule'!$J$7:$J$156&gt;C98)*(C98-'แผนงาน Schedule'!$I$7:$I$156+1)/('แผนงาน Schedule'!$J$7:$J$156-'แผนงาน Schedule'!$I$7:$I$156+1)))</f>
        <v/>
      </c>
      <c r="E98" s="113"/>
      <c r="F98" s="115" t="str">
        <f aca="false">IF(E98="","",E98-N(E97))</f>
        <v/>
      </c>
      <c r="G98" s="128" t="str">
        <f aca="false">IF(OR(E98="",D98=""),"",E98-D98)</f>
        <v/>
      </c>
      <c r="H98" s="22"/>
      <c r="I98" s="129"/>
      <c r="J98" s="129"/>
      <c r="K98" s="129"/>
      <c r="L98" s="129"/>
      <c r="M98" s="129"/>
      <c r="N98" s="129"/>
      <c r="O98" s="129"/>
    </row>
    <row r="99" customFormat="false" ht="15" hidden="false" customHeight="false" outlineLevel="0" collapsed="false">
      <c r="A99" s="117" t="str">
        <f aca="false">IF('ตั้งค่า Setup'!$C$10+7*82&gt;MAX('ตั้งค่า Setup'!$C$111,'ตั้งค่า Setup'!$C$15)+7,"",83)</f>
        <v/>
      </c>
      <c r="B99" s="127" t="str">
        <f aca="false">IF(A99="","",'ตั้งค่า Setup'!$C$10+7*82)</f>
        <v/>
      </c>
      <c r="C99" s="127" t="str">
        <f aca="false">IF(A99="","",B99+6)</f>
        <v/>
      </c>
      <c r="D99" s="115" t="str">
        <f aca="false">IF(A99="","",SUMPRODUCT('แผนงาน Schedule'!$G$7:$G$156,('แผนงาน Schedule'!$J$7:$J$156&lt;=C99)+('แผนงาน Schedule'!$I$7:$I$156&lt;=C99)*('แผนงาน Schedule'!$J$7:$J$156&gt;C99)*(C99-'แผนงาน Schedule'!$I$7:$I$156+1)/('แผนงาน Schedule'!$J$7:$J$156-'แผนงาน Schedule'!$I$7:$I$156+1)))</f>
        <v/>
      </c>
      <c r="E99" s="113"/>
      <c r="F99" s="115" t="str">
        <f aca="false">IF(E99="","",E99-N(E98))</f>
        <v/>
      </c>
      <c r="G99" s="128" t="str">
        <f aca="false">IF(OR(E99="",D99=""),"",E99-D99)</f>
        <v/>
      </c>
      <c r="H99" s="22"/>
      <c r="I99" s="129"/>
      <c r="J99" s="129"/>
      <c r="K99" s="129"/>
      <c r="L99" s="129"/>
      <c r="M99" s="129"/>
      <c r="N99" s="129"/>
      <c r="O99" s="129"/>
    </row>
    <row r="100" customFormat="false" ht="15" hidden="false" customHeight="false" outlineLevel="0" collapsed="false">
      <c r="A100" s="117" t="str">
        <f aca="false">IF('ตั้งค่า Setup'!$C$10+7*83&gt;MAX('ตั้งค่า Setup'!$C$111,'ตั้งค่า Setup'!$C$15)+7,"",84)</f>
        <v/>
      </c>
      <c r="B100" s="127" t="str">
        <f aca="false">IF(A100="","",'ตั้งค่า Setup'!$C$10+7*83)</f>
        <v/>
      </c>
      <c r="C100" s="127" t="str">
        <f aca="false">IF(A100="","",B100+6)</f>
        <v/>
      </c>
      <c r="D100" s="115" t="str">
        <f aca="false">IF(A100="","",SUMPRODUCT('แผนงาน Schedule'!$G$7:$G$156,('แผนงาน Schedule'!$J$7:$J$156&lt;=C100)+('แผนงาน Schedule'!$I$7:$I$156&lt;=C100)*('แผนงาน Schedule'!$J$7:$J$156&gt;C100)*(C100-'แผนงาน Schedule'!$I$7:$I$156+1)/('แผนงาน Schedule'!$J$7:$J$156-'แผนงาน Schedule'!$I$7:$I$156+1)))</f>
        <v/>
      </c>
      <c r="E100" s="113"/>
      <c r="F100" s="115" t="str">
        <f aca="false">IF(E100="","",E100-N(E99))</f>
        <v/>
      </c>
      <c r="G100" s="128" t="str">
        <f aca="false">IF(OR(E100="",D100=""),"",E100-D100)</f>
        <v/>
      </c>
      <c r="H100" s="22"/>
      <c r="I100" s="129"/>
      <c r="J100" s="129"/>
      <c r="K100" s="129"/>
      <c r="L100" s="129"/>
      <c r="M100" s="129"/>
      <c r="N100" s="129"/>
      <c r="O100" s="129"/>
    </row>
    <row r="101" customFormat="false" ht="15" hidden="false" customHeight="false" outlineLevel="0" collapsed="false">
      <c r="A101" s="117" t="str">
        <f aca="false">IF('ตั้งค่า Setup'!$C$10+7*84&gt;MAX('ตั้งค่า Setup'!$C$111,'ตั้งค่า Setup'!$C$15)+7,"",85)</f>
        <v/>
      </c>
      <c r="B101" s="127" t="str">
        <f aca="false">IF(A101="","",'ตั้งค่า Setup'!$C$10+7*84)</f>
        <v/>
      </c>
      <c r="C101" s="127" t="str">
        <f aca="false">IF(A101="","",B101+6)</f>
        <v/>
      </c>
      <c r="D101" s="115" t="str">
        <f aca="false">IF(A101="","",SUMPRODUCT('แผนงาน Schedule'!$G$7:$G$156,('แผนงาน Schedule'!$J$7:$J$156&lt;=C101)+('แผนงาน Schedule'!$I$7:$I$156&lt;=C101)*('แผนงาน Schedule'!$J$7:$J$156&gt;C101)*(C101-'แผนงาน Schedule'!$I$7:$I$156+1)/('แผนงาน Schedule'!$J$7:$J$156-'แผนงาน Schedule'!$I$7:$I$156+1)))</f>
        <v/>
      </c>
      <c r="E101" s="113"/>
      <c r="F101" s="115" t="str">
        <f aca="false">IF(E101="","",E101-N(E100))</f>
        <v/>
      </c>
      <c r="G101" s="128" t="str">
        <f aca="false">IF(OR(E101="",D101=""),"",E101-D101)</f>
        <v/>
      </c>
      <c r="H101" s="22"/>
      <c r="I101" s="129"/>
      <c r="J101" s="129"/>
      <c r="K101" s="129"/>
      <c r="L101" s="129"/>
      <c r="M101" s="129"/>
      <c r="N101" s="129"/>
      <c r="O101" s="129"/>
    </row>
    <row r="102" customFormat="false" ht="15" hidden="false" customHeight="false" outlineLevel="0" collapsed="false">
      <c r="A102" s="117" t="str">
        <f aca="false">IF('ตั้งค่า Setup'!$C$10+7*85&gt;MAX('ตั้งค่า Setup'!$C$111,'ตั้งค่า Setup'!$C$15)+7,"",86)</f>
        <v/>
      </c>
      <c r="B102" s="127" t="str">
        <f aca="false">IF(A102="","",'ตั้งค่า Setup'!$C$10+7*85)</f>
        <v/>
      </c>
      <c r="C102" s="127" t="str">
        <f aca="false">IF(A102="","",B102+6)</f>
        <v/>
      </c>
      <c r="D102" s="115" t="str">
        <f aca="false">IF(A102="","",SUMPRODUCT('แผนงาน Schedule'!$G$7:$G$156,('แผนงาน Schedule'!$J$7:$J$156&lt;=C102)+('แผนงาน Schedule'!$I$7:$I$156&lt;=C102)*('แผนงาน Schedule'!$J$7:$J$156&gt;C102)*(C102-'แผนงาน Schedule'!$I$7:$I$156+1)/('แผนงาน Schedule'!$J$7:$J$156-'แผนงาน Schedule'!$I$7:$I$156+1)))</f>
        <v/>
      </c>
      <c r="E102" s="113"/>
      <c r="F102" s="115" t="str">
        <f aca="false">IF(E102="","",E102-N(E101))</f>
        <v/>
      </c>
      <c r="G102" s="128" t="str">
        <f aca="false">IF(OR(E102="",D102=""),"",E102-D102)</f>
        <v/>
      </c>
      <c r="H102" s="22"/>
      <c r="I102" s="129"/>
      <c r="J102" s="129"/>
      <c r="K102" s="129"/>
      <c r="L102" s="129"/>
      <c r="M102" s="129"/>
      <c r="N102" s="129"/>
      <c r="O102" s="129"/>
    </row>
    <row r="103" customFormat="false" ht="15" hidden="false" customHeight="false" outlineLevel="0" collapsed="false">
      <c r="A103" s="117" t="str">
        <f aca="false">IF('ตั้งค่า Setup'!$C$10+7*86&gt;MAX('ตั้งค่า Setup'!$C$111,'ตั้งค่า Setup'!$C$15)+7,"",87)</f>
        <v/>
      </c>
      <c r="B103" s="127" t="str">
        <f aca="false">IF(A103="","",'ตั้งค่า Setup'!$C$10+7*86)</f>
        <v/>
      </c>
      <c r="C103" s="127" t="str">
        <f aca="false">IF(A103="","",B103+6)</f>
        <v/>
      </c>
      <c r="D103" s="115" t="str">
        <f aca="false">IF(A103="","",SUMPRODUCT('แผนงาน Schedule'!$G$7:$G$156,('แผนงาน Schedule'!$J$7:$J$156&lt;=C103)+('แผนงาน Schedule'!$I$7:$I$156&lt;=C103)*('แผนงาน Schedule'!$J$7:$J$156&gt;C103)*(C103-'แผนงาน Schedule'!$I$7:$I$156+1)/('แผนงาน Schedule'!$J$7:$J$156-'แผนงาน Schedule'!$I$7:$I$156+1)))</f>
        <v/>
      </c>
      <c r="E103" s="113"/>
      <c r="F103" s="115" t="str">
        <f aca="false">IF(E103="","",E103-N(E102))</f>
        <v/>
      </c>
      <c r="G103" s="128" t="str">
        <f aca="false">IF(OR(E103="",D103=""),"",E103-D103)</f>
        <v/>
      </c>
      <c r="H103" s="22"/>
      <c r="I103" s="129"/>
      <c r="J103" s="129"/>
      <c r="K103" s="129"/>
      <c r="L103" s="129"/>
      <c r="M103" s="129"/>
      <c r="N103" s="129"/>
      <c r="O103" s="129"/>
    </row>
    <row r="104" customFormat="false" ht="15" hidden="false" customHeight="false" outlineLevel="0" collapsed="false">
      <c r="A104" s="117" t="str">
        <f aca="false">IF('ตั้งค่า Setup'!$C$10+7*87&gt;MAX('ตั้งค่า Setup'!$C$111,'ตั้งค่า Setup'!$C$15)+7,"",88)</f>
        <v/>
      </c>
      <c r="B104" s="127" t="str">
        <f aca="false">IF(A104="","",'ตั้งค่า Setup'!$C$10+7*87)</f>
        <v/>
      </c>
      <c r="C104" s="127" t="str">
        <f aca="false">IF(A104="","",B104+6)</f>
        <v/>
      </c>
      <c r="D104" s="115" t="str">
        <f aca="false">IF(A104="","",SUMPRODUCT('แผนงาน Schedule'!$G$7:$G$156,('แผนงาน Schedule'!$J$7:$J$156&lt;=C104)+('แผนงาน Schedule'!$I$7:$I$156&lt;=C104)*('แผนงาน Schedule'!$J$7:$J$156&gt;C104)*(C104-'แผนงาน Schedule'!$I$7:$I$156+1)/('แผนงาน Schedule'!$J$7:$J$156-'แผนงาน Schedule'!$I$7:$I$156+1)))</f>
        <v/>
      </c>
      <c r="E104" s="113"/>
      <c r="F104" s="115" t="str">
        <f aca="false">IF(E104="","",E104-N(E103))</f>
        <v/>
      </c>
      <c r="G104" s="128" t="str">
        <f aca="false">IF(OR(E104="",D104=""),"",E104-D104)</f>
        <v/>
      </c>
      <c r="H104" s="22"/>
      <c r="I104" s="129"/>
      <c r="J104" s="129"/>
      <c r="K104" s="129"/>
      <c r="L104" s="129"/>
      <c r="M104" s="129"/>
      <c r="N104" s="129"/>
      <c r="O104" s="129"/>
    </row>
    <row r="105" customFormat="false" ht="15" hidden="false" customHeight="false" outlineLevel="0" collapsed="false">
      <c r="A105" s="117" t="str">
        <f aca="false">IF('ตั้งค่า Setup'!$C$10+7*88&gt;MAX('ตั้งค่า Setup'!$C$111,'ตั้งค่า Setup'!$C$15)+7,"",89)</f>
        <v/>
      </c>
      <c r="B105" s="127" t="str">
        <f aca="false">IF(A105="","",'ตั้งค่า Setup'!$C$10+7*88)</f>
        <v/>
      </c>
      <c r="C105" s="127" t="str">
        <f aca="false">IF(A105="","",B105+6)</f>
        <v/>
      </c>
      <c r="D105" s="115" t="str">
        <f aca="false">IF(A105="","",SUMPRODUCT('แผนงาน Schedule'!$G$7:$G$156,('แผนงาน Schedule'!$J$7:$J$156&lt;=C105)+('แผนงาน Schedule'!$I$7:$I$156&lt;=C105)*('แผนงาน Schedule'!$J$7:$J$156&gt;C105)*(C105-'แผนงาน Schedule'!$I$7:$I$156+1)/('แผนงาน Schedule'!$J$7:$J$156-'แผนงาน Schedule'!$I$7:$I$156+1)))</f>
        <v/>
      </c>
      <c r="E105" s="113"/>
      <c r="F105" s="115" t="str">
        <f aca="false">IF(E105="","",E105-N(E104))</f>
        <v/>
      </c>
      <c r="G105" s="128" t="str">
        <f aca="false">IF(OR(E105="",D105=""),"",E105-D105)</f>
        <v/>
      </c>
      <c r="H105" s="22"/>
      <c r="I105" s="129"/>
      <c r="J105" s="129"/>
      <c r="K105" s="129"/>
      <c r="L105" s="129"/>
      <c r="M105" s="129"/>
      <c r="N105" s="129"/>
      <c r="O105" s="129"/>
    </row>
    <row r="106" customFormat="false" ht="15" hidden="false" customHeight="false" outlineLevel="0" collapsed="false">
      <c r="A106" s="117" t="str">
        <f aca="false">IF('ตั้งค่า Setup'!$C$10+7*89&gt;MAX('ตั้งค่า Setup'!$C$111,'ตั้งค่า Setup'!$C$15)+7,"",90)</f>
        <v/>
      </c>
      <c r="B106" s="127" t="str">
        <f aca="false">IF(A106="","",'ตั้งค่า Setup'!$C$10+7*89)</f>
        <v/>
      </c>
      <c r="C106" s="127" t="str">
        <f aca="false">IF(A106="","",B106+6)</f>
        <v/>
      </c>
      <c r="D106" s="115" t="str">
        <f aca="false">IF(A106="","",SUMPRODUCT('แผนงาน Schedule'!$G$7:$G$156,('แผนงาน Schedule'!$J$7:$J$156&lt;=C106)+('แผนงาน Schedule'!$I$7:$I$156&lt;=C106)*('แผนงาน Schedule'!$J$7:$J$156&gt;C106)*(C106-'แผนงาน Schedule'!$I$7:$I$156+1)/('แผนงาน Schedule'!$J$7:$J$156-'แผนงาน Schedule'!$I$7:$I$156+1)))</f>
        <v/>
      </c>
      <c r="E106" s="113"/>
      <c r="F106" s="115" t="str">
        <f aca="false">IF(E106="","",E106-N(E105))</f>
        <v/>
      </c>
      <c r="G106" s="128" t="str">
        <f aca="false">IF(OR(E106="",D106=""),"",E106-D106)</f>
        <v/>
      </c>
      <c r="H106" s="22"/>
      <c r="I106" s="129"/>
      <c r="J106" s="129"/>
      <c r="K106" s="129"/>
      <c r="L106" s="129"/>
      <c r="M106" s="129"/>
      <c r="N106" s="129"/>
      <c r="O106" s="129"/>
    </row>
    <row r="107" customFormat="false" ht="15" hidden="false" customHeight="false" outlineLevel="0" collapsed="false">
      <c r="A107" s="117" t="str">
        <f aca="false">IF('ตั้งค่า Setup'!$C$10+7*90&gt;MAX('ตั้งค่า Setup'!$C$111,'ตั้งค่า Setup'!$C$15)+7,"",91)</f>
        <v/>
      </c>
      <c r="B107" s="127" t="str">
        <f aca="false">IF(A107="","",'ตั้งค่า Setup'!$C$10+7*90)</f>
        <v/>
      </c>
      <c r="C107" s="127" t="str">
        <f aca="false">IF(A107="","",B107+6)</f>
        <v/>
      </c>
      <c r="D107" s="115" t="str">
        <f aca="false">IF(A107="","",SUMPRODUCT('แผนงาน Schedule'!$G$7:$G$156,('แผนงาน Schedule'!$J$7:$J$156&lt;=C107)+('แผนงาน Schedule'!$I$7:$I$156&lt;=C107)*('แผนงาน Schedule'!$J$7:$J$156&gt;C107)*(C107-'แผนงาน Schedule'!$I$7:$I$156+1)/('แผนงาน Schedule'!$J$7:$J$156-'แผนงาน Schedule'!$I$7:$I$156+1)))</f>
        <v/>
      </c>
      <c r="E107" s="113"/>
      <c r="F107" s="115" t="str">
        <f aca="false">IF(E107="","",E107-N(E106))</f>
        <v/>
      </c>
      <c r="G107" s="128" t="str">
        <f aca="false">IF(OR(E107="",D107=""),"",E107-D107)</f>
        <v/>
      </c>
      <c r="H107" s="22"/>
      <c r="I107" s="129"/>
      <c r="J107" s="129"/>
      <c r="K107" s="129"/>
      <c r="L107" s="129"/>
      <c r="M107" s="129"/>
      <c r="N107" s="129"/>
      <c r="O107" s="129"/>
    </row>
    <row r="108" customFormat="false" ht="15" hidden="false" customHeight="false" outlineLevel="0" collapsed="false">
      <c r="A108" s="117" t="str">
        <f aca="false">IF('ตั้งค่า Setup'!$C$10+7*91&gt;MAX('ตั้งค่า Setup'!$C$111,'ตั้งค่า Setup'!$C$15)+7,"",92)</f>
        <v/>
      </c>
      <c r="B108" s="127" t="str">
        <f aca="false">IF(A108="","",'ตั้งค่า Setup'!$C$10+7*91)</f>
        <v/>
      </c>
      <c r="C108" s="127" t="str">
        <f aca="false">IF(A108="","",B108+6)</f>
        <v/>
      </c>
      <c r="D108" s="115" t="str">
        <f aca="false">IF(A108="","",SUMPRODUCT('แผนงาน Schedule'!$G$7:$G$156,('แผนงาน Schedule'!$J$7:$J$156&lt;=C108)+('แผนงาน Schedule'!$I$7:$I$156&lt;=C108)*('แผนงาน Schedule'!$J$7:$J$156&gt;C108)*(C108-'แผนงาน Schedule'!$I$7:$I$156+1)/('แผนงาน Schedule'!$J$7:$J$156-'แผนงาน Schedule'!$I$7:$I$156+1)))</f>
        <v/>
      </c>
      <c r="E108" s="113"/>
      <c r="F108" s="115" t="str">
        <f aca="false">IF(E108="","",E108-N(E107))</f>
        <v/>
      </c>
      <c r="G108" s="128" t="str">
        <f aca="false">IF(OR(E108="",D108=""),"",E108-D108)</f>
        <v/>
      </c>
      <c r="H108" s="22"/>
      <c r="I108" s="129"/>
      <c r="J108" s="129"/>
      <c r="K108" s="129"/>
      <c r="L108" s="129"/>
      <c r="M108" s="129"/>
      <c r="N108" s="129"/>
      <c r="O108" s="129"/>
    </row>
    <row r="109" customFormat="false" ht="15" hidden="false" customHeight="false" outlineLevel="0" collapsed="false">
      <c r="A109" s="117" t="str">
        <f aca="false">IF('ตั้งค่า Setup'!$C$10+7*92&gt;MAX('ตั้งค่า Setup'!$C$111,'ตั้งค่า Setup'!$C$15)+7,"",93)</f>
        <v/>
      </c>
      <c r="B109" s="127" t="str">
        <f aca="false">IF(A109="","",'ตั้งค่า Setup'!$C$10+7*92)</f>
        <v/>
      </c>
      <c r="C109" s="127" t="str">
        <f aca="false">IF(A109="","",B109+6)</f>
        <v/>
      </c>
      <c r="D109" s="115" t="str">
        <f aca="false">IF(A109="","",SUMPRODUCT('แผนงาน Schedule'!$G$7:$G$156,('แผนงาน Schedule'!$J$7:$J$156&lt;=C109)+('แผนงาน Schedule'!$I$7:$I$156&lt;=C109)*('แผนงาน Schedule'!$J$7:$J$156&gt;C109)*(C109-'แผนงาน Schedule'!$I$7:$I$156+1)/('แผนงาน Schedule'!$J$7:$J$156-'แผนงาน Schedule'!$I$7:$I$156+1)))</f>
        <v/>
      </c>
      <c r="E109" s="113"/>
      <c r="F109" s="115" t="str">
        <f aca="false">IF(E109="","",E109-N(E108))</f>
        <v/>
      </c>
      <c r="G109" s="128" t="str">
        <f aca="false">IF(OR(E109="",D109=""),"",E109-D109)</f>
        <v/>
      </c>
      <c r="H109" s="22"/>
      <c r="I109" s="129"/>
      <c r="J109" s="129"/>
      <c r="K109" s="129"/>
      <c r="L109" s="129"/>
      <c r="M109" s="129"/>
      <c r="N109" s="129"/>
      <c r="O109" s="129"/>
    </row>
    <row r="110" customFormat="false" ht="15" hidden="false" customHeight="false" outlineLevel="0" collapsed="false">
      <c r="A110" s="117" t="str">
        <f aca="false">IF('ตั้งค่า Setup'!$C$10+7*93&gt;MAX('ตั้งค่า Setup'!$C$111,'ตั้งค่า Setup'!$C$15)+7,"",94)</f>
        <v/>
      </c>
      <c r="B110" s="127" t="str">
        <f aca="false">IF(A110="","",'ตั้งค่า Setup'!$C$10+7*93)</f>
        <v/>
      </c>
      <c r="C110" s="127" t="str">
        <f aca="false">IF(A110="","",B110+6)</f>
        <v/>
      </c>
      <c r="D110" s="115" t="str">
        <f aca="false">IF(A110="","",SUMPRODUCT('แผนงาน Schedule'!$G$7:$G$156,('แผนงาน Schedule'!$J$7:$J$156&lt;=C110)+('แผนงาน Schedule'!$I$7:$I$156&lt;=C110)*('แผนงาน Schedule'!$J$7:$J$156&gt;C110)*(C110-'แผนงาน Schedule'!$I$7:$I$156+1)/('แผนงาน Schedule'!$J$7:$J$156-'แผนงาน Schedule'!$I$7:$I$156+1)))</f>
        <v/>
      </c>
      <c r="E110" s="113"/>
      <c r="F110" s="115" t="str">
        <f aca="false">IF(E110="","",E110-N(E109))</f>
        <v/>
      </c>
      <c r="G110" s="128" t="str">
        <f aca="false">IF(OR(E110="",D110=""),"",E110-D110)</f>
        <v/>
      </c>
      <c r="H110" s="22"/>
      <c r="I110" s="129"/>
      <c r="J110" s="129"/>
      <c r="K110" s="129"/>
      <c r="L110" s="129"/>
      <c r="M110" s="129"/>
      <c r="N110" s="129"/>
      <c r="O110" s="129"/>
    </row>
    <row r="111" customFormat="false" ht="15" hidden="false" customHeight="false" outlineLevel="0" collapsed="false">
      <c r="A111" s="117" t="str">
        <f aca="false">IF('ตั้งค่า Setup'!$C$10+7*94&gt;MAX('ตั้งค่า Setup'!$C$111,'ตั้งค่า Setup'!$C$15)+7,"",95)</f>
        <v/>
      </c>
      <c r="B111" s="127" t="str">
        <f aca="false">IF(A111="","",'ตั้งค่า Setup'!$C$10+7*94)</f>
        <v/>
      </c>
      <c r="C111" s="127" t="str">
        <f aca="false">IF(A111="","",B111+6)</f>
        <v/>
      </c>
      <c r="D111" s="115" t="str">
        <f aca="false">IF(A111="","",SUMPRODUCT('แผนงาน Schedule'!$G$7:$G$156,('แผนงาน Schedule'!$J$7:$J$156&lt;=C111)+('แผนงาน Schedule'!$I$7:$I$156&lt;=C111)*('แผนงาน Schedule'!$J$7:$J$156&gt;C111)*(C111-'แผนงาน Schedule'!$I$7:$I$156+1)/('แผนงาน Schedule'!$J$7:$J$156-'แผนงาน Schedule'!$I$7:$I$156+1)))</f>
        <v/>
      </c>
      <c r="E111" s="113"/>
      <c r="F111" s="115" t="str">
        <f aca="false">IF(E111="","",E111-N(E110))</f>
        <v/>
      </c>
      <c r="G111" s="128" t="str">
        <f aca="false">IF(OR(E111="",D111=""),"",E111-D111)</f>
        <v/>
      </c>
      <c r="H111" s="22"/>
      <c r="I111" s="129"/>
      <c r="J111" s="129"/>
      <c r="K111" s="129"/>
      <c r="L111" s="129"/>
      <c r="M111" s="129"/>
      <c r="N111" s="129"/>
      <c r="O111" s="129"/>
    </row>
    <row r="112" customFormat="false" ht="15" hidden="false" customHeight="false" outlineLevel="0" collapsed="false">
      <c r="A112" s="117" t="str">
        <f aca="false">IF('ตั้งค่า Setup'!$C$10+7*95&gt;MAX('ตั้งค่า Setup'!$C$111,'ตั้งค่า Setup'!$C$15)+7,"",96)</f>
        <v/>
      </c>
      <c r="B112" s="127" t="str">
        <f aca="false">IF(A112="","",'ตั้งค่า Setup'!$C$10+7*95)</f>
        <v/>
      </c>
      <c r="C112" s="127" t="str">
        <f aca="false">IF(A112="","",B112+6)</f>
        <v/>
      </c>
      <c r="D112" s="115" t="str">
        <f aca="false">IF(A112="","",SUMPRODUCT('แผนงาน Schedule'!$G$7:$G$156,('แผนงาน Schedule'!$J$7:$J$156&lt;=C112)+('แผนงาน Schedule'!$I$7:$I$156&lt;=C112)*('แผนงาน Schedule'!$J$7:$J$156&gt;C112)*(C112-'แผนงาน Schedule'!$I$7:$I$156+1)/('แผนงาน Schedule'!$J$7:$J$156-'แผนงาน Schedule'!$I$7:$I$156+1)))</f>
        <v/>
      </c>
      <c r="E112" s="113"/>
      <c r="F112" s="115" t="str">
        <f aca="false">IF(E112="","",E112-N(E111))</f>
        <v/>
      </c>
      <c r="G112" s="128" t="str">
        <f aca="false">IF(OR(E112="",D112=""),"",E112-D112)</f>
        <v/>
      </c>
      <c r="H112" s="22"/>
      <c r="I112" s="129"/>
      <c r="J112" s="129"/>
      <c r="K112" s="129"/>
      <c r="L112" s="129"/>
      <c r="M112" s="129"/>
      <c r="N112" s="129"/>
      <c r="O112" s="129"/>
    </row>
    <row r="113" customFormat="false" ht="15" hidden="false" customHeight="false" outlineLevel="0" collapsed="false">
      <c r="A113" s="117" t="str">
        <f aca="false">IF('ตั้งค่า Setup'!$C$10+7*96&gt;MAX('ตั้งค่า Setup'!$C$111,'ตั้งค่า Setup'!$C$15)+7,"",97)</f>
        <v/>
      </c>
      <c r="B113" s="127" t="str">
        <f aca="false">IF(A113="","",'ตั้งค่า Setup'!$C$10+7*96)</f>
        <v/>
      </c>
      <c r="C113" s="127" t="str">
        <f aca="false">IF(A113="","",B113+6)</f>
        <v/>
      </c>
      <c r="D113" s="115" t="str">
        <f aca="false">IF(A113="","",SUMPRODUCT('แผนงาน Schedule'!$G$7:$G$156,('แผนงาน Schedule'!$J$7:$J$156&lt;=C113)+('แผนงาน Schedule'!$I$7:$I$156&lt;=C113)*('แผนงาน Schedule'!$J$7:$J$156&gt;C113)*(C113-'แผนงาน Schedule'!$I$7:$I$156+1)/('แผนงาน Schedule'!$J$7:$J$156-'แผนงาน Schedule'!$I$7:$I$156+1)))</f>
        <v/>
      </c>
      <c r="E113" s="113"/>
      <c r="F113" s="115" t="str">
        <f aca="false">IF(E113="","",E113-N(E112))</f>
        <v/>
      </c>
      <c r="G113" s="128" t="str">
        <f aca="false">IF(OR(E113="",D113=""),"",E113-D113)</f>
        <v/>
      </c>
      <c r="H113" s="22"/>
      <c r="I113" s="129"/>
      <c r="J113" s="129"/>
      <c r="K113" s="129"/>
      <c r="L113" s="129"/>
      <c r="M113" s="129"/>
      <c r="N113" s="129"/>
      <c r="O113" s="129"/>
    </row>
    <row r="114" customFormat="false" ht="15" hidden="false" customHeight="false" outlineLevel="0" collapsed="false">
      <c r="A114" s="117" t="str">
        <f aca="false">IF('ตั้งค่า Setup'!$C$10+7*97&gt;MAX('ตั้งค่า Setup'!$C$111,'ตั้งค่า Setup'!$C$15)+7,"",98)</f>
        <v/>
      </c>
      <c r="B114" s="127" t="str">
        <f aca="false">IF(A114="","",'ตั้งค่า Setup'!$C$10+7*97)</f>
        <v/>
      </c>
      <c r="C114" s="127" t="str">
        <f aca="false">IF(A114="","",B114+6)</f>
        <v/>
      </c>
      <c r="D114" s="115" t="str">
        <f aca="false">IF(A114="","",SUMPRODUCT('แผนงาน Schedule'!$G$7:$G$156,('แผนงาน Schedule'!$J$7:$J$156&lt;=C114)+('แผนงาน Schedule'!$I$7:$I$156&lt;=C114)*('แผนงาน Schedule'!$J$7:$J$156&gt;C114)*(C114-'แผนงาน Schedule'!$I$7:$I$156+1)/('แผนงาน Schedule'!$J$7:$J$156-'แผนงาน Schedule'!$I$7:$I$156+1)))</f>
        <v/>
      </c>
      <c r="E114" s="113"/>
      <c r="F114" s="115" t="str">
        <f aca="false">IF(E114="","",E114-N(E113))</f>
        <v/>
      </c>
      <c r="G114" s="128" t="str">
        <f aca="false">IF(OR(E114="",D114=""),"",E114-D114)</f>
        <v/>
      </c>
      <c r="H114" s="22"/>
      <c r="I114" s="129"/>
      <c r="J114" s="129"/>
      <c r="K114" s="129"/>
      <c r="L114" s="129"/>
      <c r="M114" s="129"/>
      <c r="N114" s="129"/>
      <c r="O114" s="129"/>
    </row>
    <row r="115" customFormat="false" ht="15" hidden="false" customHeight="false" outlineLevel="0" collapsed="false">
      <c r="A115" s="117" t="str">
        <f aca="false">IF('ตั้งค่า Setup'!$C$10+7*98&gt;MAX('ตั้งค่า Setup'!$C$111,'ตั้งค่า Setup'!$C$15)+7,"",99)</f>
        <v/>
      </c>
      <c r="B115" s="127" t="str">
        <f aca="false">IF(A115="","",'ตั้งค่า Setup'!$C$10+7*98)</f>
        <v/>
      </c>
      <c r="C115" s="127" t="str">
        <f aca="false">IF(A115="","",B115+6)</f>
        <v/>
      </c>
      <c r="D115" s="115" t="str">
        <f aca="false">IF(A115="","",SUMPRODUCT('แผนงาน Schedule'!$G$7:$G$156,('แผนงาน Schedule'!$J$7:$J$156&lt;=C115)+('แผนงาน Schedule'!$I$7:$I$156&lt;=C115)*('แผนงาน Schedule'!$J$7:$J$156&gt;C115)*(C115-'แผนงาน Schedule'!$I$7:$I$156+1)/('แผนงาน Schedule'!$J$7:$J$156-'แผนงาน Schedule'!$I$7:$I$156+1)))</f>
        <v/>
      </c>
      <c r="E115" s="113"/>
      <c r="F115" s="115" t="str">
        <f aca="false">IF(E115="","",E115-N(E114))</f>
        <v/>
      </c>
      <c r="G115" s="128" t="str">
        <f aca="false">IF(OR(E115="",D115=""),"",E115-D115)</f>
        <v/>
      </c>
      <c r="H115" s="22"/>
      <c r="I115" s="129"/>
      <c r="J115" s="129"/>
      <c r="K115" s="129"/>
      <c r="L115" s="129"/>
      <c r="M115" s="129"/>
      <c r="N115" s="129"/>
      <c r="O115" s="129"/>
    </row>
    <row r="116" customFormat="false" ht="15" hidden="false" customHeight="false" outlineLevel="0" collapsed="false">
      <c r="A116" s="117" t="str">
        <f aca="false">IF('ตั้งค่า Setup'!$C$10+7*99&gt;MAX('ตั้งค่า Setup'!$C$111,'ตั้งค่า Setup'!$C$15)+7,"",100)</f>
        <v/>
      </c>
      <c r="B116" s="127" t="str">
        <f aca="false">IF(A116="","",'ตั้งค่า Setup'!$C$10+7*99)</f>
        <v/>
      </c>
      <c r="C116" s="127" t="str">
        <f aca="false">IF(A116="","",B116+6)</f>
        <v/>
      </c>
      <c r="D116" s="115" t="str">
        <f aca="false">IF(A116="","",SUMPRODUCT('แผนงาน Schedule'!$G$7:$G$156,('แผนงาน Schedule'!$J$7:$J$156&lt;=C116)+('แผนงาน Schedule'!$I$7:$I$156&lt;=C116)*('แผนงาน Schedule'!$J$7:$J$156&gt;C116)*(C116-'แผนงาน Schedule'!$I$7:$I$156+1)/('แผนงาน Schedule'!$J$7:$J$156-'แผนงาน Schedule'!$I$7:$I$156+1)))</f>
        <v/>
      </c>
      <c r="E116" s="113"/>
      <c r="F116" s="115" t="str">
        <f aca="false">IF(E116="","",E116-N(E115))</f>
        <v/>
      </c>
      <c r="G116" s="128" t="str">
        <f aca="false">IF(OR(E116="",D116=""),"",E116-D116)</f>
        <v/>
      </c>
      <c r="H116" s="22"/>
      <c r="I116" s="129"/>
      <c r="J116" s="129"/>
      <c r="K116" s="129"/>
      <c r="L116" s="129"/>
      <c r="M116" s="129"/>
      <c r="N116" s="129"/>
      <c r="O116" s="129"/>
    </row>
    <row r="117" customFormat="false" ht="15" hidden="false" customHeight="false" outlineLevel="0" collapsed="false">
      <c r="A117" s="117" t="str">
        <f aca="false">IF('ตั้งค่า Setup'!$C$10+7*100&gt;MAX('ตั้งค่า Setup'!$C$111,'ตั้งค่า Setup'!$C$15)+7,"",101)</f>
        <v/>
      </c>
      <c r="B117" s="127" t="str">
        <f aca="false">IF(A117="","",'ตั้งค่า Setup'!$C$10+7*100)</f>
        <v/>
      </c>
      <c r="C117" s="127" t="str">
        <f aca="false">IF(A117="","",B117+6)</f>
        <v/>
      </c>
      <c r="D117" s="115" t="str">
        <f aca="false">IF(A117="","",SUMPRODUCT('แผนงาน Schedule'!$G$7:$G$156,('แผนงาน Schedule'!$J$7:$J$156&lt;=C117)+('แผนงาน Schedule'!$I$7:$I$156&lt;=C117)*('แผนงาน Schedule'!$J$7:$J$156&gt;C117)*(C117-'แผนงาน Schedule'!$I$7:$I$156+1)/('แผนงาน Schedule'!$J$7:$J$156-'แผนงาน Schedule'!$I$7:$I$156+1)))</f>
        <v/>
      </c>
      <c r="E117" s="113"/>
      <c r="F117" s="115" t="str">
        <f aca="false">IF(E117="","",E117-N(E116))</f>
        <v/>
      </c>
      <c r="G117" s="128" t="str">
        <f aca="false">IF(OR(E117="",D117=""),"",E117-D117)</f>
        <v/>
      </c>
      <c r="H117" s="22"/>
      <c r="I117" s="129"/>
      <c r="J117" s="129"/>
      <c r="K117" s="129"/>
      <c r="L117" s="129"/>
      <c r="M117" s="129"/>
      <c r="N117" s="129"/>
      <c r="O117" s="129"/>
    </row>
    <row r="118" customFormat="false" ht="15" hidden="false" customHeight="false" outlineLevel="0" collapsed="false">
      <c r="A118" s="117" t="str">
        <f aca="false">IF('ตั้งค่า Setup'!$C$10+7*101&gt;MAX('ตั้งค่า Setup'!$C$111,'ตั้งค่า Setup'!$C$15)+7,"",102)</f>
        <v/>
      </c>
      <c r="B118" s="127" t="str">
        <f aca="false">IF(A118="","",'ตั้งค่า Setup'!$C$10+7*101)</f>
        <v/>
      </c>
      <c r="C118" s="127" t="str">
        <f aca="false">IF(A118="","",B118+6)</f>
        <v/>
      </c>
      <c r="D118" s="115" t="str">
        <f aca="false">IF(A118="","",SUMPRODUCT('แผนงาน Schedule'!$G$7:$G$156,('แผนงาน Schedule'!$J$7:$J$156&lt;=C118)+('แผนงาน Schedule'!$I$7:$I$156&lt;=C118)*('แผนงาน Schedule'!$J$7:$J$156&gt;C118)*(C118-'แผนงาน Schedule'!$I$7:$I$156+1)/('แผนงาน Schedule'!$J$7:$J$156-'แผนงาน Schedule'!$I$7:$I$156+1)))</f>
        <v/>
      </c>
      <c r="E118" s="113"/>
      <c r="F118" s="115" t="str">
        <f aca="false">IF(E118="","",E118-N(E117))</f>
        <v/>
      </c>
      <c r="G118" s="128" t="str">
        <f aca="false">IF(OR(E118="",D118=""),"",E118-D118)</f>
        <v/>
      </c>
      <c r="H118" s="22"/>
      <c r="I118" s="129"/>
      <c r="J118" s="129"/>
      <c r="K118" s="129"/>
      <c r="L118" s="129"/>
      <c r="M118" s="129"/>
      <c r="N118" s="129"/>
      <c r="O118" s="129"/>
    </row>
    <row r="119" customFormat="false" ht="15" hidden="false" customHeight="false" outlineLevel="0" collapsed="false">
      <c r="A119" s="117" t="str">
        <f aca="false">IF('ตั้งค่า Setup'!$C$10+7*102&gt;MAX('ตั้งค่า Setup'!$C$111,'ตั้งค่า Setup'!$C$15)+7,"",103)</f>
        <v/>
      </c>
      <c r="B119" s="127" t="str">
        <f aca="false">IF(A119="","",'ตั้งค่า Setup'!$C$10+7*102)</f>
        <v/>
      </c>
      <c r="C119" s="127" t="str">
        <f aca="false">IF(A119="","",B119+6)</f>
        <v/>
      </c>
      <c r="D119" s="115" t="str">
        <f aca="false">IF(A119="","",SUMPRODUCT('แผนงาน Schedule'!$G$7:$G$156,('แผนงาน Schedule'!$J$7:$J$156&lt;=C119)+('แผนงาน Schedule'!$I$7:$I$156&lt;=C119)*('แผนงาน Schedule'!$J$7:$J$156&gt;C119)*(C119-'แผนงาน Schedule'!$I$7:$I$156+1)/('แผนงาน Schedule'!$J$7:$J$156-'แผนงาน Schedule'!$I$7:$I$156+1)))</f>
        <v/>
      </c>
      <c r="E119" s="113"/>
      <c r="F119" s="115" t="str">
        <f aca="false">IF(E119="","",E119-N(E118))</f>
        <v/>
      </c>
      <c r="G119" s="128" t="str">
        <f aca="false">IF(OR(E119="",D119=""),"",E119-D119)</f>
        <v/>
      </c>
      <c r="H119" s="22"/>
      <c r="I119" s="129"/>
      <c r="J119" s="129"/>
      <c r="K119" s="129"/>
      <c r="L119" s="129"/>
      <c r="M119" s="129"/>
      <c r="N119" s="129"/>
      <c r="O119" s="129"/>
    </row>
    <row r="120" customFormat="false" ht="15" hidden="false" customHeight="false" outlineLevel="0" collapsed="false">
      <c r="A120" s="117" t="str">
        <f aca="false">IF('ตั้งค่า Setup'!$C$10+7*103&gt;MAX('ตั้งค่า Setup'!$C$111,'ตั้งค่า Setup'!$C$15)+7,"",104)</f>
        <v/>
      </c>
      <c r="B120" s="127" t="str">
        <f aca="false">IF(A120="","",'ตั้งค่า Setup'!$C$10+7*103)</f>
        <v/>
      </c>
      <c r="C120" s="127" t="str">
        <f aca="false">IF(A120="","",B120+6)</f>
        <v/>
      </c>
      <c r="D120" s="115" t="str">
        <f aca="false">IF(A120="","",SUMPRODUCT('แผนงาน Schedule'!$G$7:$G$156,('แผนงาน Schedule'!$J$7:$J$156&lt;=C120)+('แผนงาน Schedule'!$I$7:$I$156&lt;=C120)*('แผนงาน Schedule'!$J$7:$J$156&gt;C120)*(C120-'แผนงาน Schedule'!$I$7:$I$156+1)/('แผนงาน Schedule'!$J$7:$J$156-'แผนงาน Schedule'!$I$7:$I$156+1)))</f>
        <v/>
      </c>
      <c r="E120" s="113"/>
      <c r="F120" s="115" t="str">
        <f aca="false">IF(E120="","",E120-N(E119))</f>
        <v/>
      </c>
      <c r="G120" s="128" t="str">
        <f aca="false">IF(OR(E120="",D120=""),"",E120-D120)</f>
        <v/>
      </c>
      <c r="H120" s="22"/>
      <c r="I120" s="129"/>
      <c r="J120" s="129"/>
      <c r="K120" s="129"/>
      <c r="L120" s="129"/>
      <c r="M120" s="129"/>
      <c r="N120" s="129"/>
      <c r="O120" s="129"/>
    </row>
  </sheetData>
  <sheetProtection sheet="true" formatCells="false" formatColumns="false" formatRows="false"/>
  <mergeCells count="11"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</mergeCells>
  <conditionalFormatting sqref="A17:O120">
    <cfRule type="expression" priority="2" aboveAverage="0" equalAverage="0" bottom="0" percent="0" rank="0" text="" dxfId="13">
      <formula>$A17=$C$12</formula>
    </cfRule>
  </conditionalFormatting>
  <dataValidations count="1">
    <dataValidation allowBlank="false" error="กรอก 0%–100%" errorStyle="stop" operator="between" showDropDown="false" showErrorMessage="false" showInputMessage="false" sqref="E17:E12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1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30"/>
    <col collapsed="false" customWidth="true" hidden="false" outlineLevel="0" max="4" min="4" style="1" width="16"/>
    <col collapsed="false" customWidth="true" hidden="false" outlineLevel="0" max="8" min="5" style="1" width="11"/>
    <col collapsed="false" customWidth="true" hidden="false" outlineLevel="0" max="9" min="9" style="1" width="13"/>
    <col collapsed="false" customWidth="true" hidden="false" outlineLevel="0" max="10" min="10" style="1" width="16"/>
    <col collapsed="false" customWidth="true" hidden="false" outlineLevel="0" max="11" min="11" style="1" width="2"/>
    <col collapsed="false" customWidth="true" hidden="true" outlineLevel="0" max="12" min="12" style="1" width="13"/>
  </cols>
  <sheetData>
    <row r="1" customFormat="false" ht="36" hidden="false" customHeight="true" outlineLevel="0" collapsed="false">
      <c r="B1" s="131" t="s">
        <v>540</v>
      </c>
      <c r="C1" s="131"/>
      <c r="D1" s="131"/>
      <c r="E1" s="131"/>
      <c r="F1" s="131"/>
      <c r="G1" s="131"/>
      <c r="H1" s="131"/>
      <c r="I1" s="131"/>
      <c r="J1" s="131"/>
    </row>
    <row r="2" customFormat="false" ht="19.5" hidden="false" customHeight="true" outlineLevel="0" collapsed="false">
      <c r="B2" s="132" t="s">
        <v>541</v>
      </c>
      <c r="C2" s="133" t="str">
        <f aca="false">'บันทึกสัปดาห์ Weekly Log'!C4&amp;""</f>
        <v>(ตัวอย่าง) กองช่าง องค์การบริหารส่วนตำบลตัวอย่าง</v>
      </c>
      <c r="D2" s="133"/>
      <c r="E2" s="133"/>
      <c r="F2" s="133"/>
      <c r="G2" s="133"/>
      <c r="H2" s="133"/>
      <c r="I2" s="133"/>
      <c r="J2" s="133"/>
    </row>
    <row r="3" customFormat="false" ht="19.5" hidden="false" customHeight="true" outlineLevel="0" collapsed="false">
      <c r="B3" s="132" t="s">
        <v>542</v>
      </c>
      <c r="C3" s="133" t="str">
        <f aca="false">'บันทึกสัปดาห์ Weekly Log'!C5&amp;""</f>
        <v>(ตัวอย่าง) ตย 0001/2569</v>
      </c>
      <c r="D3" s="133"/>
      <c r="E3" s="133"/>
      <c r="F3" s="133"/>
      <c r="G3" s="132" t="s">
        <v>543</v>
      </c>
      <c r="H3" s="133" t="str">
        <f aca="false">IF(N('บันทึกสัปดาห์ Weekly Log'!$C$13)=0,"-",DAY('บันทึกสัปดาห์ Weekly Log'!$C$13)&amp;" "&amp;CHOOSE(MONTH('บันทึกสัปดาห์ Weekly Log'!$C$13)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"&amp;(YEAR('บันทึกสัปดาห์ Weekly Log'!$C$13)+543))</f>
        <v>28 กันยายน 2569</v>
      </c>
      <c r="I3" s="133"/>
      <c r="J3" s="133"/>
    </row>
    <row r="4" customFormat="false" ht="19.5" hidden="false" customHeight="true" outlineLevel="0" collapsed="false">
      <c r="B4" s="132" t="s">
        <v>544</v>
      </c>
      <c r="C4" s="133" t="str">
        <f aca="false">"รายงานผลการปฏิบัติงานของผู้รับจ้าง ประจำสัปดาห์ที่ "&amp;'บันทึกสัปดาห์ Weekly Log'!$C$12&amp;" ("&amp;IF(N(INDEX('บันทึกสัปดาห์ Weekly Log'!$B$17:$B$120,'บันทึกสัปดาห์ Weekly Log'!$C$12))=0,"-",DAY(INDEX('บันทึกสัปดาห์ Weekly Log'!$B$17:$B$120,'บันทึกสัปดาห์ Weekly Log'!$C$12))&amp;" "&amp;CHOOSE(MONTH(INDEX('บันทึกสัปดาห์ Weekly Log'!$B$17:$B$120,'บันทึกสัปดาห์ Weekly Log'!$C$12)),"ม.ค.","ก.พ.","มี.ค.","เม.ย.","พ.ค.","มิ.ย.","ก.ค.","ส.ค.","ก.ย.","ต.ค.","พ.ย.","ธ.ค.")&amp;" "&amp;RIGHT(YEAR(INDEX('บันทึกสัปดาห์ Weekly Log'!$B$17:$B$120,'บันทึกสัปดาห์ Weekly Log'!$C$12))+543,2))&amp;" – "&amp;IF(N(INDEX('บันทึกสัปดาห์ Weekly Log'!$C$17:$C$120,'บันทึกสัปดาห์ Weekly Log'!$C$12))=0,"-",DAY(INDEX('บันทึกสัปดาห์ Weekly Log'!$C$17:$C$120,'บันทึกสัปดาห์ Weekly Log'!$C$12))&amp;" "&amp;CHOOSE(MONTH(INDEX('บันทึกสัปดาห์ Weekly Log'!$C$17:$C$120,'บันทึกสัปดาห์ Weekly Log'!$C$12)),"ม.ค.","ก.พ.","มี.ค.","เม.ย.","พ.ค.","มิ.ย.","ก.ค.","ส.ค.","ก.ย.","ต.ค.","พ.ย.","ธ.ค.")&amp;" "&amp;RIGHT(YEAR(INDEX('บันทึกสัปดาห์ Weekly Log'!$C$17:$C$120,'บันทึกสัปดาห์ Weekly Log'!$C$12))+543,2))&amp;")"</f>
        <v>รายงานผลการปฏิบัติงานของผู้รับจ้าง ประจำสัปดาห์ที่ 17 (21 ก.ย. 69 – 27 ก.ย. 69)</v>
      </c>
      <c r="D4" s="133"/>
      <c r="E4" s="133"/>
      <c r="F4" s="133"/>
      <c r="G4" s="133"/>
      <c r="H4" s="133"/>
      <c r="I4" s="133"/>
      <c r="J4" s="133"/>
    </row>
    <row r="5" customFormat="false" ht="19.5" hidden="false" customHeight="true" outlineLevel="0" collapsed="false">
      <c r="B5" s="132" t="s">
        <v>545</v>
      </c>
      <c r="C5" s="134" t="s">
        <v>502</v>
      </c>
      <c r="D5" s="134"/>
      <c r="E5" s="134"/>
      <c r="F5" s="134"/>
      <c r="G5" s="134"/>
      <c r="H5" s="134"/>
      <c r="I5" s="134"/>
      <c r="J5" s="134"/>
    </row>
    <row r="6" customFormat="false" ht="91.5" hidden="false" customHeight="true" outlineLevel="0" collapsed="false">
      <c r="B6" s="135" t="str">
        <f aca="false">"          ตามที่ "&amp;IF('ตั้งค่า Setup'!C6="","(ผู้ว่าจ้าง)",'ตั้งค่า Setup'!C6)&amp;" ได้ทำสัญญาจ้าง "&amp;IF('ตั้งค่า Setup'!C7="","(ผู้รับจ้าง)",'ตั้งค่า Setup'!C7)&amp;" ดำเนินการ"&amp;'ตั้งค่า Setup'!C4&amp;" ตามสัญญาเลขที่ "&amp;IF('ตั้งค่า Setup'!C8="","……",'ตั้งค่า Setup'!C8)&amp;" ลงวันที่ "&amp;IF(N('บันทึกสัปดาห์ Weekly Log'!$C$6)=0,"……",IF(N('บันทึกสัปดาห์ Weekly Log'!$C$6)=0,"-",DAY('บันทึกสัปดาห์ Weekly Log'!$C$6)&amp;" "&amp;CHOOSE(MONTH('บันทึกสัปดาห์ Weekly Log'!$C$6)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"&amp;(YEAR('บันทึกสัปดาห์ Weekly Log'!$C$6)+543)))&amp;" วงเงิน "&amp;TEXT('ตั้งค่า Setup'!$C$9,"#,##0.00")&amp;" บาท"&amp;" ระยะเวลาดำเนินการ "&amp;'ตั้งค่า Setup'!$C$11&amp;" วัน เริ่มสัญญาวันที่ "&amp;IF(N('ตั้งค่า Setup'!$C$10)=0,"-",DAY('ตั้งค่า Setup'!$C$10)&amp;" "&amp;CHOOSE(MONTH('ตั้งค่า Setup'!$C$10)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"&amp;(YEAR('ตั้งค่า Setup'!$C$10)+543))&amp;" สิ้นสุดสัญญาวันที่ "&amp;IF(N('ตั้งค่า Setup'!$C$14)=0,"-",DAY('ตั้งค่า Setup'!$C$14)&amp;" "&amp;CHOOSE(MONTH('ตั้งค่า Setup'!$C$14)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"&amp;(YEAR('ตั้งค่า Setup'!$C$14)+543))&amp;IF('ตั้งค่า Setup'!$C$13&gt;0," (รวมการขยายเวลา "&amp;'ตั้งค่า Setup'!$C$13&amp;" วัน)","")&amp;" นั้น"&amp;CHAR(10)&amp;"          ข้าพเจ้าในฐานะผู้ควบคุมงาน ขอรายงานผลการปฏิบัติงานของผู้รับจ้าง ประจำสัปดาห์ที่ "&amp;'บันทึกสัปดาห์ Weekly Log'!$C$12&amp;" ดังนี้"</f>
        <v>          ตามที่ (ผู้ว่าจ้าง) ได้ทำสัญญาจ้าง (ผู้รับจ้าง) ดำเนินการโครงการตัวอย่าง: ก่อสร้างอาคารพร้อมงานภายนอก ตามสัญญาเลขที่ …… ลงวันที่ 25 พฤษภาคม 2569 วงเงิน 24,200,000.00 บาท ระยะเวลาดำเนินการ 300 วัน เริ่มสัญญาวันที่ 1 มิถุนายน 2569 สิ้นสุดสัญญาวันที่ 4 เมษายน 2570 (รวมการขยายเวลา 8 วัน) นั้น
          ข้าพเจ้าในฐานะผู้ควบคุมงาน ขอรายงานผลการปฏิบัติงานของผู้รับจ้าง ประจำสัปดาห์ที่ 17 ดังนี้</v>
      </c>
      <c r="C6" s="135"/>
      <c r="D6" s="135"/>
      <c r="E6" s="135"/>
      <c r="F6" s="135"/>
      <c r="G6" s="135"/>
      <c r="H6" s="135"/>
      <c r="I6" s="135"/>
      <c r="J6" s="135"/>
    </row>
    <row r="8" customFormat="false" ht="19.5" hidden="false" customHeight="true" outlineLevel="0" collapsed="false">
      <c r="B8" s="88" t="s">
        <v>546</v>
      </c>
      <c r="C8" s="88"/>
      <c r="D8" s="88"/>
      <c r="E8" s="88"/>
      <c r="F8" s="88"/>
      <c r="G8" s="88"/>
      <c r="H8" s="88"/>
      <c r="I8" s="88"/>
      <c r="J8" s="88"/>
    </row>
    <row r="9" customFormat="false" ht="18" hidden="false" customHeight="true" outlineLevel="0" collapsed="false">
      <c r="B9" s="19" t="s">
        <v>547</v>
      </c>
      <c r="C9" s="19"/>
      <c r="D9" s="41" t="n">
        <f aca="false">INDEX('บันทึกสัปดาห์ Weekly Log'!$D$17:$D$120,'บันทึกสัปดาห์ Weekly Log'!$C$12)</f>
        <v>0.250067741498442</v>
      </c>
    </row>
    <row r="10" customFormat="false" ht="18" hidden="false" customHeight="true" outlineLevel="0" collapsed="false">
      <c r="B10" s="19" t="s">
        <v>548</v>
      </c>
      <c r="C10" s="19"/>
      <c r="D10" s="41" t="n">
        <f aca="false">IF(INDEX('บันทึกสัปดาห์ Weekly Log'!$E$17:$E$120,'บันทึกสัปดาห์ Weekly Log'!$C$12)="","ยังไม่กรอก",INDEX('บันทึกสัปดาห์ Weekly Log'!$E$17:$E$120,'บันทึกสัปดาห์ Weekly Log'!$C$12))</f>
        <v>0.1828</v>
      </c>
    </row>
    <row r="11" customFormat="false" ht="18" hidden="false" customHeight="true" outlineLevel="0" collapsed="false">
      <c r="B11" s="19" t="s">
        <v>549</v>
      </c>
      <c r="C11" s="19"/>
      <c r="D11" s="136" t="n">
        <f aca="false">IF(INDEX('บันทึกสัปดาห์ Weekly Log'!$E$17:$E$120,'บันทึกสัปดาห์ Weekly Log'!$C$12)="","-",INDEX('บันทึกสัปดาห์ Weekly Log'!$E$17:$E$120,'บันทึกสัปดาห์ Weekly Log'!$C$12)-INDEX('บันทึกสัปดาห์ Weekly Log'!$D$17:$D$120,'บันทึกสัปดาห์ Weekly Log'!$C$12))</f>
        <v>-0.067267741498442</v>
      </c>
    </row>
    <row r="12" customFormat="false" ht="18" hidden="false" customHeight="true" outlineLevel="0" collapsed="false">
      <c r="B12" s="19" t="s">
        <v>550</v>
      </c>
      <c r="C12" s="19"/>
      <c r="D12" s="137" t="n">
        <f aca="false">IF(INDEX('บันทึกสัปดาห์ Weekly Log'!$E$17:$E$120,'บันทึกสัปดาห์ Weekly Log'!$C$12)="","-",ROUND((INDEX('บันทึกสัปดาห์ Weekly Log'!$E$17:$E$120,'บันทึกสัปดาห์ Weekly Log'!$C$12)-INDEX('บันทึกสัปดาห์ Weekly Log'!$D$17:$D$120,'บันทึกสัปดาห์ Weekly Log'!$C$12))*'ตั้งค่า Setup'!$C$11,0))</f>
        <v>-20</v>
      </c>
    </row>
    <row r="13" customFormat="false" ht="18" hidden="false" customHeight="true" outlineLevel="0" collapsed="false">
      <c r="B13" s="19" t="s">
        <v>551</v>
      </c>
      <c r="C13" s="19"/>
      <c r="D13" s="41" t="n">
        <f aca="false">IF(INDEX('บันทึกสัปดาห์ Weekly Log'!$E$17:$E$120,'บันทึกสัปดาห์ Weekly Log'!$C$12)="","-",INDEX('บันทึกสัปดาห์ Weekly Log'!$F$17:$F$120,'บันทึกสัปดาห์ Weekly Log'!$C$12))</f>
        <v>0.0118</v>
      </c>
    </row>
    <row r="14" customFormat="false" ht="18" hidden="false" customHeight="true" outlineLevel="0" collapsed="false">
      <c r="B14" s="19" t="s">
        <v>552</v>
      </c>
      <c r="C14" s="19"/>
      <c r="D14" s="41" t="n">
        <f aca="false">IF('บันทึกสัปดาห์ Weekly Log'!$C$12&lt;=1,"-",IF(INDEX('บันทึกสัปดาห์ Weekly Log'!$F$17:$F$120,'บันทึกสัปดาห์ Weekly Log'!$C$12-1)="","-",INDEX('บันทึกสัปดาห์ Weekly Log'!$F$17:$F$120,'บันทึกสัปดาห์ Weekly Log'!$C$12-1)))</f>
        <v>0.0165</v>
      </c>
    </row>
    <row r="15" customFormat="false" ht="18" hidden="false" customHeight="true" outlineLevel="0" collapsed="false">
      <c r="B15" s="19" t="s">
        <v>553</v>
      </c>
      <c r="C15" s="19"/>
      <c r="D15" s="37" t="str">
        <f aca="false">(INDEX('บันทึกสัปดาห์ Weekly Log'!$C$17:$C$120,'บันทึกสัปดาห์ Weekly Log'!$C$12)-'ตั้งค่า Setup'!$C$10+1)&amp;" วัน ("&amp;TEXT((INDEX('บันทึกสัปดาห์ Weekly Log'!$C$17:$C$120,'บันทึกสัปดาห์ Weekly Log'!$C$12)-'ตั้งค่า Setup'!$C$10+1)/('ตั้งค่า Setup'!$C$14-'ตั้งค่า Setup'!$C$10+1),"0.0%")&amp;")"</f>
        <v>119 วัน (38.6%)</v>
      </c>
    </row>
    <row r="16" customFormat="false" ht="18" hidden="false" customHeight="true" outlineLevel="0" collapsed="false">
      <c r="B16" s="19" t="s">
        <v>554</v>
      </c>
      <c r="C16" s="19"/>
      <c r="D16" s="37" t="str">
        <f aca="false">IF('ตั้งค่า Setup'!$C$14-INDEX('บันทึกสัปดาห์ Weekly Log'!$C$17:$C$120,'บันทึกสัปดาห์ Weekly Log'!$C$12)&gt;=0,('ตั้งค่า Setup'!$C$14-INDEX('บันทึกสัปดาห์ Weekly Log'!$C$17:$C$120,'บันทึกสัปดาห์ Weekly Log'!$C$12))&amp;" วัน","เลยกำหนด "&amp;(INDEX('บันทึกสัปดาห์ Weekly Log'!$C$17:$C$120,'บันทึกสัปดาห์ Weekly Log'!$C$12)-'ตั้งค่า Setup'!$C$14)&amp;" วัน")</f>
        <v>189 วัน</v>
      </c>
    </row>
    <row r="17" customFormat="false" ht="18" hidden="false" customHeight="true" outlineLevel="0" collapsed="false">
      <c r="B17" s="19" t="s">
        <v>555</v>
      </c>
      <c r="C17" s="19"/>
      <c r="D17" s="37" t="str">
        <f aca="false">IF(INDEX('บันทึกสัปดาห์ Weekly Log'!$E$17:$E$120,'บันทึกสัปดาห์ Weekly Log'!$C$12)="","-",IF(INDEX('บันทึกสัปดาห์ Weekly Log'!$E$17:$E$120,'บันทึกสัปดาห์ Weekly Log'!$C$12)&gt;=INDEX('บันทึกสัปดาห์ Weekly Log'!$D$17:$D$120,'บันทึกสัปดาห์ Weekly Log'!$C$12),"เป็นไปตามแผน / เร็วกว่าแผน",IF(INDEX('บันทึกสัปดาห์ Weekly Log'!$E$17:$E$120,'บันทึกสัปดาห์ Weekly Log'!$C$12)/INDEX('บันทึกสัปดาห์ Weekly Log'!$D$17:$D$120,'บันทึกสัปดาห์ Weekly Log'!$C$12)&gt;=0.9,"ล่าช้ากว่าแผนเล็กน้อย","ล่าช้ากว่าแผนมาก")))</f>
        <v>ล่าช้ากว่าแผนมาก</v>
      </c>
    </row>
    <row r="19" customFormat="false" ht="19.5" hidden="false" customHeight="true" outlineLevel="0" collapsed="false">
      <c r="B19" s="88" t="s">
        <v>556</v>
      </c>
      <c r="C19" s="88"/>
      <c r="D19" s="88"/>
      <c r="E19" s="88"/>
      <c r="F19" s="88"/>
      <c r="G19" s="88"/>
      <c r="H19" s="88"/>
      <c r="I19" s="88"/>
      <c r="J19" s="88"/>
    </row>
    <row r="20" customFormat="false" ht="21.75" hidden="false" customHeight="true" outlineLevel="0" collapsed="false">
      <c r="B20" s="18" t="s">
        <v>557</v>
      </c>
      <c r="C20" s="18" t="s">
        <v>558</v>
      </c>
      <c r="D20" s="18" t="s">
        <v>559</v>
      </c>
      <c r="E20" s="18" t="s">
        <v>560</v>
      </c>
      <c r="F20" s="18"/>
      <c r="G20" s="18" t="s">
        <v>561</v>
      </c>
      <c r="H20" s="18" t="s">
        <v>555</v>
      </c>
      <c r="I20" s="18"/>
      <c r="J20" s="18" t="s">
        <v>562</v>
      </c>
    </row>
    <row r="21" customFormat="false" ht="15" hidden="false" customHeight="false" outlineLevel="0" collapsed="false">
      <c r="B21" s="61" t="str">
        <f aca="false">'งวดงาน Installments'!A7&amp;""</f>
        <v>1</v>
      </c>
      <c r="C21" s="62" t="str">
        <f aca="false">'งวดงาน Installments'!B7&amp;""</f>
        <v>งานถมดินและปรับพื้นที่แล้วเสร็จทั้งหมด</v>
      </c>
      <c r="D21" s="61" t="str">
        <f aca="false">IF('งวดงาน Installments'!D7="","",IF(N('งวดงาน Installments'!D7)=0,"-",DAY('งวดงาน Installments'!D7)&amp;" "&amp;CHOOSE(MONTH('งวดงาน Installments'!D7),"ม.ค.","ก.พ.","มี.ค.","เม.ย.","พ.ค.","มิ.ย.","ก.ค.","ส.ค.","ก.ย.","ต.ค.","พ.ย.","ธ.ค.")&amp;" "&amp;RIGHT(YEAR('งวดงาน Installments'!D7)+543,2)))</f>
        <v>31 ส.ค. 69</v>
      </c>
      <c r="E21" s="138" t="n">
        <f aca="false">IF('งวดงาน Installments'!E7="","",'งวดงาน Installments'!E7)</f>
        <v>3630000</v>
      </c>
      <c r="F21" s="138"/>
      <c r="G21" s="61" t="str">
        <f aca="false">'งวดงาน Installments'!J7&amp;""</f>
        <v>✓ ถึงเกณฑ์แล้ว</v>
      </c>
      <c r="H21" s="61" t="str">
        <f aca="false">'งวดงาน Installments'!K7&amp;""</f>
        <v>เกินกำหนด</v>
      </c>
      <c r="I21" s="61"/>
      <c r="J21" s="139" t="n">
        <f aca="false">IF('งวดงาน Installments'!L7="","",'งวดงาน Installments'!L7)</f>
        <v>28</v>
      </c>
    </row>
    <row r="22" customFormat="false" ht="19.4" hidden="false" customHeight="false" outlineLevel="0" collapsed="false">
      <c r="B22" s="61" t="str">
        <f aca="false">'งวดงาน Installments'!A8&amp;""</f>
        <v>2</v>
      </c>
      <c r="C22" s="62" t="str">
        <f aca="false">'งวดงาน Installments'!B8&amp;""</f>
        <v>งานรางระบายน้ำ งานเสาเข็มอาคาร และฐานรากรั้วแล้วเสร็จ</v>
      </c>
      <c r="D22" s="61" t="str">
        <f aca="false">IF('งวดงาน Installments'!D8="","",IF(N('งวดงาน Installments'!D8)=0,"-",DAY('งวดงาน Installments'!D8)&amp;" "&amp;CHOOSE(MONTH('งวดงาน Installments'!D8),"ม.ค.","ก.พ.","มี.ค.","เม.ย.","พ.ค.","มิ.ย.","ก.ค.","ส.ค.","ก.ย.","ต.ค.","พ.ย.","ธ.ค.")&amp;" "&amp;RIGHT(YEAR('งวดงาน Installments'!D8)+543,2)))</f>
        <v>31 ต.ค. 69</v>
      </c>
      <c r="E22" s="138" t="n">
        <f aca="false">IF('งวดงาน Installments'!E8="","",'งวดงาน Installments'!E8)</f>
        <v>4840000</v>
      </c>
      <c r="F22" s="138"/>
      <c r="G22" s="61" t="str">
        <f aca="false">'งวดงาน Installments'!J8&amp;""</f>
        <v>ยังขาด 11.22%</v>
      </c>
      <c r="H22" s="61" t="str">
        <f aca="false">'งวดงาน Installments'!K8&amp;""</f>
        <v>ยังไม่ถึงกำหนด</v>
      </c>
      <c r="I22" s="61"/>
      <c r="J22" s="139" t="n">
        <f aca="false">IF('งวดงาน Installments'!L8="","",'งวดงาน Installments'!L8)</f>
        <v>0</v>
      </c>
    </row>
    <row r="23" customFormat="false" ht="21.6" hidden="false" customHeight="false" outlineLevel="0" collapsed="false">
      <c r="B23" s="61" t="str">
        <f aca="false">'งวดงาน Installments'!A9&amp;""</f>
        <v>3</v>
      </c>
      <c r="C23" s="62" t="str">
        <f aca="false">'งวดงาน Installments'!B9&amp;""</f>
        <v>งานโครงสร้างอาคาร งานถนน-ลาน และงานรั้วแล้วเสร็จ</v>
      </c>
      <c r="D23" s="61" t="str">
        <f aca="false">IF('งวดงาน Installments'!D9="","",IF(N('งวดงาน Installments'!D9)=0,"-",DAY('งวดงาน Installments'!D9)&amp;" "&amp;CHOOSE(MONTH('งวดงาน Installments'!D9),"ม.ค.","ก.พ.","มี.ค.","เม.ย.","พ.ค.","มิ.ย.","ก.ค.","ส.ค.","ก.ย.","ต.ค.","พ.ย.","ธ.ค.")&amp;" "&amp;RIGHT(YEAR('งวดงาน Installments'!D9)+543,2)))</f>
        <v>15 ม.ค. 70</v>
      </c>
      <c r="E23" s="138" t="n">
        <f aca="false">IF('งวดงาน Installments'!E9="","",'งวดงาน Installments'!E9)</f>
        <v>6050000</v>
      </c>
      <c r="F23" s="138"/>
      <c r="G23" s="61" t="str">
        <f aca="false">'งวดงาน Installments'!J9&amp;""</f>
        <v>ยังขาด 41.22%</v>
      </c>
      <c r="H23" s="61" t="str">
        <f aca="false">'งวดงาน Installments'!K9&amp;""</f>
        <v>ยังไม่ถึงกำหนด</v>
      </c>
      <c r="I23" s="61"/>
      <c r="J23" s="139" t="n">
        <f aca="false">IF('งวดงาน Installments'!L9="","",'งวดงาน Installments'!L9)</f>
        <v>0</v>
      </c>
    </row>
    <row r="24" customFormat="false" ht="19.4" hidden="false" customHeight="false" outlineLevel="0" collapsed="false">
      <c r="B24" s="61" t="str">
        <f aca="false">'งวดงาน Installments'!A10&amp;""</f>
        <v>4</v>
      </c>
      <c r="C24" s="62" t="str">
        <f aca="false">'งวดงาน Installments'!B10&amp;""</f>
        <v>งานสถาปัตยกรรมอาคารและงานโรงจอดรถแล้วเสร็จ</v>
      </c>
      <c r="D24" s="61" t="str">
        <f aca="false">IF('งวดงาน Installments'!D10="","",IF(N('งวดงาน Installments'!D10)=0,"-",DAY('งวดงาน Installments'!D10)&amp;" "&amp;CHOOSE(MONTH('งวดงาน Installments'!D10),"ม.ค.","ก.พ.","มี.ค.","เม.ย.","พ.ค.","มิ.ย.","ก.ค.","ส.ค.","ก.ย.","ต.ค.","พ.ย.","ธ.ค.")&amp;" "&amp;RIGHT(YEAR('งวดงาน Installments'!D10)+543,2)))</f>
        <v>28 ก.พ. 70</v>
      </c>
      <c r="E24" s="138" t="n">
        <f aca="false">IF('งวดงาน Installments'!E10="","",'งวดงาน Installments'!E10)</f>
        <v>4840000</v>
      </c>
      <c r="F24" s="138"/>
      <c r="G24" s="61" t="str">
        <f aca="false">'งวดงาน Installments'!J10&amp;""</f>
        <v>ยังขาด 66.22%</v>
      </c>
      <c r="H24" s="61" t="str">
        <f aca="false">'งวดงาน Installments'!K10&amp;""</f>
        <v>ยังไม่ถึงกำหนด</v>
      </c>
      <c r="I24" s="61"/>
      <c r="J24" s="139" t="n">
        <f aca="false">IF('งวดงาน Installments'!L10="","",'งวดงาน Installments'!L10)</f>
        <v>0</v>
      </c>
    </row>
    <row r="25" customFormat="false" ht="19.4" hidden="false" customHeight="false" outlineLevel="0" collapsed="false">
      <c r="B25" s="61" t="str">
        <f aca="false">'งวดงาน Installments'!A11&amp;""</f>
        <v>5</v>
      </c>
      <c r="C25" s="62" t="str">
        <f aca="false">'งวดงาน Installments'!B11&amp;""</f>
        <v>งานทั้งหมดแล้วเสร็จ ทดสอบระบบ และส่งมอบงาน</v>
      </c>
      <c r="D25" s="61" t="str">
        <f aca="false">IF('งวดงาน Installments'!D11="","",IF(N('งวดงาน Installments'!D11)=0,"-",DAY('งวดงาน Installments'!D11)&amp;" "&amp;CHOOSE(MONTH('งวดงาน Installments'!D11),"ม.ค.","ก.พ.","มี.ค.","เม.ย.","พ.ค.","มิ.ย.","ก.ค.","ส.ค.","ก.ย.","ต.ค.","พ.ย.","ธ.ค.")&amp;" "&amp;RIGHT(YEAR('งวดงาน Installments'!D11)+543,2)))</f>
        <v>27 มี.ค. 70</v>
      </c>
      <c r="E25" s="138" t="n">
        <f aca="false">IF('งวดงาน Installments'!E11="","",'งวดงาน Installments'!E11)</f>
        <v>4840000</v>
      </c>
      <c r="F25" s="138"/>
      <c r="G25" s="61" t="str">
        <f aca="false">'งวดงาน Installments'!J11&amp;""</f>
        <v>ยังขาด 81.22%</v>
      </c>
      <c r="H25" s="61" t="str">
        <f aca="false">'งวดงาน Installments'!K11&amp;""</f>
        <v>ยังไม่ถึงกำหนด</v>
      </c>
      <c r="I25" s="61"/>
      <c r="J25" s="139" t="n">
        <f aca="false">IF('งวดงาน Installments'!L11="","",'งวดงาน Installments'!L11)</f>
        <v>0</v>
      </c>
    </row>
    <row r="26" customFormat="false" ht="15" hidden="false" customHeight="false" outlineLevel="0" collapsed="false">
      <c r="B26" s="61" t="str">
        <f aca="false">'งวดงาน Installments'!A12&amp;""</f>
        <v/>
      </c>
      <c r="C26" s="62" t="str">
        <f aca="false">'งวดงาน Installments'!B12&amp;""</f>
        <v/>
      </c>
      <c r="D26" s="61" t="str">
        <f aca="false">IF('งวดงาน Installments'!D12="","",IF(N('งวดงาน Installments'!D12)=0,"-",DAY('งวดงาน Installments'!D12)&amp;" "&amp;CHOOSE(MONTH('งวดงาน Installments'!D12),"ม.ค.","ก.พ.","มี.ค.","เม.ย.","พ.ค.","มิ.ย.","ก.ค.","ส.ค.","ก.ย.","ต.ค.","พ.ย.","ธ.ค.")&amp;" "&amp;RIGHT(YEAR('งวดงาน Installments'!D12)+543,2)))</f>
        <v/>
      </c>
      <c r="E26" s="138" t="str">
        <f aca="false">IF('งวดงาน Installments'!E12="","",'งวดงาน Installments'!E12)</f>
        <v/>
      </c>
      <c r="F26" s="138"/>
      <c r="G26" s="61" t="str">
        <f aca="false">'งวดงาน Installments'!J12&amp;""</f>
        <v/>
      </c>
      <c r="H26" s="61" t="str">
        <f aca="false">'งวดงาน Installments'!K12&amp;""</f>
        <v/>
      </c>
      <c r="I26" s="61"/>
      <c r="J26" s="139" t="str">
        <f aca="false">IF('งวดงาน Installments'!L12="","",'งวดงาน Installments'!L12)</f>
        <v/>
      </c>
    </row>
    <row r="27" customFormat="false" ht="15" hidden="false" customHeight="false" outlineLevel="0" collapsed="false">
      <c r="B27" s="61" t="str">
        <f aca="false">'งวดงาน Installments'!A13&amp;""</f>
        <v/>
      </c>
      <c r="C27" s="62" t="str">
        <f aca="false">'งวดงาน Installments'!B13&amp;""</f>
        <v/>
      </c>
      <c r="D27" s="61" t="str">
        <f aca="false">IF('งวดงาน Installments'!D13="","",IF(N('งวดงาน Installments'!D13)=0,"-",DAY('งวดงาน Installments'!D13)&amp;" "&amp;CHOOSE(MONTH('งวดงาน Installments'!D13),"ม.ค.","ก.พ.","มี.ค.","เม.ย.","พ.ค.","มิ.ย.","ก.ค.","ส.ค.","ก.ย.","ต.ค.","พ.ย.","ธ.ค.")&amp;" "&amp;RIGHT(YEAR('งวดงาน Installments'!D13)+543,2)))</f>
        <v/>
      </c>
      <c r="E27" s="138" t="str">
        <f aca="false">IF('งวดงาน Installments'!E13="","",'งวดงาน Installments'!E13)</f>
        <v/>
      </c>
      <c r="F27" s="138"/>
      <c r="G27" s="61" t="str">
        <f aca="false">'งวดงาน Installments'!J13&amp;""</f>
        <v/>
      </c>
      <c r="H27" s="61" t="str">
        <f aca="false">'งวดงาน Installments'!K13&amp;""</f>
        <v/>
      </c>
      <c r="I27" s="61"/>
      <c r="J27" s="139" t="str">
        <f aca="false">IF('งวดงาน Installments'!L13="","",'งวดงาน Installments'!L13)</f>
        <v/>
      </c>
    </row>
    <row r="28" customFormat="false" ht="15" hidden="false" customHeight="false" outlineLevel="0" collapsed="false">
      <c r="B28" s="61" t="str">
        <f aca="false">'งวดงาน Installments'!A14&amp;""</f>
        <v/>
      </c>
      <c r="C28" s="62" t="str">
        <f aca="false">'งวดงาน Installments'!B14&amp;""</f>
        <v/>
      </c>
      <c r="D28" s="61" t="str">
        <f aca="false">IF('งวดงาน Installments'!D14="","",IF(N('งวดงาน Installments'!D14)=0,"-",DAY('งวดงาน Installments'!D14)&amp;" "&amp;CHOOSE(MONTH('งวดงาน Installments'!D14),"ม.ค.","ก.พ.","มี.ค.","เม.ย.","พ.ค.","มิ.ย.","ก.ค.","ส.ค.","ก.ย.","ต.ค.","พ.ย.","ธ.ค.")&amp;" "&amp;RIGHT(YEAR('งวดงาน Installments'!D14)+543,2)))</f>
        <v/>
      </c>
      <c r="E28" s="138" t="str">
        <f aca="false">IF('งวดงาน Installments'!E14="","",'งวดงาน Installments'!E14)</f>
        <v/>
      </c>
      <c r="F28" s="138"/>
      <c r="G28" s="61" t="str">
        <f aca="false">'งวดงาน Installments'!J14&amp;""</f>
        <v/>
      </c>
      <c r="H28" s="61" t="str">
        <f aca="false">'งวดงาน Installments'!K14&amp;""</f>
        <v/>
      </c>
      <c r="I28" s="61"/>
      <c r="J28" s="139" t="str">
        <f aca="false">IF('งวดงาน Installments'!L14="","",'งวดงาน Installments'!L14)</f>
        <v/>
      </c>
    </row>
    <row r="29" customFormat="false" ht="15" hidden="false" customHeight="false" outlineLevel="0" collapsed="false">
      <c r="B29" s="61" t="str">
        <f aca="false">'งวดงาน Installments'!A15&amp;""</f>
        <v/>
      </c>
      <c r="C29" s="62" t="str">
        <f aca="false">'งวดงาน Installments'!B15&amp;""</f>
        <v/>
      </c>
      <c r="D29" s="61" t="str">
        <f aca="false">IF('งวดงาน Installments'!D15="","",IF(N('งวดงาน Installments'!D15)=0,"-",DAY('งวดงาน Installments'!D15)&amp;" "&amp;CHOOSE(MONTH('งวดงาน Installments'!D15),"ม.ค.","ก.พ.","มี.ค.","เม.ย.","พ.ค.","มิ.ย.","ก.ค.","ส.ค.","ก.ย.","ต.ค.","พ.ย.","ธ.ค.")&amp;" "&amp;RIGHT(YEAR('งวดงาน Installments'!D15)+543,2)))</f>
        <v/>
      </c>
      <c r="E29" s="138" t="str">
        <f aca="false">IF('งวดงาน Installments'!E15="","",'งวดงาน Installments'!E15)</f>
        <v/>
      </c>
      <c r="F29" s="138"/>
      <c r="G29" s="61" t="str">
        <f aca="false">'งวดงาน Installments'!J15&amp;""</f>
        <v/>
      </c>
      <c r="H29" s="61" t="str">
        <f aca="false">'งวดงาน Installments'!K15&amp;""</f>
        <v/>
      </c>
      <c r="I29" s="61"/>
      <c r="J29" s="139" t="str">
        <f aca="false">IF('งวดงาน Installments'!L15="","",'งวดงาน Installments'!L15)</f>
        <v/>
      </c>
    </row>
    <row r="30" customFormat="false" ht="15" hidden="false" customHeight="false" outlineLevel="0" collapsed="false">
      <c r="B30" s="61" t="str">
        <f aca="false">'งวดงาน Installments'!A16&amp;""</f>
        <v/>
      </c>
      <c r="C30" s="62" t="str">
        <f aca="false">'งวดงาน Installments'!B16&amp;""</f>
        <v/>
      </c>
      <c r="D30" s="61" t="str">
        <f aca="false">IF('งวดงาน Installments'!D16="","",IF(N('งวดงาน Installments'!D16)=0,"-",DAY('งวดงาน Installments'!D16)&amp;" "&amp;CHOOSE(MONTH('งวดงาน Installments'!D16),"ม.ค.","ก.พ.","มี.ค.","เม.ย.","พ.ค.","มิ.ย.","ก.ค.","ส.ค.","ก.ย.","ต.ค.","พ.ย.","ธ.ค.")&amp;" "&amp;RIGHT(YEAR('งวดงาน Installments'!D16)+543,2)))</f>
        <v/>
      </c>
      <c r="E30" s="138" t="str">
        <f aca="false">IF('งวดงาน Installments'!E16="","",'งวดงาน Installments'!E16)</f>
        <v/>
      </c>
      <c r="F30" s="138"/>
      <c r="G30" s="61" t="str">
        <f aca="false">'งวดงาน Installments'!J16&amp;""</f>
        <v/>
      </c>
      <c r="H30" s="61" t="str">
        <f aca="false">'งวดงาน Installments'!K16&amp;""</f>
        <v/>
      </c>
      <c r="I30" s="61"/>
      <c r="J30" s="139" t="str">
        <f aca="false">IF('งวดงาน Installments'!L16="","",'งวดงาน Installments'!L16)</f>
        <v/>
      </c>
    </row>
    <row r="31" customFormat="false" ht="15" hidden="false" customHeight="false" outlineLevel="0" collapsed="false">
      <c r="B31" s="140" t="str">
        <f aca="false">IF(COUNTA('งวดงาน Installments'!B7:B26)=0,"(ยังไม่ได้กรอกข้อมูลงวดงาน – กรอกที่ชีต งวดงาน Installments)","")</f>
        <v/>
      </c>
      <c r="C31" s="140"/>
      <c r="D31" s="140"/>
      <c r="E31" s="140"/>
      <c r="F31" s="140"/>
      <c r="G31" s="140"/>
      <c r="H31" s="140"/>
      <c r="I31" s="140"/>
      <c r="J31" s="140"/>
    </row>
    <row r="33" customFormat="false" ht="19.5" hidden="false" customHeight="true" outlineLevel="0" collapsed="false">
      <c r="B33" s="88" t="s">
        <v>563</v>
      </c>
      <c r="C33" s="88"/>
      <c r="D33" s="88"/>
      <c r="E33" s="88"/>
      <c r="F33" s="88"/>
      <c r="G33" s="88"/>
      <c r="H33" s="88"/>
      <c r="I33" s="88"/>
      <c r="J33" s="88"/>
    </row>
    <row r="34" customFormat="false" ht="15" hidden="false" customHeight="false" outlineLevel="0" collapsed="false">
      <c r="B34" s="141" t="s">
        <v>564</v>
      </c>
      <c r="C34" s="141"/>
      <c r="D34" s="141"/>
      <c r="E34" s="141"/>
      <c r="F34" s="141"/>
      <c r="G34" s="141"/>
      <c r="H34" s="141"/>
      <c r="I34" s="141"/>
      <c r="J34" s="141"/>
    </row>
    <row r="35" customFormat="false" ht="63.75" hidden="false" customHeight="true" outlineLevel="0" collapsed="false">
      <c r="B35" s="142" t="str">
        <f aca="false">IF(INDEX('บันทึกสัปดาห์ Weekly Log'!$K$17:$K$120,'บันทึกสัปดาห์ Weekly Log'!$C$12)="","-",INDEX('บันทึกสัปดาห์ Weekly Log'!$K$17:$K$120,'บันทึกสัปดาห์ Weekly Log'!$C$12))</f>
        <v>1) ตอกเสาเข็มอาคาร 21 ต้น สะสม 45 จาก 128 ต้น
2) วางรางระบายน้ำ คสล. 60 ม. สะสม 330 จาก 600 ม.
3) หล่อฐานรากรั้ว 14 ฐาน สะสม 24 จาก 80 ฐาน</v>
      </c>
      <c r="C35" s="142"/>
      <c r="D35" s="142"/>
      <c r="E35" s="142"/>
      <c r="F35" s="142"/>
      <c r="G35" s="142"/>
      <c r="H35" s="142"/>
      <c r="I35" s="142"/>
      <c r="J35" s="142"/>
    </row>
    <row r="36" customFormat="false" ht="15" hidden="false" customHeight="false" outlineLevel="0" collapsed="false">
      <c r="B36" s="141" t="str">
        <f aca="false">"3.2 งานที่อยู่ระหว่างดำเนินการ / ต้องดำเนินการภายใน "&amp;'ตั้งค่า Setup'!$C$20&amp;" วัน"</f>
        <v>3.2 งานที่อยู่ระหว่างดำเนินการ / ต้องดำเนินการภายใน 30 วัน</v>
      </c>
      <c r="C36" s="141"/>
      <c r="D36" s="141"/>
      <c r="E36" s="141"/>
      <c r="F36" s="141"/>
      <c r="G36" s="141"/>
      <c r="H36" s="141"/>
      <c r="I36" s="141"/>
      <c r="J36" s="141"/>
    </row>
    <row r="37" customFormat="false" ht="15" hidden="false" customHeight="true" outlineLevel="0" collapsed="false">
      <c r="B37" s="18" t="s">
        <v>446</v>
      </c>
      <c r="C37" s="59" t="s">
        <v>443</v>
      </c>
      <c r="D37" s="18" t="s">
        <v>559</v>
      </c>
      <c r="E37" s="59" t="s">
        <v>565</v>
      </c>
      <c r="F37" s="59"/>
      <c r="G37" s="18" t="s">
        <v>566</v>
      </c>
      <c r="H37" s="18" t="s">
        <v>555</v>
      </c>
      <c r="I37" s="18"/>
      <c r="J37" s="18"/>
    </row>
    <row r="38" customFormat="false" ht="15" hidden="false" customHeight="false" outlineLevel="0" collapsed="false">
      <c r="B38" s="61" t="n">
        <f aca="false">IF(L38="","",1)</f>
        <v>1</v>
      </c>
      <c r="C38" s="62" t="str">
        <f aca="false">IF(L38="","",INDEX('แผนงาน Schedule'!$A$7:$A$156,L38)&amp;"  "&amp;INDEX('แผนงาน Schedule'!$D$7:$D$156,L38))</f>
        <v>1.2.02  งานปรับระดับและทดสอบความแน่นดิน</v>
      </c>
      <c r="D38" s="61" t="str">
        <f aca="false">IF(L38="","",IF(N(INDEX('แผนงาน Schedule'!$AB$7:$AB$156,L38))=0,"-",DAY(INDEX('แผนงาน Schedule'!$AB$7:$AB$156,L38))&amp;" "&amp;CHOOSE(MONTH(INDEX('แผนงาน Schedule'!$AB$7:$AB$156,L38)),"ม.ค.","ก.พ.","มี.ค.","เม.ย.","พ.ค.","มิ.ย.","ก.ค.","ส.ค.","ก.ย.","ต.ค.","พ.ย.","ธ.ค.")&amp;" "&amp;RIGHT(YEAR(INDEX('แผนงาน Schedule'!$AB$7:$AB$156,L38))+543,2)))</f>
        <v>31 ส.ค. 69</v>
      </c>
      <c r="E38" s="64" t="n">
        <f aca="false">IF(L38="","",N(INDEX('แผนงาน Schedule'!$P$7:$P$156,L38)))</f>
        <v>0.8</v>
      </c>
      <c r="F38" s="64"/>
      <c r="G38" s="61" t="str">
        <f aca="false">IF(L38="","",IF(N(INDEX('แผนงาน Schedule'!$W$7:$W$156,L38))=0,"-",DAY(INDEX('แผนงาน Schedule'!$W$7:$W$156,L38))&amp;" "&amp;CHOOSE(MONTH(INDEX('แผนงาน Schedule'!$W$7:$W$156,L38)),"ม.ค.","ก.พ.","มี.ค.","เม.ย.","พ.ค.","มิ.ย.","ก.ค.","ส.ค.","ก.ย.","ต.ค.","พ.ย.","ธ.ค.")&amp;" "&amp;RIGHT(YEAR(INDEX('แผนงาน Schedule'!$W$7:$W$156,L38))+543,2)))</f>
        <v>6 ต.ค. 69</v>
      </c>
      <c r="H38" s="61" t="str">
        <f aca="false">IF(L38="","",INDEX('แผนงาน Schedule'!$Y$7:$Y$156,L38))</f>
        <v>เกินกำหนด / Overdue</v>
      </c>
      <c r="I38" s="61"/>
      <c r="J38" s="61"/>
      <c r="L38" s="101" t="n">
        <f aca="false">IFERROR(MATCH(1,'แผนงาน Schedule'!$AE$7:$AE$156,0),"")</f>
        <v>3</v>
      </c>
    </row>
    <row r="39" customFormat="false" ht="15" hidden="false" customHeight="false" outlineLevel="0" collapsed="false">
      <c r="B39" s="61" t="n">
        <f aca="false">IF(L39="","",2)</f>
        <v>2</v>
      </c>
      <c r="C39" s="62" t="str">
        <f aca="false">IF(L39="","",INDEX('แผนงาน Schedule'!$A$7:$A$156,L39)&amp;"  "&amp;INDEX('แผนงาน Schedule'!$D$7:$D$156,L39))</f>
        <v>2.3.01  งานเสาเข็มอาคาร</v>
      </c>
      <c r="D39" s="61" t="str">
        <f aca="false">IF(L39="","",IF(N(INDEX('แผนงาน Schedule'!$AB$7:$AB$156,L39))=0,"-",DAY(INDEX('แผนงาน Schedule'!$AB$7:$AB$156,L39))&amp;" "&amp;CHOOSE(MONTH(INDEX('แผนงาน Schedule'!$AB$7:$AB$156,L39)),"ม.ค.","ก.พ.","มี.ค.","เม.ย.","พ.ค.","มิ.ย.","ก.ค.","ส.ค.","ก.ย.","ต.ค.","พ.ย.","ธ.ค.")&amp;" "&amp;RIGHT(YEAR(INDEX('แผนงาน Schedule'!$AB$7:$AB$156,L39))+543,2)))</f>
        <v>15 ต.ค. 69</v>
      </c>
      <c r="E39" s="64" t="n">
        <f aca="false">IF(L39="","",N(INDEX('แผนงาน Schedule'!$P$7:$P$156,L39)))</f>
        <v>0.35</v>
      </c>
      <c r="F39" s="64"/>
      <c r="G39" s="61" t="str">
        <f aca="false">IF(L39="","",IF(N(INDEX('แผนงาน Schedule'!$W$7:$W$156,L39))=0,"-",DAY(INDEX('แผนงาน Schedule'!$W$7:$W$156,L39))&amp;" "&amp;CHOOSE(MONTH(INDEX('แผนงาน Schedule'!$W$7:$W$156,L39)),"ม.ค.","ก.พ.","มี.ค.","เม.ย.","พ.ค.","มิ.ย.","ก.ค.","ส.ค.","ก.ย.","ต.ค.","พ.ย.","ธ.ค.")&amp;" "&amp;RIGHT(YEAR(INDEX('แผนงาน Schedule'!$W$7:$W$156,L39))+543,2)))</f>
        <v>6 พ.ย. 69</v>
      </c>
      <c r="H39" s="61" t="str">
        <f aca="false">IF(L39="","",INDEX('แผนงาน Schedule'!$Y$7:$Y$156,L39))</f>
        <v>ล่าช้า / Behind</v>
      </c>
      <c r="I39" s="61"/>
      <c r="J39" s="61"/>
      <c r="L39" s="101" t="n">
        <f aca="false">IFERROR(MATCH(2,'แผนงาน Schedule'!$AE$7:$AE$156,0),"")</f>
        <v>4</v>
      </c>
    </row>
    <row r="40" customFormat="false" ht="15" hidden="false" customHeight="false" outlineLevel="0" collapsed="false">
      <c r="B40" s="61" t="n">
        <f aca="false">IF(L40="","",3)</f>
        <v>3</v>
      </c>
      <c r="C40" s="62" t="str">
        <f aca="false">IF(L40="","",INDEX('แผนงาน Schedule'!$A$7:$A$156,L40)&amp;"  "&amp;INDEX('แผนงาน Schedule'!$D$7:$D$156,L40))</f>
        <v>2.3.02  งานฐานราก คานคอดิน และพื้นชั้นล่าง</v>
      </c>
      <c r="D40" s="61" t="str">
        <f aca="false">IF(L40="","",IF(N(INDEX('แผนงาน Schedule'!$AB$7:$AB$156,L40))=0,"-",DAY(INDEX('แผนงาน Schedule'!$AB$7:$AB$156,L40))&amp;" "&amp;CHOOSE(MONTH(INDEX('แผนงาน Schedule'!$AB$7:$AB$156,L40)),"ม.ค.","ก.พ.","มี.ค.","เม.ย.","พ.ค.","มิ.ย.","ก.ค.","ส.ค.","ก.ย.","ต.ค.","พ.ย.","ธ.ค.")&amp;" "&amp;RIGHT(YEAR(INDEX('แผนงาน Schedule'!$AB$7:$AB$156,L40))+543,2)))</f>
        <v>15 พ.ย. 69</v>
      </c>
      <c r="E40" s="64" t="n">
        <f aca="false">IF(L40="","",N(INDEX('แผนงาน Schedule'!$P$7:$P$156,L40)))</f>
        <v>0</v>
      </c>
      <c r="F40" s="64"/>
      <c r="G40" s="61" t="str">
        <f aca="false">IF(L40="","",IF(N(INDEX('แผนงาน Schedule'!$W$7:$W$156,L40))=0,"-",DAY(INDEX('แผนงาน Schedule'!$W$7:$W$156,L40))&amp;" "&amp;CHOOSE(MONTH(INDEX('แผนงาน Schedule'!$W$7:$W$156,L40)),"ม.ค.","ก.พ.","มี.ค.","เม.ย.","พ.ค.","มิ.ย.","ก.ค.","ส.ค.","ก.ย.","ต.ค.","พ.ย.","ธ.ค.")&amp;" "&amp;RIGHT(YEAR(INDEX('แผนงาน Schedule'!$W$7:$W$156,L40))+543,2)))</f>
        <v>15 พ.ย. 69</v>
      </c>
      <c r="H40" s="61" t="str">
        <f aca="false">IF(L40="","",INDEX('แผนงาน Schedule'!$Y$7:$Y$156,L40))</f>
        <v>ยังไม่ถึงกำหนด / Not Due</v>
      </c>
      <c r="I40" s="61"/>
      <c r="J40" s="61"/>
      <c r="L40" s="101" t="n">
        <f aca="false">IFERROR(MATCH(3,'แผนงาน Schedule'!$AE$7:$AE$156,0),"")</f>
        <v>5</v>
      </c>
    </row>
    <row r="41" customFormat="false" ht="15" hidden="false" customHeight="false" outlineLevel="0" collapsed="false">
      <c r="B41" s="61" t="n">
        <f aca="false">IF(L41="","",4)</f>
        <v>4</v>
      </c>
      <c r="C41" s="62" t="str">
        <f aca="false">IF(L41="","",INDEX('แผนงาน Schedule'!$A$7:$A$156,L41)&amp;"  "&amp;INDEX('แผนงาน Schedule'!$D$7:$D$156,L41))</f>
        <v>3.3.01  งานขุดและวางรางระบายน้ำ คสล.</v>
      </c>
      <c r="D41" s="61" t="str">
        <f aca="false">IF(L41="","",IF(N(INDEX('แผนงาน Schedule'!$AB$7:$AB$156,L41))=0,"-",DAY(INDEX('แผนงาน Schedule'!$AB$7:$AB$156,L41))&amp;" "&amp;CHOOSE(MONTH(INDEX('แผนงาน Schedule'!$AB$7:$AB$156,L41)),"ม.ค.","ก.พ.","มี.ค.","เม.ย.","พ.ค.","มิ.ย.","ก.ค.","ส.ค.","ก.ย.","ต.ค.","พ.ย.","ธ.ค.")&amp;" "&amp;RIGHT(YEAR(INDEX('แผนงาน Schedule'!$AB$7:$AB$156,L41))+543,2)))</f>
        <v>30 ก.ย. 69</v>
      </c>
      <c r="E41" s="64" t="n">
        <f aca="false">IF(L41="","",N(INDEX('แผนงาน Schedule'!$P$7:$P$156,L41)))</f>
        <v>0.55</v>
      </c>
      <c r="F41" s="64"/>
      <c r="G41" s="61" t="str">
        <f aca="false">IF(L41="","",IF(N(INDEX('แผนงาน Schedule'!$W$7:$W$156,L41))=0,"-",DAY(INDEX('แผนงาน Schedule'!$W$7:$W$156,L41))&amp;" "&amp;CHOOSE(MONTH(INDEX('แผนงาน Schedule'!$W$7:$W$156,L41)),"ม.ค.","ก.พ.","มี.ค.","เม.ย.","พ.ค.","มิ.ย.","ก.ค.","ส.ค.","ก.ย.","ต.ค.","พ.ย.","ธ.ค.")&amp;" "&amp;RIGHT(YEAR(INDEX('แผนงาน Schedule'!$W$7:$W$156,L41))+543,2)))</f>
        <v>8 พ.ย. 69</v>
      </c>
      <c r="H41" s="61" t="str">
        <f aca="false">IF(L41="","",INDEX('แผนงาน Schedule'!$Y$7:$Y$156,L41))</f>
        <v>ล่าช้า / Behind</v>
      </c>
      <c r="I41" s="61"/>
      <c r="J41" s="61"/>
      <c r="L41" s="101" t="n">
        <f aca="false">IFERROR(MATCH(4,'แผนงาน Schedule'!$AE$7:$AE$156,0),"")</f>
        <v>12</v>
      </c>
    </row>
    <row r="42" customFormat="false" ht="15" hidden="false" customHeight="false" outlineLevel="0" collapsed="false">
      <c r="B42" s="61" t="n">
        <f aca="false">IF(L42="","",5)</f>
        <v>5</v>
      </c>
      <c r="C42" s="62" t="str">
        <f aca="false">IF(L42="","",INDEX('แผนงาน Schedule'!$A$7:$A$156,L42)&amp;"  "&amp;INDEX('แผนงาน Schedule'!$D$7:$D$156,L42))</f>
        <v>3.3.02  งานบ่อพักและท่อลอด</v>
      </c>
      <c r="D42" s="61" t="str">
        <f aca="false">IF(L42="","",IF(N(INDEX('แผนงาน Schedule'!$AB$7:$AB$156,L42))=0,"-",DAY(INDEX('แผนงาน Schedule'!$AB$7:$AB$156,L42))&amp;" "&amp;CHOOSE(MONTH(INDEX('แผนงาน Schedule'!$AB$7:$AB$156,L42)),"ม.ค.","ก.พ.","มี.ค.","เม.ย.","พ.ค.","มิ.ย.","ก.ค.","ส.ค.","ก.ย.","ต.ค.","พ.ย.","ธ.ค.")&amp;" "&amp;RIGHT(YEAR(INDEX('แผนงาน Schedule'!$AB$7:$AB$156,L42))+543,2)))</f>
        <v>31 ต.ค. 69</v>
      </c>
      <c r="E42" s="64" t="n">
        <f aca="false">IF(L42="","",N(INDEX('แผนงาน Schedule'!$P$7:$P$156,L42)))</f>
        <v>0</v>
      </c>
      <c r="F42" s="64"/>
      <c r="G42" s="61" t="str">
        <f aca="false">IF(L42="","",IF(N(INDEX('แผนงาน Schedule'!$W$7:$W$156,L42))=0,"-",DAY(INDEX('แผนงาน Schedule'!$W$7:$W$156,L42))&amp;" "&amp;CHOOSE(MONTH(INDEX('แผนงาน Schedule'!$W$7:$W$156,L42)),"ม.ค.","ก.พ.","มี.ค.","เม.ย.","พ.ค.","มิ.ย.","ก.ค.","ส.ค.","ก.ย.","ต.ค.","พ.ย.","ธ.ค.")&amp;" "&amp;RIGHT(YEAR(INDEX('แผนงาน Schedule'!$W$7:$W$156,L42))+543,2)))</f>
        <v>27 พ.ย. 69</v>
      </c>
      <c r="H42" s="61" t="str">
        <f aca="false">IF(L42="","",INDEX('แผนงาน Schedule'!$Y$7:$Y$156,L42))</f>
        <v>ล่าช้า / Behind</v>
      </c>
      <c r="I42" s="61"/>
      <c r="J42" s="61"/>
      <c r="L42" s="101" t="n">
        <f aca="false">IFERROR(MATCH(5,'แผนงาน Schedule'!$AE$7:$AE$156,0),"")</f>
        <v>13</v>
      </c>
    </row>
    <row r="43" customFormat="false" ht="15" hidden="false" customHeight="false" outlineLevel="0" collapsed="false">
      <c r="B43" s="61" t="n">
        <f aca="false">IF(L43="","",6)</f>
        <v>6</v>
      </c>
      <c r="C43" s="62" t="str">
        <f aca="false">IF(L43="","",INDEX('แผนงาน Schedule'!$A$7:$A$156,L43)&amp;"  "&amp;INDEX('แผนงาน Schedule'!$D$7:$D$156,L43))</f>
        <v>4.2.01  งานชั้นรองพื้นทางและพื้นทาง</v>
      </c>
      <c r="D43" s="61" t="str">
        <f aca="false">IF(L43="","",IF(N(INDEX('แผนงาน Schedule'!$AB$7:$AB$156,L43))=0,"-",DAY(INDEX('แผนงาน Schedule'!$AB$7:$AB$156,L43))&amp;" "&amp;CHOOSE(MONTH(INDEX('แผนงาน Schedule'!$AB$7:$AB$156,L43)),"ม.ค.","ก.พ.","มี.ค.","เม.ย.","พ.ค.","มิ.ย.","ก.ค.","ส.ค.","ก.ย.","ต.ค.","พ.ย.","ธ.ค.")&amp;" "&amp;RIGHT(YEAR(INDEX('แผนงาน Schedule'!$AB$7:$AB$156,L43))+543,2)))</f>
        <v>15 พ.ย. 69</v>
      </c>
      <c r="E43" s="64" t="n">
        <f aca="false">IF(L43="","",N(INDEX('แผนงาน Schedule'!$P$7:$P$156,L43)))</f>
        <v>0</v>
      </c>
      <c r="F43" s="64"/>
      <c r="G43" s="61" t="str">
        <f aca="false">IF(L43="","",IF(N(INDEX('แผนงาน Schedule'!$W$7:$W$156,L43))=0,"-",DAY(INDEX('แผนงาน Schedule'!$W$7:$W$156,L43))&amp;" "&amp;CHOOSE(MONTH(INDEX('แผนงาน Schedule'!$W$7:$W$156,L43)),"ม.ค.","ก.พ.","มี.ค.","เม.ย.","พ.ค.","มิ.ย.","ก.ค.","ส.ค.","ก.ย.","ต.ค.","พ.ย.","ธ.ค.")&amp;" "&amp;RIGHT(YEAR(INDEX('แผนงาน Schedule'!$W$7:$W$156,L43))+543,2)))</f>
        <v>15 พ.ย. 69</v>
      </c>
      <c r="H43" s="61" t="str">
        <f aca="false">IF(L43="","",INDEX('แผนงาน Schedule'!$Y$7:$Y$156,L43))</f>
        <v>ยังไม่ถึงกำหนด / Not Due</v>
      </c>
      <c r="I43" s="61"/>
      <c r="J43" s="61"/>
      <c r="L43" s="101" t="n">
        <f aca="false">IFERROR(MATCH(6,'แผนงาน Schedule'!$AE$7:$AE$156,0),"")</f>
        <v>14</v>
      </c>
    </row>
    <row r="44" customFormat="false" ht="15" hidden="false" customHeight="false" outlineLevel="0" collapsed="false">
      <c r="B44" s="61" t="n">
        <f aca="false">IF(L44="","",7)</f>
        <v>7</v>
      </c>
      <c r="C44" s="62" t="str">
        <f aca="false">IF(L44="","",INDEX('แผนงาน Schedule'!$A$7:$A$156,L44)&amp;"  "&amp;INDEX('แผนงาน Schedule'!$D$7:$D$156,L44))</f>
        <v>5.3.01  งานฐานรากและเสารั้ว</v>
      </c>
      <c r="D44" s="61" t="str">
        <f aca="false">IF(L44="","",IF(N(INDEX('แผนงาน Schedule'!$AB$7:$AB$156,L44))=0,"-",DAY(INDEX('แผนงาน Schedule'!$AB$7:$AB$156,L44))&amp;" "&amp;CHOOSE(MONTH(INDEX('แผนงาน Schedule'!$AB$7:$AB$156,L44)),"ม.ค.","ก.พ.","มี.ค.","เม.ย.","พ.ค.","มิ.ย.","ก.ค.","ส.ค.","ก.ย.","ต.ค.","พ.ย.","ธ.ค.")&amp;" "&amp;RIGHT(YEAR(INDEX('แผนงาน Schedule'!$AB$7:$AB$156,L44))+543,2)))</f>
        <v>15 ต.ค. 69</v>
      </c>
      <c r="E44" s="64" t="n">
        <f aca="false">IF(L44="","",N(INDEX('แผนงาน Schedule'!$P$7:$P$156,L44)))</f>
        <v>0.3</v>
      </c>
      <c r="F44" s="64"/>
      <c r="G44" s="61" t="str">
        <f aca="false">IF(L44="","",IF(N(INDEX('แผนงาน Schedule'!$W$7:$W$156,L44))=0,"-",DAY(INDEX('แผนงาน Schedule'!$W$7:$W$156,L44))&amp;" "&amp;CHOOSE(MONTH(INDEX('แผนงาน Schedule'!$W$7:$W$156,L44)),"ม.ค.","ก.พ.","มี.ค.","เม.ย.","พ.ค.","มิ.ย.","ก.ค.","ส.ค.","ก.ย.","ต.ค.","พ.ย.","ธ.ค.")&amp;" "&amp;RIGHT(YEAR(INDEX('แผนงาน Schedule'!$W$7:$W$156,L44))+543,2)))</f>
        <v>7 พ.ย. 69</v>
      </c>
      <c r="H44" s="61" t="str">
        <f aca="false">IF(L44="","",INDEX('แผนงาน Schedule'!$Y$7:$Y$156,L44))</f>
        <v>ล่าช้า / Behind</v>
      </c>
      <c r="I44" s="61"/>
      <c r="J44" s="61"/>
      <c r="L44" s="101" t="n">
        <f aca="false">IFERROR(MATCH(7,'แผนงาน Schedule'!$AE$7:$AE$156,0),"")</f>
        <v>17</v>
      </c>
    </row>
    <row r="45" customFormat="false" ht="15" hidden="false" customHeight="false" outlineLevel="0" collapsed="false">
      <c r="B45" s="61" t="n">
        <f aca="false">IF(L45="","",8)</f>
        <v>8</v>
      </c>
      <c r="C45" s="62" t="str">
        <f aca="false">IF(L45="","",INDEX('แผนงาน Schedule'!$A$7:$A$156,L45)&amp;"  "&amp;INDEX('แผนงาน Schedule'!$D$7:$D$156,L45))</f>
        <v>5.4.01  งานผนังรั้ว รั้วเหล็ก และประตูรั้ว</v>
      </c>
      <c r="D45" s="61" t="str">
        <f aca="false">IF(L45="","",IF(N(INDEX('แผนงาน Schedule'!$AB$7:$AB$156,L45))=0,"-",DAY(INDEX('แผนงาน Schedule'!$AB$7:$AB$156,L45))&amp;" "&amp;CHOOSE(MONTH(INDEX('แผนงาน Schedule'!$AB$7:$AB$156,L45)),"ม.ค.","ก.พ.","มี.ค.","เม.ย.","พ.ค.","มิ.ย.","ก.ค.","ส.ค.","ก.ย.","ต.ค.","พ.ย.","ธ.ค.")&amp;" "&amp;RIGHT(YEAR(INDEX('แผนงาน Schedule'!$AB$7:$AB$156,L45))+543,2)))</f>
        <v>15 ธ.ค. 69</v>
      </c>
      <c r="E45" s="64" t="n">
        <f aca="false">IF(L45="","",N(INDEX('แผนงาน Schedule'!$P$7:$P$156,L45)))</f>
        <v>0</v>
      </c>
      <c r="F45" s="64"/>
      <c r="G45" s="61" t="str">
        <f aca="false">IF(L45="","",IF(N(INDEX('แผนงาน Schedule'!$W$7:$W$156,L45))=0,"-",DAY(INDEX('แผนงาน Schedule'!$W$7:$W$156,L45))&amp;" "&amp;CHOOSE(MONTH(INDEX('แผนงาน Schedule'!$W$7:$W$156,L45)),"ม.ค.","ก.พ.","มี.ค.","เม.ย.","พ.ค.","มิ.ย.","ก.ค.","ส.ค.","ก.ย.","ต.ค.","พ.ย.","ธ.ค.")&amp;" "&amp;RIGHT(YEAR(INDEX('แผนงาน Schedule'!$W$7:$W$156,L45))+543,2)))</f>
        <v>15 ธ.ค. 69</v>
      </c>
      <c r="H45" s="61" t="str">
        <f aca="false">IF(L45="","",INDEX('แผนงาน Schedule'!$Y$7:$Y$156,L45))</f>
        <v>ยังไม่ถึงกำหนด / Not Due</v>
      </c>
      <c r="I45" s="61"/>
      <c r="J45" s="61"/>
      <c r="L45" s="101" t="n">
        <f aca="false">IFERROR(MATCH(8,'แผนงาน Schedule'!$AE$7:$AE$156,0),"")</f>
        <v>18</v>
      </c>
    </row>
    <row r="46" customFormat="false" ht="15" hidden="false" customHeight="false" outlineLevel="0" collapsed="false">
      <c r="B46" s="141" t="s">
        <v>567</v>
      </c>
      <c r="C46" s="141"/>
      <c r="D46" s="141"/>
      <c r="E46" s="141"/>
      <c r="F46" s="141"/>
      <c r="G46" s="141"/>
      <c r="H46" s="141"/>
      <c r="I46" s="141"/>
      <c r="J46" s="141"/>
    </row>
    <row r="47" customFormat="false" ht="51.75" hidden="false" customHeight="true" outlineLevel="0" collapsed="false">
      <c r="B47" s="142" t="str">
        <f aca="false">IF(INDEX('บันทึกสัปดาห์ Weekly Log'!$L$17:$L$120,'บันทึกสัปดาห์ Weekly Log'!$C$12)="","-",INDEX('บันทึกสัปดาห์ Weekly Log'!$L$17:$L$120,'บันทึกสัปดาห์ Weekly Log'!$C$12))</f>
        <v>1) ตอกเสาเข็มอาคารต่อ เป้าหมาย 30 ต้น
2) วางรางระบายน้ำต่อ 80 ม.
3) เริ่มขุดบ่อพัก (รอแบบแก้ไข)
4) ทดสอบความแน่นดิน 2 จุดที่เหลือ</v>
      </c>
      <c r="C47" s="142"/>
      <c r="D47" s="142"/>
      <c r="E47" s="142"/>
      <c r="F47" s="142"/>
      <c r="G47" s="142"/>
      <c r="H47" s="142"/>
      <c r="I47" s="142"/>
      <c r="J47" s="142"/>
    </row>
    <row r="49" customFormat="false" ht="19.5" hidden="false" customHeight="true" outlineLevel="0" collapsed="false">
      <c r="B49" s="88" t="s">
        <v>568</v>
      </c>
      <c r="C49" s="88"/>
      <c r="D49" s="88"/>
      <c r="E49" s="88"/>
      <c r="F49" s="88"/>
      <c r="G49" s="88"/>
      <c r="H49" s="88"/>
      <c r="I49" s="88"/>
      <c r="J49" s="88"/>
    </row>
    <row r="50" customFormat="false" ht="18" hidden="false" customHeight="true" outlineLevel="0" collapsed="false">
      <c r="B50" s="19" t="s">
        <v>569</v>
      </c>
      <c r="C50" s="19"/>
      <c r="D50" s="143" t="str">
        <f aca="false">IF(INDEX('บันทึกสัปดาห์ Weekly Log'!$H$17:$H$120,'บันทึกสัปดาห์ Weekly Log'!$C$12)="","-",INDEX('บันทึกสัปดาห์ Weekly Log'!$H$17:$H$120,'บันทึกสัปดาห์ Weekly Log'!$C$12)&amp;" คน/วัน")</f>
        <v>32 คน/วัน</v>
      </c>
      <c r="E50" s="143"/>
      <c r="F50" s="143"/>
      <c r="G50" s="143"/>
      <c r="H50" s="143"/>
      <c r="I50" s="143"/>
      <c r="J50" s="143"/>
    </row>
    <row r="51" customFormat="false" ht="18" hidden="false" customHeight="true" outlineLevel="0" collapsed="false">
      <c r="B51" s="19" t="s">
        <v>570</v>
      </c>
      <c r="C51" s="19"/>
      <c r="D51" s="143" t="str">
        <f aca="false">IF(INDEX('บันทึกสัปดาห์ Weekly Log'!$I$17:$I$120,'บันทึกสัปดาห์ Weekly Log'!$C$12)="","-",INDEX('บันทึกสัปดาห์ Weekly Log'!$I$17:$I$120,'บันทึกสัปดาห์ Weekly Log'!$C$12))</f>
        <v>ปั้นจั่นตอกเข็ม 1 ชุด, รถแบ็คโฮ 2 คัน, รถบด 1 คัน</v>
      </c>
      <c r="E51" s="143"/>
      <c r="F51" s="143"/>
      <c r="G51" s="143"/>
      <c r="H51" s="143"/>
      <c r="I51" s="143"/>
      <c r="J51" s="143"/>
    </row>
    <row r="52" customFormat="false" ht="18" hidden="false" customHeight="true" outlineLevel="0" collapsed="false">
      <c r="B52" s="19" t="s">
        <v>571</v>
      </c>
      <c r="C52" s="19"/>
      <c r="D52" s="143" t="str">
        <f aca="false">IF(INDEX('บันทึกสัปดาห์ Weekly Log'!$J$17:$J$120,'บันทึกสัปดาห์ Weekly Log'!$C$12)="","-",INDEX('บันทึกสัปดาห์ Weekly Log'!$J$17:$J$120,'บันทึกสัปดาห์ Weekly Log'!$C$12))</f>
        <v>6 / 1 (ฝนตก)</v>
      </c>
      <c r="E52" s="143"/>
      <c r="F52" s="143"/>
      <c r="G52" s="143"/>
      <c r="H52" s="143"/>
      <c r="I52" s="143"/>
      <c r="J52" s="143"/>
    </row>
    <row r="53" customFormat="false" ht="30" hidden="false" customHeight="true" outlineLevel="0" collapsed="false">
      <c r="B53" s="19" t="s">
        <v>572</v>
      </c>
      <c r="C53" s="19"/>
      <c r="D53" s="143" t="str">
        <f aca="false">IF(INDEX('บันทึกสัปดาห์ Weekly Log'!$M$17:$M$120,'บันทึกสัปดาห์ Weekly Log'!$C$12)="","-",INDEX('บันทึกสัปดาห์ Weekly Log'!$M$17:$M$120,'บันทึกสัปดาห์ Weekly Log'!$C$12))</f>
        <v>เหล็กเสริม DB16 จำนวน 12 ตัน • ทดสอบกำลังอัดคอนกรีตรางระบายน้ำ 6 ก้อน ผ่านเกณฑ์</v>
      </c>
      <c r="E53" s="143"/>
      <c r="F53" s="143"/>
      <c r="G53" s="143"/>
      <c r="H53" s="143"/>
      <c r="I53" s="143"/>
      <c r="J53" s="143"/>
    </row>
    <row r="55" customFormat="false" ht="19.5" hidden="false" customHeight="true" outlineLevel="0" collapsed="false">
      <c r="B55" s="88" t="s">
        <v>573</v>
      </c>
      <c r="C55" s="88"/>
      <c r="D55" s="88"/>
      <c r="E55" s="88"/>
      <c r="F55" s="88"/>
      <c r="G55" s="88"/>
      <c r="H55" s="88"/>
      <c r="I55" s="88"/>
      <c r="J55" s="88"/>
    </row>
    <row r="56" customFormat="false" ht="45.75" hidden="false" customHeight="true" outlineLevel="0" collapsed="false">
      <c r="B56" s="142" t="str">
        <f aca="false">IF(INDEX('บันทึกสัปดาห์ Weekly Log'!$N$17:$N$120,'บันทึกสัปดาห์ Weekly Log'!$C$12)="","-",INDEX('บันทึกสัปดาห์ Weekly Log'!$N$17:$N$120,'บันทึกสัปดาห์ Weekly Log'!$C$12))</f>
        <v>ฝนตก 1 วัน • ยังไม่ได้รับแบบแก้ไขบ่อพักและท่อลอดจากผู้ว่าจ้าง ทำให้งานส่วนนี้ยังเริ่มไม่ได้</v>
      </c>
      <c r="C56" s="142"/>
      <c r="D56" s="142"/>
      <c r="E56" s="142"/>
      <c r="F56" s="142"/>
      <c r="G56" s="142"/>
      <c r="H56" s="142"/>
      <c r="I56" s="142"/>
      <c r="J56" s="142"/>
    </row>
    <row r="57" customFormat="false" ht="18" hidden="false" customHeight="true" outlineLevel="0" collapsed="false">
      <c r="B57" s="144" t="str">
        <f aca="false">"การขอขยายเวลา: ขอรวม "&amp;Dashboard!C49&amp;" วัน • อนุมัติแล้ว "&amp;Dashboard!C50&amp;" วัน • รอพิจารณา "&amp;Dashboard!C51&amp;" วัน • วันสิ้นสุดสัญญาปัจจุบัน "&amp;IF(N('ตั้งค่า Setup'!$C$14)=0,"-",DAY('ตั้งค่า Setup'!$C$14)&amp;" "&amp;CHOOSE(MONTH('ตั้งค่า Setup'!$C$14),"มกราคม","กุมภาพันธ์","มีนาคม","เมษายน","พฤษภาคม","มิถุนายน","กรกฎาคม","สิงหาคม","กันยายน","ตุลาคม","พฤศจิกายน","ธันวาคม")&amp;" "&amp;(YEAR('ตั้งค่า Setup'!$C$14)+543))</f>
        <v>การขอขยายเวลา: ขอรวม 17 วัน • อนุมัติแล้ว 8 วัน • รอพิจารณา 7 วัน • วันสิ้นสุดสัญญาปัจจุบัน 4 เมษายน 2570</v>
      </c>
      <c r="C57" s="144"/>
      <c r="D57" s="144"/>
      <c r="E57" s="144"/>
      <c r="F57" s="144"/>
      <c r="G57" s="144"/>
      <c r="H57" s="144"/>
      <c r="I57" s="144"/>
      <c r="J57" s="144"/>
    </row>
    <row r="58" customFormat="false" ht="18" hidden="false" customHeight="true" outlineLevel="0" collapsed="false">
      <c r="B58" s="144" t="str">
        <f aca="false">"ค่าปรับ: "&amp;IF(Dashboard!C54&gt;0,"เกิดขึ้นแล้ว "&amp;TEXT(Dashboard!C54,"#,##0")&amp;" บาท • ","")&amp;Dashboard!C57</f>
        <v>ค่าปรับ: ✓ ไม่มีค่าปรับคาดการณ์</v>
      </c>
      <c r="C58" s="144"/>
      <c r="D58" s="144"/>
      <c r="E58" s="144"/>
      <c r="F58" s="144"/>
      <c r="G58" s="144"/>
      <c r="H58" s="144"/>
      <c r="I58" s="144"/>
      <c r="J58" s="144"/>
    </row>
    <row r="60" customFormat="false" ht="19.5" hidden="false" customHeight="true" outlineLevel="0" collapsed="false">
      <c r="B60" s="88" t="s">
        <v>574</v>
      </c>
      <c r="C60" s="88"/>
      <c r="D60" s="88"/>
      <c r="E60" s="88"/>
      <c r="F60" s="88"/>
      <c r="G60" s="88"/>
      <c r="H60" s="88"/>
      <c r="I60" s="88"/>
      <c r="J60" s="88"/>
    </row>
    <row r="61" customFormat="false" ht="51.75" hidden="false" customHeight="true" outlineLevel="0" collapsed="false">
      <c r="B61" s="142" t="str">
        <f aca="false">IF(INDEX('บันทึกสัปดาห์ Weekly Log'!$O$17:$O$120,'บันทึกสัปดาห์ Weekly Log'!$C$12)="","-",INDEX('บันทึกสัปดาห์ Weekly Log'!$O$17:$O$120,'บันทึกสัปดาห์ Weekly Log'!$C$12))</f>
        <v>งานรางระบายน้ำล่าช้ากว่าแผนมาก ได้แจ้งให้ผู้รับจ้างเพิ่มชุดทำงานอีก 1 ชุด และเสนอให้ผู้ว่าจ้างเร่งส่งแบบแก้ไขบ่อพัก</v>
      </c>
      <c r="C61" s="142"/>
      <c r="D61" s="142"/>
      <c r="E61" s="142"/>
      <c r="F61" s="142"/>
      <c r="G61" s="142"/>
      <c r="H61" s="142"/>
      <c r="I61" s="142"/>
      <c r="J61" s="142"/>
    </row>
    <row r="63" customFormat="false" ht="15" hidden="false" customHeight="false" outlineLevel="0" collapsed="false">
      <c r="B63" s="145" t="s">
        <v>575</v>
      </c>
      <c r="C63" s="145"/>
      <c r="D63" s="145"/>
      <c r="E63" s="145"/>
      <c r="F63" s="145"/>
      <c r="G63" s="145"/>
      <c r="H63" s="145"/>
      <c r="I63" s="145"/>
      <c r="J63" s="145"/>
    </row>
    <row r="65" customFormat="false" ht="15" hidden="false" customHeight="true" outlineLevel="0" collapsed="false">
      <c r="G65" s="146" t="s">
        <v>576</v>
      </c>
      <c r="H65" s="146"/>
      <c r="I65" s="146"/>
      <c r="J65" s="146"/>
    </row>
    <row r="66" customFormat="false" ht="15" hidden="false" customHeight="false" outlineLevel="0" collapsed="false">
      <c r="G66" s="146" t="str">
        <f aca="false">"("&amp;IF('บันทึกสัปดาห์ Weekly Log'!C7="","..........................................",'บันทึกสัปดาห์ Weekly Log'!C7)&amp;")"</f>
        <v>((ตัวอย่าง) นายช่างโยธา ผู้ควบคุมงาน)</v>
      </c>
      <c r="H66" s="146"/>
      <c r="I66" s="146"/>
      <c r="J66" s="146"/>
    </row>
    <row r="67" customFormat="false" ht="15" hidden="false" customHeight="false" outlineLevel="0" collapsed="false">
      <c r="G67" s="146" t="str">
        <f aca="false">"ตำแหน่ง "&amp;'บันทึกสัปดาห์ Weekly Log'!C8</f>
        <v>ตำแหน่ง นายช่างโยธาชำนาญงาน</v>
      </c>
      <c r="H67" s="146"/>
      <c r="I67" s="146"/>
      <c r="J67" s="146"/>
    </row>
    <row r="68" customFormat="false" ht="15" hidden="false" customHeight="true" outlineLevel="0" collapsed="false">
      <c r="G68" s="147" t="s">
        <v>577</v>
      </c>
      <c r="H68" s="147"/>
      <c r="I68" s="147"/>
      <c r="J68" s="147"/>
    </row>
    <row r="71" customFormat="false" ht="19.5" hidden="false" customHeight="true" outlineLevel="0" collapsed="false">
      <c r="B71" s="88" t="s">
        <v>578</v>
      </c>
      <c r="C71" s="88"/>
      <c r="D71" s="88"/>
      <c r="E71" s="88"/>
      <c r="F71" s="88"/>
      <c r="G71" s="88"/>
      <c r="H71" s="88"/>
      <c r="I71" s="88"/>
      <c r="J71" s="88"/>
    </row>
    <row r="72" customFormat="false" ht="21.75" hidden="false" customHeight="true" outlineLevel="0" collapsed="false">
      <c r="B72" s="148" t="s">
        <v>579</v>
      </c>
      <c r="C72" s="148"/>
      <c r="D72" s="148"/>
      <c r="E72" s="148"/>
      <c r="F72" s="148"/>
      <c r="G72" s="148"/>
      <c r="H72" s="148"/>
      <c r="I72" s="148"/>
      <c r="J72" s="148"/>
    </row>
    <row r="73" customFormat="false" ht="21.75" hidden="false" customHeight="true" outlineLevel="0" collapsed="false">
      <c r="B73" s="148"/>
      <c r="C73" s="148"/>
      <c r="D73" s="148"/>
      <c r="E73" s="148"/>
      <c r="F73" s="148"/>
      <c r="G73" s="148"/>
      <c r="H73" s="148"/>
      <c r="I73" s="148"/>
      <c r="J73" s="148"/>
    </row>
    <row r="74" customFormat="false" ht="21.75" hidden="false" customHeight="true" outlineLevel="0" collapsed="false">
      <c r="B74" s="148"/>
      <c r="C74" s="148"/>
      <c r="D74" s="148"/>
      <c r="E74" s="148"/>
      <c r="F74" s="148"/>
      <c r="G74" s="148"/>
      <c r="H74" s="148"/>
      <c r="I74" s="148"/>
      <c r="J74" s="148"/>
    </row>
    <row r="76" customFormat="false" ht="15" hidden="false" customHeight="true" outlineLevel="0" collapsed="false">
      <c r="B76" s="149" t="s">
        <v>580</v>
      </c>
      <c r="C76" s="149"/>
      <c r="D76" s="149"/>
      <c r="E76" s="149" t="s">
        <v>580</v>
      </c>
      <c r="F76" s="149"/>
      <c r="G76" s="149"/>
      <c r="H76" s="149" t="s">
        <v>580</v>
      </c>
      <c r="I76" s="149"/>
      <c r="J76" s="149"/>
    </row>
    <row r="77" customFormat="false" ht="15" hidden="false" customHeight="false" outlineLevel="0" collapsed="false">
      <c r="B77" s="149" t="str">
        <f aca="false">"("&amp;IF('บันทึกสัปดาห์ Weekly Log'!C9="",".............................",'บันทึกสัปดาห์ Weekly Log'!C9)&amp;")"</f>
        <v>((ตัวอย่าง) ประธานกรรมการ)</v>
      </c>
      <c r="C77" s="149"/>
      <c r="D77" s="149"/>
      <c r="E77" s="149" t="str">
        <f aca="false">"("&amp;IF('บันทึกสัปดาห์ Weekly Log'!C10="",".............................",'บันทึกสัปดาห์ Weekly Log'!C10)&amp;")"</f>
        <v>((ตัวอย่าง) กรรมการ 1)</v>
      </c>
      <c r="F77" s="149"/>
      <c r="G77" s="149"/>
      <c r="H77" s="149" t="str">
        <f aca="false">"("&amp;IF('บันทึกสัปดาห์ Weekly Log'!C11="",".............................",'บันทึกสัปดาห์ Weekly Log'!C11)&amp;")"</f>
        <v>((ตัวอย่าง) กรรมการ 2)</v>
      </c>
      <c r="I77" s="149"/>
      <c r="J77" s="149"/>
    </row>
    <row r="78" customFormat="false" ht="15" hidden="false" customHeight="true" outlineLevel="0" collapsed="false">
      <c r="B78" s="150" t="s">
        <v>581</v>
      </c>
      <c r="C78" s="150"/>
      <c r="D78" s="150"/>
      <c r="E78" s="150" t="s">
        <v>582</v>
      </c>
      <c r="F78" s="150"/>
      <c r="G78" s="150"/>
      <c r="H78" s="150" t="s">
        <v>582</v>
      </c>
      <c r="I78" s="150"/>
      <c r="J78" s="150"/>
    </row>
    <row r="79" customFormat="false" ht="15" hidden="false" customHeight="true" outlineLevel="0" collapsed="false">
      <c r="B79" s="149" t="s">
        <v>583</v>
      </c>
      <c r="C79" s="149"/>
      <c r="D79" s="149"/>
      <c r="E79" s="149" t="s">
        <v>583</v>
      </c>
      <c r="F79" s="149"/>
      <c r="G79" s="149"/>
      <c r="H79" s="149" t="s">
        <v>583</v>
      </c>
      <c r="I79" s="149"/>
      <c r="J79" s="149"/>
    </row>
    <row r="82" customFormat="false" ht="25.5" hidden="false" customHeight="true" outlineLevel="0" collapsed="false">
      <c r="B82" s="151" t="str">
        <f aca="false">"ภาพถ่ายประกอบรายงาน ประจำสัปดาห์ที่ "&amp;'บันทึกสัปดาห์ Weekly Log'!$C$12</f>
        <v>ภาพถ่ายประกอบรายงาน ประจำสัปดาห์ที่ 17</v>
      </c>
      <c r="C82" s="151"/>
      <c r="D82" s="151"/>
      <c r="E82" s="151"/>
      <c r="F82" s="151"/>
      <c r="G82" s="151"/>
      <c r="H82" s="151"/>
      <c r="I82" s="151"/>
      <c r="J82" s="151"/>
    </row>
    <row r="83" customFormat="false" ht="15" hidden="false" customHeight="true" outlineLevel="0" collapsed="false">
      <c r="B83" s="152" t="s">
        <v>584</v>
      </c>
      <c r="C83" s="152"/>
      <c r="D83" s="152"/>
      <c r="E83" s="152"/>
      <c r="F83" s="152"/>
      <c r="G83" s="152"/>
      <c r="H83" s="152"/>
      <c r="I83" s="152"/>
      <c r="J83" s="152"/>
    </row>
    <row r="85" customFormat="false" ht="15.75" hidden="false" customHeight="true" outlineLevel="0" collapsed="false">
      <c r="B85" s="153" t="s">
        <v>585</v>
      </c>
      <c r="C85" s="153"/>
      <c r="D85" s="153"/>
      <c r="E85" s="153"/>
      <c r="F85" s="153" t="s">
        <v>586</v>
      </c>
      <c r="G85" s="153"/>
      <c r="H85" s="153"/>
      <c r="I85" s="153"/>
      <c r="J85" s="153"/>
    </row>
    <row r="86" customFormat="false" ht="15.75" hidden="false" customHeight="true" outlineLevel="0" collapsed="false">
      <c r="B86" s="153"/>
      <c r="C86" s="153"/>
      <c r="D86" s="153"/>
      <c r="E86" s="153"/>
      <c r="F86" s="153"/>
      <c r="G86" s="153"/>
      <c r="H86" s="153"/>
      <c r="I86" s="153"/>
      <c r="J86" s="153"/>
    </row>
    <row r="87" customFormat="false" ht="15.75" hidden="false" customHeight="true" outlineLevel="0" collapsed="false">
      <c r="B87" s="153"/>
      <c r="C87" s="153"/>
      <c r="D87" s="153"/>
      <c r="E87" s="153"/>
      <c r="F87" s="153"/>
      <c r="G87" s="153"/>
      <c r="H87" s="153"/>
      <c r="I87" s="153"/>
      <c r="J87" s="153"/>
    </row>
    <row r="88" customFormat="false" ht="15.75" hidden="false" customHeight="true" outlineLevel="0" collapsed="false">
      <c r="B88" s="153"/>
      <c r="C88" s="153"/>
      <c r="D88" s="153"/>
      <c r="E88" s="153"/>
      <c r="F88" s="153"/>
      <c r="G88" s="153"/>
      <c r="H88" s="153"/>
      <c r="I88" s="153"/>
      <c r="J88" s="153"/>
    </row>
    <row r="89" customFormat="false" ht="15.75" hidden="false" customHeight="true" outlineLevel="0" collapsed="false">
      <c r="B89" s="153"/>
      <c r="C89" s="153"/>
      <c r="D89" s="153"/>
      <c r="E89" s="153"/>
      <c r="F89" s="153"/>
      <c r="G89" s="153"/>
      <c r="H89" s="153"/>
      <c r="I89" s="153"/>
      <c r="J89" s="153"/>
    </row>
    <row r="90" customFormat="false" ht="15.75" hidden="false" customHeight="true" outlineLevel="0" collapsed="false">
      <c r="B90" s="153"/>
      <c r="C90" s="153"/>
      <c r="D90" s="153"/>
      <c r="E90" s="153"/>
      <c r="F90" s="153"/>
      <c r="G90" s="153"/>
      <c r="H90" s="153"/>
      <c r="I90" s="153"/>
      <c r="J90" s="153"/>
    </row>
    <row r="91" customFormat="false" ht="15.75" hidden="false" customHeight="true" outlineLevel="0" collapsed="false">
      <c r="B91" s="153"/>
      <c r="C91" s="153"/>
      <c r="D91" s="153"/>
      <c r="E91" s="153"/>
      <c r="F91" s="153"/>
      <c r="G91" s="153"/>
      <c r="H91" s="153"/>
      <c r="I91" s="153"/>
      <c r="J91" s="153"/>
    </row>
    <row r="92" customFormat="false" ht="15.75" hidden="false" customHeight="true" outlineLevel="0" collapsed="false">
      <c r="B92" s="153"/>
      <c r="C92" s="153"/>
      <c r="D92" s="153"/>
      <c r="E92" s="153"/>
      <c r="F92" s="153"/>
      <c r="G92" s="153"/>
      <c r="H92" s="153"/>
      <c r="I92" s="153"/>
      <c r="J92" s="153"/>
    </row>
    <row r="93" customFormat="false" ht="15.75" hidden="false" customHeight="true" outlineLevel="0" collapsed="false">
      <c r="B93" s="153"/>
      <c r="C93" s="153"/>
      <c r="D93" s="153"/>
      <c r="E93" s="153"/>
      <c r="F93" s="153"/>
      <c r="G93" s="153"/>
      <c r="H93" s="153"/>
      <c r="I93" s="153"/>
      <c r="J93" s="153"/>
    </row>
    <row r="94" customFormat="false" ht="15.75" hidden="false" customHeight="true" outlineLevel="0" collapsed="false">
      <c r="B94" s="153"/>
      <c r="C94" s="153"/>
      <c r="D94" s="153"/>
      <c r="E94" s="153"/>
      <c r="F94" s="153"/>
      <c r="G94" s="153"/>
      <c r="H94" s="153"/>
      <c r="I94" s="153"/>
      <c r="J94" s="153"/>
    </row>
    <row r="95" customFormat="false" ht="15.75" hidden="false" customHeight="true" outlineLevel="0" collapsed="false">
      <c r="B95" s="153"/>
      <c r="C95" s="153"/>
      <c r="D95" s="153"/>
      <c r="E95" s="153"/>
      <c r="F95" s="153"/>
      <c r="G95" s="153"/>
      <c r="H95" s="153"/>
      <c r="I95" s="153"/>
      <c r="J95" s="153"/>
    </row>
    <row r="96" customFormat="false" ht="15.75" hidden="false" customHeight="true" outlineLevel="0" collapsed="false">
      <c r="B96" s="153"/>
      <c r="C96" s="153"/>
      <c r="D96" s="153"/>
      <c r="E96" s="153"/>
      <c r="F96" s="153"/>
      <c r="G96" s="153"/>
      <c r="H96" s="153"/>
      <c r="I96" s="153"/>
      <c r="J96" s="153"/>
    </row>
    <row r="97" customFormat="false" ht="15.75" hidden="false" customHeight="true" outlineLevel="0" collapsed="false">
      <c r="B97" s="154"/>
      <c r="C97" s="154"/>
      <c r="D97" s="154"/>
      <c r="E97" s="154"/>
      <c r="F97" s="154"/>
      <c r="G97" s="154"/>
      <c r="H97" s="154"/>
      <c r="I97" s="154"/>
      <c r="J97" s="154"/>
    </row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>
      <c r="B100" s="153" t="s">
        <v>587</v>
      </c>
      <c r="C100" s="153"/>
      <c r="D100" s="153"/>
      <c r="E100" s="153"/>
      <c r="F100" s="153" t="s">
        <v>588</v>
      </c>
      <c r="G100" s="153"/>
      <c r="H100" s="153"/>
      <c r="I100" s="153"/>
      <c r="J100" s="153"/>
    </row>
    <row r="101" customFormat="false" ht="15.75" hidden="false" customHeight="true" outlineLevel="0" collapsed="false">
      <c r="B101" s="153"/>
      <c r="C101" s="153"/>
      <c r="D101" s="153"/>
      <c r="E101" s="153"/>
      <c r="F101" s="153"/>
      <c r="G101" s="153"/>
      <c r="H101" s="153"/>
      <c r="I101" s="153"/>
      <c r="J101" s="153"/>
    </row>
    <row r="102" customFormat="false" ht="15.75" hidden="false" customHeight="true" outlineLevel="0" collapsed="false">
      <c r="B102" s="153"/>
      <c r="C102" s="153"/>
      <c r="D102" s="153"/>
      <c r="E102" s="153"/>
      <c r="F102" s="153"/>
      <c r="G102" s="153"/>
      <c r="H102" s="153"/>
      <c r="I102" s="153"/>
      <c r="J102" s="153"/>
    </row>
    <row r="103" customFormat="false" ht="15.75" hidden="false" customHeight="true" outlineLevel="0" collapsed="false">
      <c r="B103" s="153"/>
      <c r="C103" s="153"/>
      <c r="D103" s="153"/>
      <c r="E103" s="153"/>
      <c r="F103" s="153"/>
      <c r="G103" s="153"/>
      <c r="H103" s="153"/>
      <c r="I103" s="153"/>
      <c r="J103" s="153"/>
    </row>
    <row r="104" customFormat="false" ht="15.75" hidden="false" customHeight="true" outlineLevel="0" collapsed="false">
      <c r="B104" s="153"/>
      <c r="C104" s="153"/>
      <c r="D104" s="153"/>
      <c r="E104" s="153"/>
      <c r="F104" s="153"/>
      <c r="G104" s="153"/>
      <c r="H104" s="153"/>
      <c r="I104" s="153"/>
      <c r="J104" s="153"/>
    </row>
    <row r="105" customFormat="false" ht="15.75" hidden="false" customHeight="true" outlineLevel="0" collapsed="false">
      <c r="B105" s="153"/>
      <c r="C105" s="153"/>
      <c r="D105" s="153"/>
      <c r="E105" s="153"/>
      <c r="F105" s="153"/>
      <c r="G105" s="153"/>
      <c r="H105" s="153"/>
      <c r="I105" s="153"/>
      <c r="J105" s="153"/>
    </row>
    <row r="106" customFormat="false" ht="15.75" hidden="false" customHeight="true" outlineLevel="0" collapsed="false">
      <c r="B106" s="153"/>
      <c r="C106" s="153"/>
      <c r="D106" s="153"/>
      <c r="E106" s="153"/>
      <c r="F106" s="153"/>
      <c r="G106" s="153"/>
      <c r="H106" s="153"/>
      <c r="I106" s="153"/>
      <c r="J106" s="153"/>
    </row>
    <row r="107" customFormat="false" ht="15.75" hidden="false" customHeight="true" outlineLevel="0" collapsed="false">
      <c r="B107" s="153"/>
      <c r="C107" s="153"/>
      <c r="D107" s="153"/>
      <c r="E107" s="153"/>
      <c r="F107" s="153"/>
      <c r="G107" s="153"/>
      <c r="H107" s="153"/>
      <c r="I107" s="153"/>
      <c r="J107" s="153"/>
    </row>
    <row r="108" customFormat="false" ht="15.75" hidden="false" customHeight="true" outlineLevel="0" collapsed="false">
      <c r="B108" s="153"/>
      <c r="C108" s="153"/>
      <c r="D108" s="153"/>
      <c r="E108" s="153"/>
      <c r="F108" s="153"/>
      <c r="G108" s="153"/>
      <c r="H108" s="153"/>
      <c r="I108" s="153"/>
      <c r="J108" s="153"/>
    </row>
    <row r="109" customFormat="false" ht="15.75" hidden="false" customHeight="true" outlineLevel="0" collapsed="false">
      <c r="B109" s="153"/>
      <c r="C109" s="153"/>
      <c r="D109" s="153"/>
      <c r="E109" s="153"/>
      <c r="F109" s="153"/>
      <c r="G109" s="153"/>
      <c r="H109" s="153"/>
      <c r="I109" s="153"/>
      <c r="J109" s="153"/>
    </row>
    <row r="110" customFormat="false" ht="15.75" hidden="false" customHeight="true" outlineLevel="0" collapsed="false">
      <c r="B110" s="153"/>
      <c r="C110" s="153"/>
      <c r="D110" s="153"/>
      <c r="E110" s="153"/>
      <c r="F110" s="153"/>
      <c r="G110" s="153"/>
      <c r="H110" s="153"/>
      <c r="I110" s="153"/>
      <c r="J110" s="153"/>
    </row>
    <row r="111" customFormat="false" ht="15.75" hidden="false" customHeight="true" outlineLevel="0" collapsed="false">
      <c r="B111" s="153"/>
      <c r="C111" s="153"/>
      <c r="D111" s="153"/>
      <c r="E111" s="153"/>
      <c r="F111" s="153"/>
      <c r="G111" s="153"/>
      <c r="H111" s="153"/>
      <c r="I111" s="153"/>
      <c r="J111" s="153"/>
    </row>
    <row r="112" customFormat="false" ht="15.75" hidden="false" customHeight="true" outlineLevel="0" collapsed="false">
      <c r="B112" s="154"/>
      <c r="C112" s="154"/>
      <c r="D112" s="154"/>
      <c r="E112" s="154"/>
      <c r="F112" s="154"/>
      <c r="G112" s="154"/>
      <c r="H112" s="154"/>
      <c r="I112" s="154"/>
      <c r="J112" s="154"/>
    </row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>
      <c r="B115" s="153" t="s">
        <v>589</v>
      </c>
      <c r="C115" s="153"/>
      <c r="D115" s="153"/>
      <c r="E115" s="153"/>
      <c r="F115" s="153" t="s">
        <v>590</v>
      </c>
      <c r="G115" s="153"/>
      <c r="H115" s="153"/>
      <c r="I115" s="153"/>
      <c r="J115" s="153"/>
    </row>
    <row r="116" customFormat="false" ht="15.75" hidden="false" customHeight="true" outlineLevel="0" collapsed="false">
      <c r="B116" s="153"/>
      <c r="C116" s="153"/>
      <c r="D116" s="153"/>
      <c r="E116" s="153"/>
      <c r="F116" s="153"/>
      <c r="G116" s="153"/>
      <c r="H116" s="153"/>
      <c r="I116" s="153"/>
      <c r="J116" s="153"/>
    </row>
    <row r="117" customFormat="false" ht="15.75" hidden="false" customHeight="true" outlineLevel="0" collapsed="false">
      <c r="B117" s="153"/>
      <c r="C117" s="153"/>
      <c r="D117" s="153"/>
      <c r="E117" s="153"/>
      <c r="F117" s="153"/>
      <c r="G117" s="153"/>
      <c r="H117" s="153"/>
      <c r="I117" s="153"/>
      <c r="J117" s="153"/>
    </row>
    <row r="118" customFormat="false" ht="15.75" hidden="false" customHeight="true" outlineLevel="0" collapsed="false">
      <c r="B118" s="153"/>
      <c r="C118" s="153"/>
      <c r="D118" s="153"/>
      <c r="E118" s="153"/>
      <c r="F118" s="153"/>
      <c r="G118" s="153"/>
      <c r="H118" s="153"/>
      <c r="I118" s="153"/>
      <c r="J118" s="153"/>
    </row>
    <row r="119" customFormat="false" ht="15.75" hidden="false" customHeight="true" outlineLevel="0" collapsed="false">
      <c r="B119" s="153"/>
      <c r="C119" s="153"/>
      <c r="D119" s="153"/>
      <c r="E119" s="153"/>
      <c r="F119" s="153"/>
      <c r="G119" s="153"/>
      <c r="H119" s="153"/>
      <c r="I119" s="153"/>
      <c r="J119" s="153"/>
    </row>
    <row r="120" customFormat="false" ht="15.75" hidden="false" customHeight="true" outlineLevel="0" collapsed="false">
      <c r="B120" s="153"/>
      <c r="C120" s="153"/>
      <c r="D120" s="153"/>
      <c r="E120" s="153"/>
      <c r="F120" s="153"/>
      <c r="G120" s="153"/>
      <c r="H120" s="153"/>
      <c r="I120" s="153"/>
      <c r="J120" s="153"/>
    </row>
    <row r="121" customFormat="false" ht="15.75" hidden="false" customHeight="true" outlineLevel="0" collapsed="false">
      <c r="B121" s="153"/>
      <c r="C121" s="153"/>
      <c r="D121" s="153"/>
      <c r="E121" s="153"/>
      <c r="F121" s="153"/>
      <c r="G121" s="153"/>
      <c r="H121" s="153"/>
      <c r="I121" s="153"/>
      <c r="J121" s="153"/>
    </row>
    <row r="122" customFormat="false" ht="15.75" hidden="false" customHeight="true" outlineLevel="0" collapsed="false">
      <c r="B122" s="153"/>
      <c r="C122" s="153"/>
      <c r="D122" s="153"/>
      <c r="E122" s="153"/>
      <c r="F122" s="153"/>
      <c r="G122" s="153"/>
      <c r="H122" s="153"/>
      <c r="I122" s="153"/>
      <c r="J122" s="153"/>
    </row>
    <row r="123" customFormat="false" ht="15.75" hidden="false" customHeight="true" outlineLevel="0" collapsed="false">
      <c r="B123" s="153"/>
      <c r="C123" s="153"/>
      <c r="D123" s="153"/>
      <c r="E123" s="153"/>
      <c r="F123" s="153"/>
      <c r="G123" s="153"/>
      <c r="H123" s="153"/>
      <c r="I123" s="153"/>
      <c r="J123" s="153"/>
    </row>
    <row r="124" customFormat="false" ht="15.75" hidden="false" customHeight="true" outlineLevel="0" collapsed="false">
      <c r="B124" s="153"/>
      <c r="C124" s="153"/>
      <c r="D124" s="153"/>
      <c r="E124" s="153"/>
      <c r="F124" s="153"/>
      <c r="G124" s="153"/>
      <c r="H124" s="153"/>
      <c r="I124" s="153"/>
      <c r="J124" s="153"/>
    </row>
    <row r="125" customFormat="false" ht="15.75" hidden="false" customHeight="true" outlineLevel="0" collapsed="false">
      <c r="B125" s="153"/>
      <c r="C125" s="153"/>
      <c r="D125" s="153"/>
      <c r="E125" s="153"/>
      <c r="F125" s="153"/>
      <c r="G125" s="153"/>
      <c r="H125" s="153"/>
      <c r="I125" s="153"/>
      <c r="J125" s="153"/>
    </row>
    <row r="126" customFormat="false" ht="15.75" hidden="false" customHeight="true" outlineLevel="0" collapsed="false">
      <c r="B126" s="153"/>
      <c r="C126" s="153"/>
      <c r="D126" s="153"/>
      <c r="E126" s="153"/>
      <c r="F126" s="153"/>
      <c r="G126" s="153"/>
      <c r="H126" s="153"/>
      <c r="I126" s="153"/>
      <c r="J126" s="153"/>
    </row>
    <row r="127" customFormat="false" ht="15.75" hidden="false" customHeight="true" outlineLevel="0" collapsed="false">
      <c r="B127" s="154"/>
      <c r="C127" s="154"/>
      <c r="D127" s="154"/>
      <c r="E127" s="154"/>
      <c r="F127" s="154"/>
      <c r="G127" s="154"/>
      <c r="H127" s="154"/>
      <c r="I127" s="154"/>
      <c r="J127" s="154"/>
    </row>
    <row r="128" customFormat="false" ht="15.75" hidden="false" customHeight="true" outlineLevel="0" collapsed="false"/>
    <row r="129" customFormat="false" ht="15.75" hidden="false" customHeight="true" outlineLevel="0" collapsed="false"/>
  </sheetData>
  <sheetProtection sheet="true" formatCells="false" formatColumns="false" formatRows="false"/>
  <mergeCells count="115">
    <mergeCell ref="B1:J1"/>
    <mergeCell ref="C2:J2"/>
    <mergeCell ref="C3:F3"/>
    <mergeCell ref="H3:J3"/>
    <mergeCell ref="C4:J4"/>
    <mergeCell ref="C5:J5"/>
    <mergeCell ref="B6:J6"/>
    <mergeCell ref="B8:J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9:J19"/>
    <mergeCell ref="E20:F20"/>
    <mergeCell ref="H20:I20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E26:F26"/>
    <mergeCell ref="H26:I26"/>
    <mergeCell ref="E27:F27"/>
    <mergeCell ref="H27:I27"/>
    <mergeCell ref="E28:F28"/>
    <mergeCell ref="H28:I28"/>
    <mergeCell ref="E29:F29"/>
    <mergeCell ref="H29:I29"/>
    <mergeCell ref="E30:F30"/>
    <mergeCell ref="H30:I30"/>
    <mergeCell ref="B31:J31"/>
    <mergeCell ref="B33:J33"/>
    <mergeCell ref="B34:J34"/>
    <mergeCell ref="B35:J35"/>
    <mergeCell ref="B36:J36"/>
    <mergeCell ref="E37:F37"/>
    <mergeCell ref="H37:J37"/>
    <mergeCell ref="E38:F38"/>
    <mergeCell ref="H38:J38"/>
    <mergeCell ref="E39:F39"/>
    <mergeCell ref="H39:J39"/>
    <mergeCell ref="E40:F40"/>
    <mergeCell ref="H40:J40"/>
    <mergeCell ref="E41:F41"/>
    <mergeCell ref="H41:J41"/>
    <mergeCell ref="E42:F42"/>
    <mergeCell ref="H42:J42"/>
    <mergeCell ref="E43:F43"/>
    <mergeCell ref="H43:J43"/>
    <mergeCell ref="E44:F44"/>
    <mergeCell ref="H44:J44"/>
    <mergeCell ref="E45:F45"/>
    <mergeCell ref="H45:J45"/>
    <mergeCell ref="B46:J46"/>
    <mergeCell ref="B47:J47"/>
    <mergeCell ref="B49:J49"/>
    <mergeCell ref="B50:C50"/>
    <mergeCell ref="D50:J50"/>
    <mergeCell ref="B51:C51"/>
    <mergeCell ref="D51:J51"/>
    <mergeCell ref="B52:C52"/>
    <mergeCell ref="D52:J52"/>
    <mergeCell ref="B53:C53"/>
    <mergeCell ref="D53:J53"/>
    <mergeCell ref="B55:J55"/>
    <mergeCell ref="B56:J56"/>
    <mergeCell ref="B57:J57"/>
    <mergeCell ref="B58:J58"/>
    <mergeCell ref="B60:J60"/>
    <mergeCell ref="B61:J61"/>
    <mergeCell ref="B63:J63"/>
    <mergeCell ref="G65:J65"/>
    <mergeCell ref="G66:J66"/>
    <mergeCell ref="G67:J67"/>
    <mergeCell ref="G68:J68"/>
    <mergeCell ref="B71:J71"/>
    <mergeCell ref="B72:J72"/>
    <mergeCell ref="B73:J73"/>
    <mergeCell ref="B74:J74"/>
    <mergeCell ref="B76:D76"/>
    <mergeCell ref="E76:G76"/>
    <mergeCell ref="H76:J76"/>
    <mergeCell ref="B77:D77"/>
    <mergeCell ref="E77:G77"/>
    <mergeCell ref="H77:J77"/>
    <mergeCell ref="B78:D78"/>
    <mergeCell ref="E78:G78"/>
    <mergeCell ref="H78:J78"/>
    <mergeCell ref="B79:D79"/>
    <mergeCell ref="E79:G79"/>
    <mergeCell ref="H79:J79"/>
    <mergeCell ref="B82:J82"/>
    <mergeCell ref="B83:J83"/>
    <mergeCell ref="B85:E96"/>
    <mergeCell ref="F85:J96"/>
    <mergeCell ref="B97:E97"/>
    <mergeCell ref="F97:J97"/>
    <mergeCell ref="B100:E111"/>
    <mergeCell ref="F100:J111"/>
    <mergeCell ref="B112:E112"/>
    <mergeCell ref="F112:J112"/>
    <mergeCell ref="B115:E126"/>
    <mergeCell ref="F115:J126"/>
    <mergeCell ref="B127:E127"/>
    <mergeCell ref="F127:J127"/>
  </mergeCells>
  <conditionalFormatting sqref="D17">
    <cfRule type="expression" priority="2" aboveAverage="0" equalAverage="0" bottom="0" percent="0" rank="0" text="" dxfId="0">
      <formula>ISNUMBER(SEARCH("มาก",D17))</formula>
    </cfRule>
    <cfRule type="expression" priority="3" aboveAverage="0" equalAverage="0" bottom="0" percent="0" rank="0" text="" dxfId="10">
      <formula>ISNUMBER(SEARCH("เล็กน้อย",D17))</formula>
    </cfRule>
    <cfRule type="expression" priority="4" aboveAverage="0" equalAverage="0" bottom="0" percent="0" rank="0" text="" dxfId="2">
      <formula>ISNUMBER(SEARCH("ตามแผน",D17))</formula>
    </cfRule>
  </conditionalFormatting>
  <conditionalFormatting sqref="D12">
    <cfRule type="expression" priority="5" aboveAverage="0" equalAverage="0" bottom="0" percent="0" rank="0" text="" dxfId="4">
      <formula>AND(ISNUMBER(D12),D12&lt;0)</formula>
    </cfRule>
  </conditionalFormatting>
  <conditionalFormatting sqref="H21:H30">
    <cfRule type="expression" priority="6" aboveAverage="0" equalAverage="0" bottom="0" percent="0" rank="0" text="" dxfId="4">
      <formula>H21="เกินกำหนด"</formula>
    </cfRule>
    <cfRule type="expression" priority="7" aboveAverage="0" equalAverage="0" bottom="0" percent="0" rank="0" text="" dxfId="12">
      <formula>H21="ตรวจรับแล้ว"</formula>
    </cfRule>
  </conditionalFormatting>
  <conditionalFormatting sqref="B58">
    <cfRule type="expression" priority="8" aboveAverage="0" equalAverage="0" bottom="0" percent="0" rank="0" text="" dxfId="4">
      <formula>ISNUMBER(SEARCH("⚠",B58))</formula>
    </cfRule>
  </conditionalFormatting>
  <printOptions headings="false" gridLines="false" gridLinesSet="true" horizontalCentered="false" verticalCentered="false"/>
  <pageMargins left="0.6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/ &amp;N</oddFooter>
  </headerFooter>
  <rowBreaks count="2" manualBreakCount="2">
    <brk id="32" man="true" max="16383" min="0"/>
    <brk id="69" man="true" max="16383" min="0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9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11"/>
    <col collapsed="false" customWidth="true" hidden="false" outlineLevel="0" max="4" min="4" style="1" width="44"/>
    <col collapsed="false" customWidth="true" hidden="false" outlineLevel="0" max="6" min="5" style="1" width="11"/>
    <col collapsed="false" customWidth="true" hidden="false" outlineLevel="0" max="7" min="7" style="1" width="15"/>
    <col collapsed="false" customWidth="true" hidden="false" outlineLevel="0" max="8" min="8" style="1" width="16"/>
    <col collapsed="false" customWidth="true" hidden="false" outlineLevel="0" max="9" min="9" style="1" width="15"/>
    <col collapsed="false" customWidth="true" hidden="false" outlineLevel="0" max="10" min="10" style="1" width="11"/>
    <col collapsed="false" customWidth="true" hidden="false" outlineLevel="0" max="11" min="11" style="1" width="10"/>
    <col collapsed="false" customWidth="true" hidden="false" outlineLevel="0" max="12" min="12" style="1" width="15"/>
    <col collapsed="false" customWidth="true" hidden="false" outlineLevel="0" max="13" min="13" style="1" width="28"/>
  </cols>
  <sheetData>
    <row r="1" customFormat="false" ht="20.1" hidden="false" customHeight="false" outlineLevel="0" collapsed="false">
      <c r="A1" s="2" t="s">
        <v>591</v>
      </c>
    </row>
    <row r="2" customFormat="false" ht="15" hidden="false" customHeight="false" outlineLevel="0" collapsed="false">
      <c r="A2" s="17" t="s">
        <v>592</v>
      </c>
    </row>
    <row r="3" customFormat="false" ht="15" hidden="false" customHeight="false" outlineLevel="0" collapsed="false">
      <c r="A3" s="155" t="s">
        <v>593</v>
      </c>
      <c r="B3" s="155"/>
      <c r="C3" s="156" t="n">
        <f aca="false">'ตั้งค่า Setup'!$C$9</f>
        <v>24200000</v>
      </c>
      <c r="E3" s="111" t="s">
        <v>594</v>
      </c>
      <c r="F3" s="109" t="str">
        <f aca="false">COUNTIF(H10:H59,"รอพิจารณา")&amp;" รายการ  •  "&amp;TEXT(SUMIF(H10:H59,"รอพิจารณา",G10:G59),"#,##0")&amp;" บาท"</f>
        <v>1 รายการ  •  120,000 บาท</v>
      </c>
    </row>
    <row r="4" customFormat="false" ht="15" hidden="false" customHeight="false" outlineLevel="0" collapsed="false">
      <c r="A4" s="155" t="s">
        <v>595</v>
      </c>
      <c r="B4" s="155"/>
      <c r="C4" s="156" t="n">
        <f aca="false">SUMIFS(L10:L59,L10:L59,"&gt;0")</f>
        <v>352000</v>
      </c>
      <c r="E4" s="111" t="s">
        <v>596</v>
      </c>
      <c r="F4" s="157" t="s">
        <v>597</v>
      </c>
    </row>
    <row r="5" customFormat="false" ht="15" hidden="false" customHeight="false" outlineLevel="0" collapsed="false">
      <c r="A5" s="155" t="s">
        <v>598</v>
      </c>
      <c r="B5" s="155"/>
      <c r="C5" s="156" t="n">
        <f aca="false">SUMIFS(L10:L59,L10:L59,"&lt;0")</f>
        <v>0</v>
      </c>
      <c r="F5" s="157" t="s">
        <v>599</v>
      </c>
    </row>
    <row r="6" customFormat="false" ht="15" hidden="false" customHeight="false" outlineLevel="0" collapsed="false">
      <c r="A6" s="155" t="s">
        <v>600</v>
      </c>
      <c r="B6" s="155"/>
      <c r="C6" s="156" t="n">
        <f aca="false">C3+C4+C5</f>
        <v>24552000</v>
      </c>
    </row>
    <row r="7" customFormat="false" ht="15" hidden="false" customHeight="false" outlineLevel="0" collapsed="false">
      <c r="A7" s="158" t="s">
        <v>601</v>
      </c>
      <c r="B7" s="158"/>
      <c r="C7" s="159" t="n">
        <f aca="false">IFERROR((C6-C3)/C3,0)</f>
        <v>0.0145454545454545</v>
      </c>
    </row>
    <row r="9" customFormat="false" ht="36" hidden="false" customHeight="true" outlineLevel="0" collapsed="false">
      <c r="A9" s="18" t="s">
        <v>446</v>
      </c>
      <c r="B9" s="18" t="s">
        <v>602</v>
      </c>
      <c r="C9" s="18" t="s">
        <v>543</v>
      </c>
      <c r="D9" s="18" t="s">
        <v>603</v>
      </c>
      <c r="E9" s="59" t="s">
        <v>604</v>
      </c>
      <c r="F9" s="18" t="s">
        <v>605</v>
      </c>
      <c r="G9" s="18" t="s">
        <v>606</v>
      </c>
      <c r="H9" s="18" t="s">
        <v>607</v>
      </c>
      <c r="I9" s="18" t="s">
        <v>608</v>
      </c>
      <c r="J9" s="18" t="s">
        <v>609</v>
      </c>
      <c r="K9" s="18" t="s">
        <v>610</v>
      </c>
      <c r="L9" s="18" t="s">
        <v>611</v>
      </c>
      <c r="M9" s="18" t="s">
        <v>193</v>
      </c>
    </row>
    <row r="10" customFormat="false" ht="15" hidden="false" customHeight="false" outlineLevel="0" collapsed="false">
      <c r="A10" s="117" t="n">
        <f aca="false">IF(D10="","",COUNTA(D$10:D10))</f>
        <v>1</v>
      </c>
      <c r="B10" s="22" t="s">
        <v>612</v>
      </c>
      <c r="C10" s="24" t="n">
        <v>46270</v>
      </c>
      <c r="D10" s="108" t="s">
        <v>613</v>
      </c>
      <c r="E10" s="22" t="s">
        <v>614</v>
      </c>
      <c r="F10" s="20" t="s">
        <v>615</v>
      </c>
      <c r="G10" s="160" t="n">
        <v>380000</v>
      </c>
      <c r="H10" s="20" t="s">
        <v>616</v>
      </c>
      <c r="I10" s="160" t="n">
        <v>352000</v>
      </c>
      <c r="J10" s="24" t="n">
        <v>46285</v>
      </c>
      <c r="K10" s="20" t="n">
        <v>8</v>
      </c>
      <c r="L10" s="161" t="n">
        <f aca="false">IF(OR(D10="",H10&lt;&gt;"อนุมัติ"),0,IF(F10="งานลด",-N(I10),N(I10)))</f>
        <v>352000</v>
      </c>
      <c r="M10" s="32" t="s">
        <v>617</v>
      </c>
    </row>
    <row r="11" customFormat="false" ht="15" hidden="false" customHeight="false" outlineLevel="0" collapsed="false">
      <c r="A11" s="117" t="n">
        <f aca="false">IF(D11="","",COUNTA(D$10:D11))</f>
        <v>2</v>
      </c>
      <c r="B11" s="22" t="s">
        <v>618</v>
      </c>
      <c r="C11" s="24" t="n">
        <v>46283</v>
      </c>
      <c r="D11" s="108" t="s">
        <v>619</v>
      </c>
      <c r="E11" s="22" t="s">
        <v>620</v>
      </c>
      <c r="F11" s="20" t="s">
        <v>621</v>
      </c>
      <c r="G11" s="160" t="n">
        <v>120000</v>
      </c>
      <c r="H11" s="20" t="s">
        <v>622</v>
      </c>
      <c r="I11" s="160"/>
      <c r="J11" s="24"/>
      <c r="K11" s="20" t="n">
        <v>0</v>
      </c>
      <c r="L11" s="161" t="n">
        <f aca="false">IF(OR(D11="",H11&lt;&gt;"อนุมัติ"),0,IF(F11="งานลด",-N(I11),N(I11)))</f>
        <v>0</v>
      </c>
      <c r="M11" s="32"/>
    </row>
    <row r="12" customFormat="false" ht="15" hidden="false" customHeight="false" outlineLevel="0" collapsed="false">
      <c r="A12" s="117" t="str">
        <f aca="false">IF(D12="","",COUNTA(D$10:D12))</f>
        <v/>
      </c>
      <c r="B12" s="20"/>
      <c r="C12" s="24"/>
      <c r="D12" s="32"/>
      <c r="E12" s="22"/>
      <c r="F12" s="20"/>
      <c r="G12" s="160"/>
      <c r="H12" s="20"/>
      <c r="I12" s="160"/>
      <c r="J12" s="24"/>
      <c r="K12" s="20"/>
      <c r="L12" s="161" t="n">
        <f aca="false">IF(OR(D12="",H12&lt;&gt;"อนุมัติ"),0,IF(F12="งานลด",-N(I12),N(I12)))</f>
        <v>0</v>
      </c>
      <c r="M12" s="32"/>
    </row>
    <row r="13" customFormat="false" ht="15" hidden="false" customHeight="false" outlineLevel="0" collapsed="false">
      <c r="A13" s="117" t="str">
        <f aca="false">IF(D13="","",COUNTA(D$10:D13))</f>
        <v/>
      </c>
      <c r="B13" s="20"/>
      <c r="C13" s="24"/>
      <c r="D13" s="32"/>
      <c r="E13" s="22"/>
      <c r="F13" s="20"/>
      <c r="G13" s="160"/>
      <c r="H13" s="20"/>
      <c r="I13" s="160"/>
      <c r="J13" s="24"/>
      <c r="K13" s="20"/>
      <c r="L13" s="161" t="n">
        <f aca="false">IF(OR(D13="",H13&lt;&gt;"อนุมัติ"),0,IF(F13="งานลด",-N(I13),N(I13)))</f>
        <v>0</v>
      </c>
      <c r="M13" s="32"/>
    </row>
    <row r="14" customFormat="false" ht="15" hidden="false" customHeight="false" outlineLevel="0" collapsed="false">
      <c r="A14" s="117" t="str">
        <f aca="false">IF(D14="","",COUNTA(D$10:D14))</f>
        <v/>
      </c>
      <c r="B14" s="20"/>
      <c r="C14" s="24"/>
      <c r="D14" s="32"/>
      <c r="E14" s="22"/>
      <c r="F14" s="20"/>
      <c r="G14" s="160"/>
      <c r="H14" s="20"/>
      <c r="I14" s="160"/>
      <c r="J14" s="24"/>
      <c r="K14" s="20"/>
      <c r="L14" s="161" t="n">
        <f aca="false">IF(OR(D14="",H14&lt;&gt;"อนุมัติ"),0,IF(F14="งานลด",-N(I14),N(I14)))</f>
        <v>0</v>
      </c>
      <c r="M14" s="32"/>
    </row>
    <row r="15" customFormat="false" ht="15" hidden="false" customHeight="false" outlineLevel="0" collapsed="false">
      <c r="A15" s="117" t="str">
        <f aca="false">IF(D15="","",COUNTA(D$10:D15))</f>
        <v/>
      </c>
      <c r="B15" s="20"/>
      <c r="C15" s="24"/>
      <c r="D15" s="32"/>
      <c r="E15" s="22"/>
      <c r="F15" s="20"/>
      <c r="G15" s="160"/>
      <c r="H15" s="20"/>
      <c r="I15" s="160"/>
      <c r="J15" s="24"/>
      <c r="K15" s="20"/>
      <c r="L15" s="161" t="n">
        <f aca="false">IF(OR(D15="",H15&lt;&gt;"อนุมัติ"),0,IF(F15="งานลด",-N(I15),N(I15)))</f>
        <v>0</v>
      </c>
      <c r="M15" s="32"/>
    </row>
    <row r="16" customFormat="false" ht="15" hidden="false" customHeight="false" outlineLevel="0" collapsed="false">
      <c r="A16" s="117" t="str">
        <f aca="false">IF(D16="","",COUNTA(D$10:D16))</f>
        <v/>
      </c>
      <c r="B16" s="20"/>
      <c r="C16" s="24"/>
      <c r="D16" s="32"/>
      <c r="E16" s="22"/>
      <c r="F16" s="20"/>
      <c r="G16" s="160"/>
      <c r="H16" s="20"/>
      <c r="I16" s="160"/>
      <c r="J16" s="24"/>
      <c r="K16" s="20"/>
      <c r="L16" s="161" t="n">
        <f aca="false">IF(OR(D16="",H16&lt;&gt;"อนุมัติ"),0,IF(F16="งานลด",-N(I16),N(I16)))</f>
        <v>0</v>
      </c>
      <c r="M16" s="32"/>
    </row>
    <row r="17" customFormat="false" ht="15" hidden="false" customHeight="false" outlineLevel="0" collapsed="false">
      <c r="A17" s="117" t="str">
        <f aca="false">IF(D17="","",COUNTA(D$10:D17))</f>
        <v/>
      </c>
      <c r="B17" s="20"/>
      <c r="C17" s="24"/>
      <c r="D17" s="32"/>
      <c r="E17" s="22"/>
      <c r="F17" s="20"/>
      <c r="G17" s="160"/>
      <c r="H17" s="20"/>
      <c r="I17" s="160"/>
      <c r="J17" s="24"/>
      <c r="K17" s="20"/>
      <c r="L17" s="161" t="n">
        <f aca="false">IF(OR(D17="",H17&lt;&gt;"อนุมัติ"),0,IF(F17="งานลด",-N(I17),N(I17)))</f>
        <v>0</v>
      </c>
      <c r="M17" s="32"/>
    </row>
    <row r="18" customFormat="false" ht="15" hidden="false" customHeight="false" outlineLevel="0" collapsed="false">
      <c r="A18" s="117" t="str">
        <f aca="false">IF(D18="","",COUNTA(D$10:D18))</f>
        <v/>
      </c>
      <c r="B18" s="20"/>
      <c r="C18" s="24"/>
      <c r="D18" s="32"/>
      <c r="E18" s="22"/>
      <c r="F18" s="20"/>
      <c r="G18" s="160"/>
      <c r="H18" s="20"/>
      <c r="I18" s="160"/>
      <c r="J18" s="24"/>
      <c r="K18" s="20"/>
      <c r="L18" s="161" t="n">
        <f aca="false">IF(OR(D18="",H18&lt;&gt;"อนุมัติ"),0,IF(F18="งานลด",-N(I18),N(I18)))</f>
        <v>0</v>
      </c>
      <c r="M18" s="32"/>
    </row>
    <row r="19" customFormat="false" ht="15" hidden="false" customHeight="false" outlineLevel="0" collapsed="false">
      <c r="A19" s="117" t="str">
        <f aca="false">IF(D19="","",COUNTA(D$10:D19))</f>
        <v/>
      </c>
      <c r="B19" s="20"/>
      <c r="C19" s="24"/>
      <c r="D19" s="32"/>
      <c r="E19" s="22"/>
      <c r="F19" s="20"/>
      <c r="G19" s="160"/>
      <c r="H19" s="20"/>
      <c r="I19" s="160"/>
      <c r="J19" s="24"/>
      <c r="K19" s="20"/>
      <c r="L19" s="161" t="n">
        <f aca="false">IF(OR(D19="",H19&lt;&gt;"อนุมัติ"),0,IF(F19="งานลด",-N(I19),N(I19)))</f>
        <v>0</v>
      </c>
      <c r="M19" s="32"/>
    </row>
    <row r="20" customFormat="false" ht="15" hidden="false" customHeight="false" outlineLevel="0" collapsed="false">
      <c r="A20" s="117" t="str">
        <f aca="false">IF(D20="","",COUNTA(D$10:D20))</f>
        <v/>
      </c>
      <c r="B20" s="20"/>
      <c r="C20" s="24"/>
      <c r="D20" s="32"/>
      <c r="E20" s="22"/>
      <c r="F20" s="20"/>
      <c r="G20" s="160"/>
      <c r="H20" s="20"/>
      <c r="I20" s="160"/>
      <c r="J20" s="24"/>
      <c r="K20" s="20"/>
      <c r="L20" s="161" t="n">
        <f aca="false">IF(OR(D20="",H20&lt;&gt;"อนุมัติ"),0,IF(F20="งานลด",-N(I20),N(I20)))</f>
        <v>0</v>
      </c>
      <c r="M20" s="32"/>
    </row>
    <row r="21" customFormat="false" ht="15" hidden="false" customHeight="false" outlineLevel="0" collapsed="false">
      <c r="A21" s="117" t="str">
        <f aca="false">IF(D21="","",COUNTA(D$10:D21))</f>
        <v/>
      </c>
      <c r="B21" s="20"/>
      <c r="C21" s="24"/>
      <c r="D21" s="32"/>
      <c r="E21" s="22"/>
      <c r="F21" s="20"/>
      <c r="G21" s="160"/>
      <c r="H21" s="20"/>
      <c r="I21" s="160"/>
      <c r="J21" s="24"/>
      <c r="K21" s="20"/>
      <c r="L21" s="161" t="n">
        <f aca="false">IF(OR(D21="",H21&lt;&gt;"อนุมัติ"),0,IF(F21="งานลด",-N(I21),N(I21)))</f>
        <v>0</v>
      </c>
      <c r="M21" s="32"/>
    </row>
    <row r="22" customFormat="false" ht="15" hidden="false" customHeight="false" outlineLevel="0" collapsed="false">
      <c r="A22" s="117" t="str">
        <f aca="false">IF(D22="","",COUNTA(D$10:D22))</f>
        <v/>
      </c>
      <c r="B22" s="20"/>
      <c r="C22" s="24"/>
      <c r="D22" s="32"/>
      <c r="E22" s="22"/>
      <c r="F22" s="20"/>
      <c r="G22" s="160"/>
      <c r="H22" s="20"/>
      <c r="I22" s="160"/>
      <c r="J22" s="24"/>
      <c r="K22" s="20"/>
      <c r="L22" s="161" t="n">
        <f aca="false">IF(OR(D22="",H22&lt;&gt;"อนุมัติ"),0,IF(F22="งานลด",-N(I22),N(I22)))</f>
        <v>0</v>
      </c>
      <c r="M22" s="32"/>
    </row>
    <row r="23" customFormat="false" ht="15" hidden="false" customHeight="false" outlineLevel="0" collapsed="false">
      <c r="A23" s="117" t="str">
        <f aca="false">IF(D23="","",COUNTA(D$10:D23))</f>
        <v/>
      </c>
      <c r="B23" s="20"/>
      <c r="C23" s="24"/>
      <c r="D23" s="32"/>
      <c r="E23" s="22"/>
      <c r="F23" s="20"/>
      <c r="G23" s="160"/>
      <c r="H23" s="20"/>
      <c r="I23" s="160"/>
      <c r="J23" s="24"/>
      <c r="K23" s="20"/>
      <c r="L23" s="161" t="n">
        <f aca="false">IF(OR(D23="",H23&lt;&gt;"อนุมัติ"),0,IF(F23="งานลด",-N(I23),N(I23)))</f>
        <v>0</v>
      </c>
      <c r="M23" s="32"/>
    </row>
    <row r="24" customFormat="false" ht="15" hidden="false" customHeight="false" outlineLevel="0" collapsed="false">
      <c r="A24" s="117" t="str">
        <f aca="false">IF(D24="","",COUNTA(D$10:D24))</f>
        <v/>
      </c>
      <c r="B24" s="20"/>
      <c r="C24" s="24"/>
      <c r="D24" s="32"/>
      <c r="E24" s="22"/>
      <c r="F24" s="20"/>
      <c r="G24" s="160"/>
      <c r="H24" s="20"/>
      <c r="I24" s="160"/>
      <c r="J24" s="24"/>
      <c r="K24" s="20"/>
      <c r="L24" s="161" t="n">
        <f aca="false">IF(OR(D24="",H24&lt;&gt;"อนุมัติ"),0,IF(F24="งานลด",-N(I24),N(I24)))</f>
        <v>0</v>
      </c>
      <c r="M24" s="32"/>
    </row>
    <row r="25" customFormat="false" ht="15" hidden="false" customHeight="false" outlineLevel="0" collapsed="false">
      <c r="A25" s="117" t="str">
        <f aca="false">IF(D25="","",COUNTA(D$10:D25))</f>
        <v/>
      </c>
      <c r="B25" s="20"/>
      <c r="C25" s="24"/>
      <c r="D25" s="32"/>
      <c r="E25" s="22"/>
      <c r="F25" s="20"/>
      <c r="G25" s="160"/>
      <c r="H25" s="20"/>
      <c r="I25" s="160"/>
      <c r="J25" s="24"/>
      <c r="K25" s="20"/>
      <c r="L25" s="161" t="n">
        <f aca="false">IF(OR(D25="",H25&lt;&gt;"อนุมัติ"),0,IF(F25="งานลด",-N(I25),N(I25)))</f>
        <v>0</v>
      </c>
      <c r="M25" s="32"/>
    </row>
    <row r="26" customFormat="false" ht="15" hidden="false" customHeight="false" outlineLevel="0" collapsed="false">
      <c r="A26" s="117" t="str">
        <f aca="false">IF(D26="","",COUNTA(D$10:D26))</f>
        <v/>
      </c>
      <c r="B26" s="20"/>
      <c r="C26" s="24"/>
      <c r="D26" s="32"/>
      <c r="E26" s="22"/>
      <c r="F26" s="20"/>
      <c r="G26" s="160"/>
      <c r="H26" s="20"/>
      <c r="I26" s="160"/>
      <c r="J26" s="24"/>
      <c r="K26" s="20"/>
      <c r="L26" s="161" t="n">
        <f aca="false">IF(OR(D26="",H26&lt;&gt;"อนุมัติ"),0,IF(F26="งานลด",-N(I26),N(I26)))</f>
        <v>0</v>
      </c>
      <c r="M26" s="32"/>
    </row>
    <row r="27" customFormat="false" ht="15" hidden="false" customHeight="false" outlineLevel="0" collapsed="false">
      <c r="A27" s="117" t="str">
        <f aca="false">IF(D27="","",COUNTA(D$10:D27))</f>
        <v/>
      </c>
      <c r="B27" s="20"/>
      <c r="C27" s="24"/>
      <c r="D27" s="32"/>
      <c r="E27" s="22"/>
      <c r="F27" s="20"/>
      <c r="G27" s="160"/>
      <c r="H27" s="20"/>
      <c r="I27" s="160"/>
      <c r="J27" s="24"/>
      <c r="K27" s="20"/>
      <c r="L27" s="161" t="n">
        <f aca="false">IF(OR(D27="",H27&lt;&gt;"อนุมัติ"),0,IF(F27="งานลด",-N(I27),N(I27)))</f>
        <v>0</v>
      </c>
      <c r="M27" s="32"/>
    </row>
    <row r="28" customFormat="false" ht="15" hidden="false" customHeight="false" outlineLevel="0" collapsed="false">
      <c r="A28" s="117" t="str">
        <f aca="false">IF(D28="","",COUNTA(D$10:D28))</f>
        <v/>
      </c>
      <c r="B28" s="20"/>
      <c r="C28" s="24"/>
      <c r="D28" s="32"/>
      <c r="E28" s="22"/>
      <c r="F28" s="20"/>
      <c r="G28" s="160"/>
      <c r="H28" s="20"/>
      <c r="I28" s="160"/>
      <c r="J28" s="24"/>
      <c r="K28" s="20"/>
      <c r="L28" s="161" t="n">
        <f aca="false">IF(OR(D28="",H28&lt;&gt;"อนุมัติ"),0,IF(F28="งานลด",-N(I28),N(I28)))</f>
        <v>0</v>
      </c>
      <c r="M28" s="32"/>
    </row>
    <row r="29" customFormat="false" ht="15" hidden="false" customHeight="false" outlineLevel="0" collapsed="false">
      <c r="A29" s="117" t="str">
        <f aca="false">IF(D29="","",COUNTA(D$10:D29))</f>
        <v/>
      </c>
      <c r="B29" s="20"/>
      <c r="C29" s="24"/>
      <c r="D29" s="32"/>
      <c r="E29" s="22"/>
      <c r="F29" s="20"/>
      <c r="G29" s="160"/>
      <c r="H29" s="20"/>
      <c r="I29" s="160"/>
      <c r="J29" s="24"/>
      <c r="K29" s="20"/>
      <c r="L29" s="161" t="n">
        <f aca="false">IF(OR(D29="",H29&lt;&gt;"อนุมัติ"),0,IF(F29="งานลด",-N(I29),N(I29)))</f>
        <v>0</v>
      </c>
      <c r="M29" s="32"/>
    </row>
    <row r="30" customFormat="false" ht="15" hidden="false" customHeight="false" outlineLevel="0" collapsed="false">
      <c r="A30" s="117" t="str">
        <f aca="false">IF(D30="","",COUNTA(D$10:D30))</f>
        <v/>
      </c>
      <c r="B30" s="20"/>
      <c r="C30" s="24"/>
      <c r="D30" s="32"/>
      <c r="E30" s="22"/>
      <c r="F30" s="20"/>
      <c r="G30" s="160"/>
      <c r="H30" s="20"/>
      <c r="I30" s="160"/>
      <c r="J30" s="24"/>
      <c r="K30" s="20"/>
      <c r="L30" s="161" t="n">
        <f aca="false">IF(OR(D30="",H30&lt;&gt;"อนุมัติ"),0,IF(F30="งานลด",-N(I30),N(I30)))</f>
        <v>0</v>
      </c>
      <c r="M30" s="32"/>
    </row>
    <row r="31" customFormat="false" ht="15" hidden="false" customHeight="false" outlineLevel="0" collapsed="false">
      <c r="A31" s="117" t="str">
        <f aca="false">IF(D31="","",COUNTA(D$10:D31))</f>
        <v/>
      </c>
      <c r="B31" s="20"/>
      <c r="C31" s="24"/>
      <c r="D31" s="32"/>
      <c r="E31" s="22"/>
      <c r="F31" s="20"/>
      <c r="G31" s="160"/>
      <c r="H31" s="20"/>
      <c r="I31" s="160"/>
      <c r="J31" s="24"/>
      <c r="K31" s="20"/>
      <c r="L31" s="161" t="n">
        <f aca="false">IF(OR(D31="",H31&lt;&gt;"อนุมัติ"),0,IF(F31="งานลด",-N(I31),N(I31)))</f>
        <v>0</v>
      </c>
      <c r="M31" s="32"/>
    </row>
    <row r="32" customFormat="false" ht="15" hidden="false" customHeight="false" outlineLevel="0" collapsed="false">
      <c r="A32" s="117" t="str">
        <f aca="false">IF(D32="","",COUNTA(D$10:D32))</f>
        <v/>
      </c>
      <c r="B32" s="20"/>
      <c r="C32" s="24"/>
      <c r="D32" s="32"/>
      <c r="E32" s="22"/>
      <c r="F32" s="20"/>
      <c r="G32" s="160"/>
      <c r="H32" s="20"/>
      <c r="I32" s="160"/>
      <c r="J32" s="24"/>
      <c r="K32" s="20"/>
      <c r="L32" s="161" t="n">
        <f aca="false">IF(OR(D32="",H32&lt;&gt;"อนุมัติ"),0,IF(F32="งานลด",-N(I32),N(I32)))</f>
        <v>0</v>
      </c>
      <c r="M32" s="32"/>
    </row>
    <row r="33" customFormat="false" ht="15" hidden="false" customHeight="false" outlineLevel="0" collapsed="false">
      <c r="A33" s="117" t="str">
        <f aca="false">IF(D33="","",COUNTA(D$10:D33))</f>
        <v/>
      </c>
      <c r="B33" s="20"/>
      <c r="C33" s="24"/>
      <c r="D33" s="32"/>
      <c r="E33" s="22"/>
      <c r="F33" s="20"/>
      <c r="G33" s="160"/>
      <c r="H33" s="20"/>
      <c r="I33" s="160"/>
      <c r="J33" s="24"/>
      <c r="K33" s="20"/>
      <c r="L33" s="161" t="n">
        <f aca="false">IF(OR(D33="",H33&lt;&gt;"อนุมัติ"),0,IF(F33="งานลด",-N(I33),N(I33)))</f>
        <v>0</v>
      </c>
      <c r="M33" s="32"/>
    </row>
    <row r="34" customFormat="false" ht="15" hidden="false" customHeight="false" outlineLevel="0" collapsed="false">
      <c r="A34" s="117" t="str">
        <f aca="false">IF(D34="","",COUNTA(D$10:D34))</f>
        <v/>
      </c>
      <c r="B34" s="20"/>
      <c r="C34" s="24"/>
      <c r="D34" s="32"/>
      <c r="E34" s="22"/>
      <c r="F34" s="20"/>
      <c r="G34" s="160"/>
      <c r="H34" s="20"/>
      <c r="I34" s="160"/>
      <c r="J34" s="24"/>
      <c r="K34" s="20"/>
      <c r="L34" s="161" t="n">
        <f aca="false">IF(OR(D34="",H34&lt;&gt;"อนุมัติ"),0,IF(F34="งานลด",-N(I34),N(I34)))</f>
        <v>0</v>
      </c>
      <c r="M34" s="32"/>
    </row>
    <row r="35" customFormat="false" ht="15" hidden="false" customHeight="false" outlineLevel="0" collapsed="false">
      <c r="A35" s="117" t="str">
        <f aca="false">IF(D35="","",COUNTA(D$10:D35))</f>
        <v/>
      </c>
      <c r="B35" s="20"/>
      <c r="C35" s="24"/>
      <c r="D35" s="32"/>
      <c r="E35" s="22"/>
      <c r="F35" s="20"/>
      <c r="G35" s="160"/>
      <c r="H35" s="20"/>
      <c r="I35" s="160"/>
      <c r="J35" s="24"/>
      <c r="K35" s="20"/>
      <c r="L35" s="161" t="n">
        <f aca="false">IF(OR(D35="",H35&lt;&gt;"อนุมัติ"),0,IF(F35="งานลด",-N(I35),N(I35)))</f>
        <v>0</v>
      </c>
      <c r="M35" s="32"/>
    </row>
    <row r="36" customFormat="false" ht="15" hidden="false" customHeight="false" outlineLevel="0" collapsed="false">
      <c r="A36" s="117" t="str">
        <f aca="false">IF(D36="","",COUNTA(D$10:D36))</f>
        <v/>
      </c>
      <c r="B36" s="20"/>
      <c r="C36" s="24"/>
      <c r="D36" s="32"/>
      <c r="E36" s="22"/>
      <c r="F36" s="20"/>
      <c r="G36" s="160"/>
      <c r="H36" s="20"/>
      <c r="I36" s="160"/>
      <c r="J36" s="24"/>
      <c r="K36" s="20"/>
      <c r="L36" s="161" t="n">
        <f aca="false">IF(OR(D36="",H36&lt;&gt;"อนุมัติ"),0,IF(F36="งานลด",-N(I36),N(I36)))</f>
        <v>0</v>
      </c>
      <c r="M36" s="32"/>
    </row>
    <row r="37" customFormat="false" ht="15" hidden="false" customHeight="false" outlineLevel="0" collapsed="false">
      <c r="A37" s="117" t="str">
        <f aca="false">IF(D37="","",COUNTA(D$10:D37))</f>
        <v/>
      </c>
      <c r="B37" s="20"/>
      <c r="C37" s="24"/>
      <c r="D37" s="32"/>
      <c r="E37" s="22"/>
      <c r="F37" s="20"/>
      <c r="G37" s="160"/>
      <c r="H37" s="20"/>
      <c r="I37" s="160"/>
      <c r="J37" s="24"/>
      <c r="K37" s="20"/>
      <c r="L37" s="161" t="n">
        <f aca="false">IF(OR(D37="",H37&lt;&gt;"อนุมัติ"),0,IF(F37="งานลด",-N(I37),N(I37)))</f>
        <v>0</v>
      </c>
      <c r="M37" s="32"/>
    </row>
    <row r="38" customFormat="false" ht="15" hidden="false" customHeight="false" outlineLevel="0" collapsed="false">
      <c r="A38" s="117" t="str">
        <f aca="false">IF(D38="","",COUNTA(D$10:D38))</f>
        <v/>
      </c>
      <c r="B38" s="20"/>
      <c r="C38" s="24"/>
      <c r="D38" s="32"/>
      <c r="E38" s="22"/>
      <c r="F38" s="20"/>
      <c r="G38" s="160"/>
      <c r="H38" s="20"/>
      <c r="I38" s="160"/>
      <c r="J38" s="24"/>
      <c r="K38" s="20"/>
      <c r="L38" s="161" t="n">
        <f aca="false">IF(OR(D38="",H38&lt;&gt;"อนุมัติ"),0,IF(F38="งานลด",-N(I38),N(I38)))</f>
        <v>0</v>
      </c>
      <c r="M38" s="32"/>
    </row>
    <row r="39" customFormat="false" ht="15" hidden="false" customHeight="false" outlineLevel="0" collapsed="false">
      <c r="A39" s="117" t="str">
        <f aca="false">IF(D39="","",COUNTA(D$10:D39))</f>
        <v/>
      </c>
      <c r="B39" s="20"/>
      <c r="C39" s="24"/>
      <c r="D39" s="32"/>
      <c r="E39" s="22"/>
      <c r="F39" s="20"/>
      <c r="G39" s="160"/>
      <c r="H39" s="20"/>
      <c r="I39" s="160"/>
      <c r="J39" s="24"/>
      <c r="K39" s="20"/>
      <c r="L39" s="161" t="n">
        <f aca="false">IF(OR(D39="",H39&lt;&gt;"อนุมัติ"),0,IF(F39="งานลด",-N(I39),N(I39)))</f>
        <v>0</v>
      </c>
      <c r="M39" s="32"/>
    </row>
    <row r="40" customFormat="false" ht="15" hidden="false" customHeight="false" outlineLevel="0" collapsed="false">
      <c r="A40" s="117" t="str">
        <f aca="false">IF(D40="","",COUNTA(D$10:D40))</f>
        <v/>
      </c>
      <c r="B40" s="20"/>
      <c r="C40" s="24"/>
      <c r="D40" s="32"/>
      <c r="E40" s="22"/>
      <c r="F40" s="20"/>
      <c r="G40" s="160"/>
      <c r="H40" s="20"/>
      <c r="I40" s="160"/>
      <c r="J40" s="24"/>
      <c r="K40" s="20"/>
      <c r="L40" s="161" t="n">
        <f aca="false">IF(OR(D40="",H40&lt;&gt;"อนุมัติ"),0,IF(F40="งานลด",-N(I40),N(I40)))</f>
        <v>0</v>
      </c>
      <c r="M40" s="32"/>
    </row>
    <row r="41" customFormat="false" ht="15" hidden="false" customHeight="false" outlineLevel="0" collapsed="false">
      <c r="A41" s="117" t="str">
        <f aca="false">IF(D41="","",COUNTA(D$10:D41))</f>
        <v/>
      </c>
      <c r="B41" s="20"/>
      <c r="C41" s="24"/>
      <c r="D41" s="32"/>
      <c r="E41" s="22"/>
      <c r="F41" s="20"/>
      <c r="G41" s="160"/>
      <c r="H41" s="20"/>
      <c r="I41" s="160"/>
      <c r="J41" s="24"/>
      <c r="K41" s="20"/>
      <c r="L41" s="161" t="n">
        <f aca="false">IF(OR(D41="",H41&lt;&gt;"อนุมัติ"),0,IF(F41="งานลด",-N(I41),N(I41)))</f>
        <v>0</v>
      </c>
      <c r="M41" s="32"/>
    </row>
    <row r="42" customFormat="false" ht="15" hidden="false" customHeight="false" outlineLevel="0" collapsed="false">
      <c r="A42" s="117" t="str">
        <f aca="false">IF(D42="","",COUNTA(D$10:D42))</f>
        <v/>
      </c>
      <c r="B42" s="20"/>
      <c r="C42" s="24"/>
      <c r="D42" s="32"/>
      <c r="E42" s="22"/>
      <c r="F42" s="20"/>
      <c r="G42" s="160"/>
      <c r="H42" s="20"/>
      <c r="I42" s="160"/>
      <c r="J42" s="24"/>
      <c r="K42" s="20"/>
      <c r="L42" s="161" t="n">
        <f aca="false">IF(OR(D42="",H42&lt;&gt;"อนุมัติ"),0,IF(F42="งานลด",-N(I42),N(I42)))</f>
        <v>0</v>
      </c>
      <c r="M42" s="32"/>
    </row>
    <row r="43" customFormat="false" ht="15" hidden="false" customHeight="false" outlineLevel="0" collapsed="false">
      <c r="A43" s="117" t="str">
        <f aca="false">IF(D43="","",COUNTA(D$10:D43))</f>
        <v/>
      </c>
      <c r="B43" s="20"/>
      <c r="C43" s="24"/>
      <c r="D43" s="32"/>
      <c r="E43" s="22"/>
      <c r="F43" s="20"/>
      <c r="G43" s="160"/>
      <c r="H43" s="20"/>
      <c r="I43" s="160"/>
      <c r="J43" s="24"/>
      <c r="K43" s="20"/>
      <c r="L43" s="161" t="n">
        <f aca="false">IF(OR(D43="",H43&lt;&gt;"อนุมัติ"),0,IF(F43="งานลด",-N(I43),N(I43)))</f>
        <v>0</v>
      </c>
      <c r="M43" s="32"/>
    </row>
    <row r="44" customFormat="false" ht="15" hidden="false" customHeight="false" outlineLevel="0" collapsed="false">
      <c r="A44" s="117" t="str">
        <f aca="false">IF(D44="","",COUNTA(D$10:D44))</f>
        <v/>
      </c>
      <c r="B44" s="20"/>
      <c r="C44" s="24"/>
      <c r="D44" s="32"/>
      <c r="E44" s="22"/>
      <c r="F44" s="20"/>
      <c r="G44" s="160"/>
      <c r="H44" s="20"/>
      <c r="I44" s="160"/>
      <c r="J44" s="24"/>
      <c r="K44" s="20"/>
      <c r="L44" s="161" t="n">
        <f aca="false">IF(OR(D44="",H44&lt;&gt;"อนุมัติ"),0,IF(F44="งานลด",-N(I44),N(I44)))</f>
        <v>0</v>
      </c>
      <c r="M44" s="32"/>
    </row>
    <row r="45" customFormat="false" ht="15" hidden="false" customHeight="false" outlineLevel="0" collapsed="false">
      <c r="A45" s="117" t="str">
        <f aca="false">IF(D45="","",COUNTA(D$10:D45))</f>
        <v/>
      </c>
      <c r="B45" s="20"/>
      <c r="C45" s="24"/>
      <c r="D45" s="32"/>
      <c r="E45" s="22"/>
      <c r="F45" s="20"/>
      <c r="G45" s="160"/>
      <c r="H45" s="20"/>
      <c r="I45" s="160"/>
      <c r="J45" s="24"/>
      <c r="K45" s="20"/>
      <c r="L45" s="161" t="n">
        <f aca="false">IF(OR(D45="",H45&lt;&gt;"อนุมัติ"),0,IF(F45="งานลด",-N(I45),N(I45)))</f>
        <v>0</v>
      </c>
      <c r="M45" s="32"/>
    </row>
    <row r="46" customFormat="false" ht="15" hidden="false" customHeight="false" outlineLevel="0" collapsed="false">
      <c r="A46" s="117" t="str">
        <f aca="false">IF(D46="","",COUNTA(D$10:D46))</f>
        <v/>
      </c>
      <c r="B46" s="20"/>
      <c r="C46" s="24"/>
      <c r="D46" s="32"/>
      <c r="E46" s="22"/>
      <c r="F46" s="20"/>
      <c r="G46" s="160"/>
      <c r="H46" s="20"/>
      <c r="I46" s="160"/>
      <c r="J46" s="24"/>
      <c r="K46" s="20"/>
      <c r="L46" s="161" t="n">
        <f aca="false">IF(OR(D46="",H46&lt;&gt;"อนุมัติ"),0,IF(F46="งานลด",-N(I46),N(I46)))</f>
        <v>0</v>
      </c>
      <c r="M46" s="32"/>
    </row>
    <row r="47" customFormat="false" ht="15" hidden="false" customHeight="false" outlineLevel="0" collapsed="false">
      <c r="A47" s="117" t="str">
        <f aca="false">IF(D47="","",COUNTA(D$10:D47))</f>
        <v/>
      </c>
      <c r="B47" s="20"/>
      <c r="C47" s="24"/>
      <c r="D47" s="32"/>
      <c r="E47" s="22"/>
      <c r="F47" s="20"/>
      <c r="G47" s="160"/>
      <c r="H47" s="20"/>
      <c r="I47" s="160"/>
      <c r="J47" s="24"/>
      <c r="K47" s="20"/>
      <c r="L47" s="161" t="n">
        <f aca="false">IF(OR(D47="",H47&lt;&gt;"อนุมัติ"),0,IF(F47="งานลด",-N(I47),N(I47)))</f>
        <v>0</v>
      </c>
      <c r="M47" s="32"/>
    </row>
    <row r="48" customFormat="false" ht="15" hidden="false" customHeight="false" outlineLevel="0" collapsed="false">
      <c r="A48" s="117" t="str">
        <f aca="false">IF(D48="","",COUNTA(D$10:D48))</f>
        <v/>
      </c>
      <c r="B48" s="20"/>
      <c r="C48" s="24"/>
      <c r="D48" s="32"/>
      <c r="E48" s="22"/>
      <c r="F48" s="20"/>
      <c r="G48" s="160"/>
      <c r="H48" s="20"/>
      <c r="I48" s="160"/>
      <c r="J48" s="24"/>
      <c r="K48" s="20"/>
      <c r="L48" s="161" t="n">
        <f aca="false">IF(OR(D48="",H48&lt;&gt;"อนุมัติ"),0,IF(F48="งานลด",-N(I48),N(I48)))</f>
        <v>0</v>
      </c>
      <c r="M48" s="32"/>
    </row>
    <row r="49" customFormat="false" ht="15" hidden="false" customHeight="false" outlineLevel="0" collapsed="false">
      <c r="A49" s="117" t="str">
        <f aca="false">IF(D49="","",COUNTA(D$10:D49))</f>
        <v/>
      </c>
      <c r="B49" s="20"/>
      <c r="C49" s="24"/>
      <c r="D49" s="32"/>
      <c r="E49" s="22"/>
      <c r="F49" s="20"/>
      <c r="G49" s="160"/>
      <c r="H49" s="20"/>
      <c r="I49" s="160"/>
      <c r="J49" s="24"/>
      <c r="K49" s="20"/>
      <c r="L49" s="161" t="n">
        <f aca="false">IF(OR(D49="",H49&lt;&gt;"อนุมัติ"),0,IF(F49="งานลด",-N(I49),N(I49)))</f>
        <v>0</v>
      </c>
      <c r="M49" s="32"/>
    </row>
    <row r="50" customFormat="false" ht="15" hidden="false" customHeight="false" outlineLevel="0" collapsed="false">
      <c r="A50" s="117" t="str">
        <f aca="false">IF(D50="","",COUNTA(D$10:D50))</f>
        <v/>
      </c>
      <c r="B50" s="20"/>
      <c r="C50" s="24"/>
      <c r="D50" s="32"/>
      <c r="E50" s="22"/>
      <c r="F50" s="20"/>
      <c r="G50" s="160"/>
      <c r="H50" s="20"/>
      <c r="I50" s="160"/>
      <c r="J50" s="24"/>
      <c r="K50" s="20"/>
      <c r="L50" s="161" t="n">
        <f aca="false">IF(OR(D50="",H50&lt;&gt;"อนุมัติ"),0,IF(F50="งานลด",-N(I50),N(I50)))</f>
        <v>0</v>
      </c>
      <c r="M50" s="32"/>
    </row>
    <row r="51" customFormat="false" ht="15" hidden="false" customHeight="false" outlineLevel="0" collapsed="false">
      <c r="A51" s="117" t="str">
        <f aca="false">IF(D51="","",COUNTA(D$10:D51))</f>
        <v/>
      </c>
      <c r="B51" s="20"/>
      <c r="C51" s="24"/>
      <c r="D51" s="32"/>
      <c r="E51" s="22"/>
      <c r="F51" s="20"/>
      <c r="G51" s="160"/>
      <c r="H51" s="20"/>
      <c r="I51" s="160"/>
      <c r="J51" s="24"/>
      <c r="K51" s="20"/>
      <c r="L51" s="161" t="n">
        <f aca="false">IF(OR(D51="",H51&lt;&gt;"อนุมัติ"),0,IF(F51="งานลด",-N(I51),N(I51)))</f>
        <v>0</v>
      </c>
      <c r="M51" s="32"/>
    </row>
    <row r="52" customFormat="false" ht="15" hidden="false" customHeight="false" outlineLevel="0" collapsed="false">
      <c r="A52" s="117" t="str">
        <f aca="false">IF(D52="","",COUNTA(D$10:D52))</f>
        <v/>
      </c>
      <c r="B52" s="20"/>
      <c r="C52" s="24"/>
      <c r="D52" s="32"/>
      <c r="E52" s="22"/>
      <c r="F52" s="20"/>
      <c r="G52" s="160"/>
      <c r="H52" s="20"/>
      <c r="I52" s="160"/>
      <c r="J52" s="24"/>
      <c r="K52" s="20"/>
      <c r="L52" s="161" t="n">
        <f aca="false">IF(OR(D52="",H52&lt;&gt;"อนุมัติ"),0,IF(F52="งานลด",-N(I52),N(I52)))</f>
        <v>0</v>
      </c>
      <c r="M52" s="32"/>
    </row>
    <row r="53" customFormat="false" ht="15" hidden="false" customHeight="false" outlineLevel="0" collapsed="false">
      <c r="A53" s="117" t="str">
        <f aca="false">IF(D53="","",COUNTA(D$10:D53))</f>
        <v/>
      </c>
      <c r="B53" s="20"/>
      <c r="C53" s="24"/>
      <c r="D53" s="32"/>
      <c r="E53" s="22"/>
      <c r="F53" s="20"/>
      <c r="G53" s="160"/>
      <c r="H53" s="20"/>
      <c r="I53" s="160"/>
      <c r="J53" s="24"/>
      <c r="K53" s="20"/>
      <c r="L53" s="161" t="n">
        <f aca="false">IF(OR(D53="",H53&lt;&gt;"อนุมัติ"),0,IF(F53="งานลด",-N(I53),N(I53)))</f>
        <v>0</v>
      </c>
      <c r="M53" s="32"/>
    </row>
    <row r="54" customFormat="false" ht="15" hidden="false" customHeight="false" outlineLevel="0" collapsed="false">
      <c r="A54" s="117" t="str">
        <f aca="false">IF(D54="","",COUNTA(D$10:D54))</f>
        <v/>
      </c>
      <c r="B54" s="20"/>
      <c r="C54" s="24"/>
      <c r="D54" s="32"/>
      <c r="E54" s="22"/>
      <c r="F54" s="20"/>
      <c r="G54" s="160"/>
      <c r="H54" s="20"/>
      <c r="I54" s="160"/>
      <c r="J54" s="24"/>
      <c r="K54" s="20"/>
      <c r="L54" s="161" t="n">
        <f aca="false">IF(OR(D54="",H54&lt;&gt;"อนุมัติ"),0,IF(F54="งานลด",-N(I54),N(I54)))</f>
        <v>0</v>
      </c>
      <c r="M54" s="32"/>
    </row>
    <row r="55" customFormat="false" ht="15" hidden="false" customHeight="false" outlineLevel="0" collapsed="false">
      <c r="A55" s="117" t="str">
        <f aca="false">IF(D55="","",COUNTA(D$10:D55))</f>
        <v/>
      </c>
      <c r="B55" s="20"/>
      <c r="C55" s="24"/>
      <c r="D55" s="32"/>
      <c r="E55" s="22"/>
      <c r="F55" s="20"/>
      <c r="G55" s="160"/>
      <c r="H55" s="20"/>
      <c r="I55" s="160"/>
      <c r="J55" s="24"/>
      <c r="K55" s="20"/>
      <c r="L55" s="161" t="n">
        <f aca="false">IF(OR(D55="",H55&lt;&gt;"อนุมัติ"),0,IF(F55="งานลด",-N(I55),N(I55)))</f>
        <v>0</v>
      </c>
      <c r="M55" s="32"/>
    </row>
    <row r="56" customFormat="false" ht="15" hidden="false" customHeight="false" outlineLevel="0" collapsed="false">
      <c r="A56" s="117" t="str">
        <f aca="false">IF(D56="","",COUNTA(D$10:D56))</f>
        <v/>
      </c>
      <c r="B56" s="20"/>
      <c r="C56" s="24"/>
      <c r="D56" s="32"/>
      <c r="E56" s="22"/>
      <c r="F56" s="20"/>
      <c r="G56" s="160"/>
      <c r="H56" s="20"/>
      <c r="I56" s="160"/>
      <c r="J56" s="24"/>
      <c r="K56" s="20"/>
      <c r="L56" s="161" t="n">
        <f aca="false">IF(OR(D56="",H56&lt;&gt;"อนุมัติ"),0,IF(F56="งานลด",-N(I56),N(I56)))</f>
        <v>0</v>
      </c>
      <c r="M56" s="32"/>
    </row>
    <row r="57" customFormat="false" ht="15" hidden="false" customHeight="false" outlineLevel="0" collapsed="false">
      <c r="A57" s="117" t="str">
        <f aca="false">IF(D57="","",COUNTA(D$10:D57))</f>
        <v/>
      </c>
      <c r="B57" s="20"/>
      <c r="C57" s="24"/>
      <c r="D57" s="32"/>
      <c r="E57" s="22"/>
      <c r="F57" s="20"/>
      <c r="G57" s="160"/>
      <c r="H57" s="20"/>
      <c r="I57" s="160"/>
      <c r="J57" s="24"/>
      <c r="K57" s="20"/>
      <c r="L57" s="161" t="n">
        <f aca="false">IF(OR(D57="",H57&lt;&gt;"อนุมัติ"),0,IF(F57="งานลด",-N(I57),N(I57)))</f>
        <v>0</v>
      </c>
      <c r="M57" s="32"/>
    </row>
    <row r="58" customFormat="false" ht="15" hidden="false" customHeight="false" outlineLevel="0" collapsed="false">
      <c r="A58" s="117" t="str">
        <f aca="false">IF(D58="","",COUNTA(D$10:D58))</f>
        <v/>
      </c>
      <c r="B58" s="20"/>
      <c r="C58" s="24"/>
      <c r="D58" s="32"/>
      <c r="E58" s="22"/>
      <c r="F58" s="20"/>
      <c r="G58" s="160"/>
      <c r="H58" s="20"/>
      <c r="I58" s="160"/>
      <c r="J58" s="24"/>
      <c r="K58" s="20"/>
      <c r="L58" s="161" t="n">
        <f aca="false">IF(OR(D58="",H58&lt;&gt;"อนุมัติ"),0,IF(F58="งานลด",-N(I58),N(I58)))</f>
        <v>0</v>
      </c>
      <c r="M58" s="32"/>
    </row>
    <row r="59" customFormat="false" ht="15" hidden="false" customHeight="false" outlineLevel="0" collapsed="false">
      <c r="A59" s="117" t="str">
        <f aca="false">IF(D59="","",COUNTA(D$10:D59))</f>
        <v/>
      </c>
      <c r="B59" s="20"/>
      <c r="C59" s="24"/>
      <c r="D59" s="32"/>
      <c r="E59" s="22"/>
      <c r="F59" s="20"/>
      <c r="G59" s="160"/>
      <c r="H59" s="20"/>
      <c r="I59" s="160"/>
      <c r="J59" s="24"/>
      <c r="K59" s="20"/>
      <c r="L59" s="161" t="n">
        <f aca="false">IF(OR(D59="",H59&lt;&gt;"อนุมัติ"),0,IF(F59="งานลด",-N(I59),N(I59)))</f>
        <v>0</v>
      </c>
      <c r="M59" s="32"/>
    </row>
  </sheetData>
  <sheetProtection sheet="true" formatCells="false" formatColumns="false" formatRows="false"/>
  <mergeCells count="5">
    <mergeCell ref="A3:B3"/>
    <mergeCell ref="A4:B4"/>
    <mergeCell ref="A5:B5"/>
    <mergeCell ref="A6:B6"/>
    <mergeCell ref="A7:B7"/>
  </mergeCells>
  <conditionalFormatting sqref="H10:H59">
    <cfRule type="expression" priority="2" aboveAverage="0" equalAverage="0" bottom="0" percent="0" rank="0" text="" dxfId="10">
      <formula>H10="รอพิจารณา"</formula>
    </cfRule>
    <cfRule type="expression" priority="3" aboveAverage="0" equalAverage="0" bottom="0" percent="0" rank="0" text="" dxfId="12">
      <formula>H10="อนุมัติ"</formula>
    </cfRule>
  </conditionalFormatting>
  <conditionalFormatting sqref="L10:L59">
    <cfRule type="expression" priority="4" aboveAverage="0" equalAverage="0" bottom="0" percent="0" rank="0" text="" dxfId="14">
      <formula>L10&lt;0</formula>
    </cfRule>
  </conditionalFormatting>
  <dataValidations count="3">
    <dataValidation allowBlank="false" errorStyle="stop" operator="between" showDropDown="false" showErrorMessage="false" showInputMessage="false" sqref="F10:F59" type="list">
      <formula1>"งานเพิ่ม,งานลด"</formula1>
      <formula2>0</formula2>
    </dataValidation>
    <dataValidation allowBlank="false" errorStyle="stop" operator="between" showDropDown="false" showErrorMessage="false" showInputMessage="false" sqref="H10:H59" type="list">
      <formula1>"รอพิจารณา,อนุมัติ,ไม่อนุมัติ"</formula1>
      <formula2>0</formula2>
    </dataValidation>
    <dataValidation allowBlank="true" errorStyle="stop" operator="between" showDropDown="false" showErrorMessage="false" showInputMessage="false" sqref="E10:E59" type="list">
      <formula1>'แผนงาน Schedule'!$A$7:$A$156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2"/>
    <col collapsed="false" customWidth="true" hidden="false" outlineLevel="0" max="3" min="3" style="1" width="15"/>
    <col collapsed="false" customWidth="true" hidden="false" outlineLevel="0" max="4" min="4" style="1" width="17"/>
    <col collapsed="false" customWidth="true" hidden="false" outlineLevel="0" max="5" min="5" style="1" width="15"/>
    <col collapsed="false" customWidth="true" hidden="false" outlineLevel="0" max="11" min="6" style="1" width="9"/>
    <col collapsed="false" customWidth="true" hidden="false" outlineLevel="0" max="14" min="12" style="1" width="14"/>
    <col collapsed="false" customWidth="true" hidden="false" outlineLevel="0" max="15" min="15" style="1" width="13"/>
    <col collapsed="false" customWidth="true" hidden="false" outlineLevel="0" max="16" min="16" style="1" width="16"/>
    <col collapsed="false" customWidth="true" hidden="false" outlineLevel="0" max="17" min="17" style="1" width="18"/>
  </cols>
  <sheetData>
    <row r="1" customFormat="false" ht="20.1" hidden="false" customHeight="false" outlineLevel="0" collapsed="false">
      <c r="A1" s="2" t="s">
        <v>623</v>
      </c>
    </row>
    <row r="2" customFormat="false" ht="15" hidden="false" customHeight="false" outlineLevel="0" collapsed="false">
      <c r="A2" s="17" t="s">
        <v>624</v>
      </c>
    </row>
    <row r="3" customFormat="false" ht="15" hidden="false" customHeight="true" outlineLevel="0" collapsed="false">
      <c r="A3" s="18" t="s">
        <v>625</v>
      </c>
      <c r="B3" s="18"/>
      <c r="C3" s="18"/>
      <c r="D3" s="18" t="s">
        <v>626</v>
      </c>
      <c r="F3" s="18" t="s">
        <v>627</v>
      </c>
      <c r="G3" s="18"/>
      <c r="H3" s="18" t="s">
        <v>628</v>
      </c>
      <c r="I3" s="59" t="s">
        <v>629</v>
      </c>
      <c r="J3" s="106" t="s">
        <v>630</v>
      </c>
      <c r="K3" s="106"/>
      <c r="L3" s="18" t="s">
        <v>631</v>
      </c>
      <c r="M3" s="18"/>
      <c r="N3" s="18" t="s">
        <v>632</v>
      </c>
    </row>
    <row r="4" customFormat="false" ht="15" hidden="false" customHeight="false" outlineLevel="0" collapsed="false">
      <c r="A4" s="89" t="s">
        <v>633</v>
      </c>
      <c r="B4" s="89"/>
      <c r="C4" s="89"/>
      <c r="D4" s="162" t="n">
        <f aca="false">'งานเพิ่มลด VO'!C6</f>
        <v>24552000</v>
      </c>
      <c r="F4" s="89" t="s">
        <v>634</v>
      </c>
      <c r="G4" s="89"/>
      <c r="H4" s="163" t="n">
        <v>0.25</v>
      </c>
      <c r="I4" s="33"/>
      <c r="J4" s="164"/>
      <c r="K4" s="164"/>
      <c r="L4" s="89" t="s">
        <v>635</v>
      </c>
      <c r="M4" s="89"/>
      <c r="N4" s="162" t="n">
        <f aca="false">D6-SUMIF(Q15:Q34,"ตรวจรับแล้ว",M15:M34)</f>
        <v>3630000</v>
      </c>
    </row>
    <row r="5" customFormat="false" ht="15" hidden="false" customHeight="false" outlineLevel="0" collapsed="false">
      <c r="A5" s="89" t="s">
        <v>636</v>
      </c>
      <c r="B5" s="89"/>
      <c r="C5" s="89"/>
      <c r="D5" s="165" t="n">
        <v>0.15</v>
      </c>
      <c r="F5" s="92" t="s">
        <v>637</v>
      </c>
      <c r="G5" s="92"/>
      <c r="H5" s="163" t="n">
        <v>0.15</v>
      </c>
      <c r="I5" s="163" t="n">
        <v>100</v>
      </c>
      <c r="J5" s="166" t="s">
        <v>638</v>
      </c>
      <c r="K5" s="166"/>
      <c r="L5" s="89" t="s">
        <v>639</v>
      </c>
      <c r="M5" s="89"/>
      <c r="N5" s="162" t="n">
        <f aca="false">SUMIF(Q15:Q34,"ตรวจรับแล้ว",N15:N34)</f>
        <v>0</v>
      </c>
    </row>
    <row r="6" customFormat="false" ht="15" hidden="false" customHeight="false" outlineLevel="0" collapsed="false">
      <c r="A6" s="89" t="s">
        <v>640</v>
      </c>
      <c r="B6" s="89"/>
      <c r="C6" s="89"/>
      <c r="D6" s="167" t="n">
        <f aca="false">'ตั้งค่า Setup'!$C$9*D5</f>
        <v>3630000</v>
      </c>
      <c r="F6" s="92" t="s">
        <v>641</v>
      </c>
      <c r="G6" s="92"/>
      <c r="H6" s="163" t="n">
        <v>0.1</v>
      </c>
      <c r="I6" s="163" t="n">
        <v>100</v>
      </c>
      <c r="J6" s="166" t="s">
        <v>642</v>
      </c>
      <c r="K6" s="166"/>
      <c r="L6" s="89" t="s">
        <v>643</v>
      </c>
      <c r="M6" s="89"/>
      <c r="N6" s="162" t="n">
        <f aca="false">SUMIF(Q15:Q34,"ตรวจรับแล้ว",P15:P34)</f>
        <v>0</v>
      </c>
    </row>
    <row r="7" customFormat="false" ht="15" hidden="false" customHeight="false" outlineLevel="0" collapsed="false">
      <c r="A7" s="89" t="s">
        <v>644</v>
      </c>
      <c r="B7" s="89"/>
      <c r="C7" s="89"/>
      <c r="D7" s="165" t="n">
        <v>0.05</v>
      </c>
      <c r="F7" s="92" t="s">
        <v>645</v>
      </c>
      <c r="G7" s="92"/>
      <c r="H7" s="163" t="n">
        <v>0.4</v>
      </c>
      <c r="I7" s="163" t="n">
        <v>100</v>
      </c>
      <c r="J7" s="166" t="s">
        <v>646</v>
      </c>
      <c r="K7" s="166"/>
    </row>
    <row r="8" customFormat="false" ht="15" hidden="false" customHeight="false" outlineLevel="0" collapsed="false">
      <c r="A8" s="89" t="s">
        <v>647</v>
      </c>
      <c r="B8" s="89"/>
      <c r="C8" s="89"/>
      <c r="D8" s="165" t="n">
        <v>0.04</v>
      </c>
      <c r="F8" s="92" t="s">
        <v>648</v>
      </c>
      <c r="G8" s="92"/>
      <c r="H8" s="163" t="n">
        <v>0.1</v>
      </c>
      <c r="I8" s="163" t="n">
        <v>100</v>
      </c>
      <c r="J8" s="166" t="s">
        <v>649</v>
      </c>
      <c r="K8" s="166"/>
    </row>
    <row r="9" customFormat="false" ht="15" hidden="false" customHeight="false" outlineLevel="0" collapsed="false">
      <c r="A9" s="89" t="s">
        <v>650</v>
      </c>
      <c r="B9" s="89"/>
      <c r="C9" s="89"/>
      <c r="D9" s="20" t="s">
        <v>651</v>
      </c>
      <c r="F9" s="92" t="s">
        <v>652</v>
      </c>
      <c r="G9" s="92"/>
      <c r="H9" s="163" t="n">
        <v>0</v>
      </c>
      <c r="I9" s="163"/>
      <c r="J9" s="166"/>
      <c r="K9" s="166"/>
    </row>
    <row r="10" customFormat="false" ht="15" hidden="false" customHeight="false" outlineLevel="0" collapsed="false">
      <c r="A10" s="89" t="s">
        <v>653</v>
      </c>
      <c r="B10" s="89"/>
      <c r="C10" s="89"/>
      <c r="D10" s="44" t="n">
        <f aca="false">H4+SUM(H5:H9)</f>
        <v>1</v>
      </c>
      <c r="F10" s="168" t="s">
        <v>654</v>
      </c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</row>
    <row r="14" customFormat="false" ht="36" hidden="false" customHeight="true" outlineLevel="0" collapsed="false">
      <c r="A14" s="18" t="s">
        <v>557</v>
      </c>
      <c r="B14" s="18" t="s">
        <v>655</v>
      </c>
      <c r="C14" s="18" t="s">
        <v>656</v>
      </c>
      <c r="D14" s="59" t="s">
        <v>657</v>
      </c>
      <c r="E14" s="18" t="s">
        <v>658</v>
      </c>
      <c r="F14" s="59" t="s">
        <v>659</v>
      </c>
      <c r="G14" s="59" t="s">
        <v>660</v>
      </c>
      <c r="H14" s="59" t="s">
        <v>661</v>
      </c>
      <c r="I14" s="59" t="s">
        <v>662</v>
      </c>
      <c r="J14" s="59" t="s">
        <v>663</v>
      </c>
      <c r="K14" s="18" t="s">
        <v>664</v>
      </c>
      <c r="L14" s="18" t="s">
        <v>665</v>
      </c>
      <c r="M14" s="18" t="s">
        <v>666</v>
      </c>
      <c r="N14" s="18" t="s">
        <v>667</v>
      </c>
      <c r="O14" s="18" t="s">
        <v>668</v>
      </c>
      <c r="P14" s="18" t="s">
        <v>669</v>
      </c>
      <c r="Q14" s="18" t="s">
        <v>670</v>
      </c>
    </row>
    <row r="15" customFormat="false" ht="15" hidden="false" customHeight="false" outlineLevel="0" collapsed="false">
      <c r="A15" s="61" t="n">
        <f aca="false">IF('งวดงาน Installments'!B7="","",'งวดงาน Installments'!A7)</f>
        <v>1</v>
      </c>
      <c r="B15" s="65" t="str">
        <f aca="false">IF(A15="","",IF('งวดงาน Installments'!H7&lt;&gt;"",'งวดงาน Installments'!H7,IF('งวดงาน Installments'!G7&lt;&gt;"",'งวดงาน Installments'!G7,"")))</f>
        <v/>
      </c>
      <c r="C15" s="169" t="n">
        <f aca="false">IF(A15="","",N('งวดงาน Installments'!E7))</f>
        <v>3630000</v>
      </c>
      <c r="D15" s="160"/>
      <c r="E15" s="169" t="n">
        <f aca="false">IF(A15="","",C15+N(D15))</f>
        <v>3630000</v>
      </c>
      <c r="F15" s="163" t="n">
        <v>104.2</v>
      </c>
      <c r="G15" s="163" t="n">
        <v>101.5</v>
      </c>
      <c r="H15" s="163" t="n">
        <v>106.8</v>
      </c>
      <c r="I15" s="163" t="n">
        <v>112</v>
      </c>
      <c r="J15" s="163"/>
      <c r="K15" s="170" t="n">
        <f aca="false">IF(OR(A15="",$D$9&lt;&gt;"ใช้",OR(COUNT(F15:J15)=0,AND($H$5&gt;0,F15=""),AND($H$6&gt;0,G15=""),AND($H$7&gt;0,H15=""),AND($H$8&gt;0,I15=""),AND($H$9&gt;0,J15=""))),"",$H$4+IF($I$5&gt;0,$H$5*F15/$I$5,0)+IF($I$6&gt;0,$H$6*G15/$I$6,0)+IF($I$7&gt;0,$H$7*H15/$I$7,0)+IF($I$8&gt;0,$H$8*I15/$I$8,0)+IF($I$9&gt;0,$H$9*J15/$I$9,0))</f>
        <v>1.047</v>
      </c>
      <c r="L15" s="169" t="n">
        <f aca="false">IF(K15="","",IF(K15&gt;1+$D$8,E15*(K15-1-$D$8),IF(K15&lt;1-$D$8,E15*(K15-1+$D$8),0)))</f>
        <v>25410.0000000006</v>
      </c>
      <c r="M15" s="169" t="n">
        <f aca="false">IF(A15="","",E15*$D$5)</f>
        <v>544500</v>
      </c>
      <c r="N15" s="169" t="n">
        <f aca="false">IF(A15="","",E15*$D$7)</f>
        <v>181500</v>
      </c>
      <c r="O15" s="160"/>
      <c r="P15" s="169" t="n">
        <f aca="false">IF(A15="","",E15+N(L15)-M15-N15-N(O15))</f>
        <v>2929410</v>
      </c>
      <c r="Q15" s="61" t="str">
        <f aca="false">IF(A15="","",'งวดงาน Installments'!K7)</f>
        <v>เกินกำหนด</v>
      </c>
    </row>
    <row r="16" customFormat="false" ht="15" hidden="false" customHeight="false" outlineLevel="0" collapsed="false">
      <c r="A16" s="61" t="n">
        <f aca="false">IF('งวดงาน Installments'!B8="","",'งวดงาน Installments'!A8)</f>
        <v>2</v>
      </c>
      <c r="B16" s="65" t="str">
        <f aca="false">IF(A16="","",IF('งวดงาน Installments'!H8&lt;&gt;"",'งวดงาน Installments'!H8,IF('งวดงาน Installments'!G8&lt;&gt;"",'งวดงาน Installments'!G8,"")))</f>
        <v/>
      </c>
      <c r="C16" s="169" t="n">
        <f aca="false">IF(A16="","",N('งวดงาน Installments'!E8))</f>
        <v>4840000</v>
      </c>
      <c r="D16" s="160"/>
      <c r="E16" s="169" t="n">
        <f aca="false">IF(A16="","",C16+N(D16))</f>
        <v>4840000</v>
      </c>
      <c r="F16" s="163"/>
      <c r="G16" s="163"/>
      <c r="H16" s="163"/>
      <c r="I16" s="163"/>
      <c r="J16" s="163"/>
      <c r="K16" s="170" t="str">
        <f aca="false">IF(OR(A16="",$D$9&lt;&gt;"ใช้",OR(COUNT(F16:J16)=0,AND($H$5&gt;0,F16=""),AND($H$6&gt;0,G16=""),AND($H$7&gt;0,H16=""),AND($H$8&gt;0,I16=""),AND($H$9&gt;0,J16=""))),"",$H$4+IF($I$5&gt;0,$H$5*F16/$I$5,0)+IF($I$6&gt;0,$H$6*G16/$I$6,0)+IF($I$7&gt;0,$H$7*H16/$I$7,0)+IF($I$8&gt;0,$H$8*I16/$I$8,0)+IF($I$9&gt;0,$H$9*J16/$I$9,0))</f>
        <v/>
      </c>
      <c r="L16" s="169" t="str">
        <f aca="false">IF(K16="","",IF(K16&gt;1+$D$8,E16*(K16-1-$D$8),IF(K16&lt;1-$D$8,E16*(K16-1+$D$8),0)))</f>
        <v/>
      </c>
      <c r="M16" s="169" t="n">
        <f aca="false">IF(A16="","",E16*$D$5)</f>
        <v>726000</v>
      </c>
      <c r="N16" s="169" t="n">
        <f aca="false">IF(A16="","",E16*$D$7)</f>
        <v>242000</v>
      </c>
      <c r="O16" s="160"/>
      <c r="P16" s="169" t="n">
        <f aca="false">IF(A16="","",E16+N(L16)-M16-N16-N(O16))</f>
        <v>3872000</v>
      </c>
      <c r="Q16" s="61" t="str">
        <f aca="false">IF(A16="","",'งวดงาน Installments'!K8)</f>
        <v>ยังไม่ถึงกำหนด</v>
      </c>
    </row>
    <row r="17" customFormat="false" ht="15" hidden="false" customHeight="false" outlineLevel="0" collapsed="false">
      <c r="A17" s="61" t="n">
        <f aca="false">IF('งวดงาน Installments'!B9="","",'งวดงาน Installments'!A9)</f>
        <v>3</v>
      </c>
      <c r="B17" s="65" t="str">
        <f aca="false">IF(A17="","",IF('งวดงาน Installments'!H9&lt;&gt;"",'งวดงาน Installments'!H9,IF('งวดงาน Installments'!G9&lt;&gt;"",'งวดงาน Installments'!G9,"")))</f>
        <v/>
      </c>
      <c r="C17" s="169" t="n">
        <f aca="false">IF(A17="","",N('งวดงาน Installments'!E9))</f>
        <v>6050000</v>
      </c>
      <c r="D17" s="160"/>
      <c r="E17" s="169" t="n">
        <f aca="false">IF(A17="","",C17+N(D17))</f>
        <v>6050000</v>
      </c>
      <c r="F17" s="163"/>
      <c r="G17" s="163"/>
      <c r="H17" s="163"/>
      <c r="I17" s="163"/>
      <c r="J17" s="163"/>
      <c r="K17" s="170" t="str">
        <f aca="false">IF(OR(A17="",$D$9&lt;&gt;"ใช้",OR(COUNT(F17:J17)=0,AND($H$5&gt;0,F17=""),AND($H$6&gt;0,G17=""),AND($H$7&gt;0,H17=""),AND($H$8&gt;0,I17=""),AND($H$9&gt;0,J17=""))),"",$H$4+IF($I$5&gt;0,$H$5*F17/$I$5,0)+IF($I$6&gt;0,$H$6*G17/$I$6,0)+IF($I$7&gt;0,$H$7*H17/$I$7,0)+IF($I$8&gt;0,$H$8*I17/$I$8,0)+IF($I$9&gt;0,$H$9*J17/$I$9,0))</f>
        <v/>
      </c>
      <c r="L17" s="169" t="str">
        <f aca="false">IF(K17="","",IF(K17&gt;1+$D$8,E17*(K17-1-$D$8),IF(K17&lt;1-$D$8,E17*(K17-1+$D$8),0)))</f>
        <v/>
      </c>
      <c r="M17" s="169" t="n">
        <f aca="false">IF(A17="","",E17*$D$5)</f>
        <v>907500</v>
      </c>
      <c r="N17" s="169" t="n">
        <f aca="false">IF(A17="","",E17*$D$7)</f>
        <v>302500</v>
      </c>
      <c r="O17" s="160"/>
      <c r="P17" s="169" t="n">
        <f aca="false">IF(A17="","",E17+N(L17)-M17-N17-N(O17))</f>
        <v>4840000</v>
      </c>
      <c r="Q17" s="61" t="str">
        <f aca="false">IF(A17="","",'งวดงาน Installments'!K9)</f>
        <v>ยังไม่ถึงกำหนด</v>
      </c>
    </row>
    <row r="18" customFormat="false" ht="15" hidden="false" customHeight="false" outlineLevel="0" collapsed="false">
      <c r="A18" s="61" t="n">
        <f aca="false">IF('งวดงาน Installments'!B10="","",'งวดงาน Installments'!A10)</f>
        <v>4</v>
      </c>
      <c r="B18" s="65" t="str">
        <f aca="false">IF(A18="","",IF('งวดงาน Installments'!H10&lt;&gt;"",'งวดงาน Installments'!H10,IF('งวดงาน Installments'!G10&lt;&gt;"",'งวดงาน Installments'!G10,"")))</f>
        <v/>
      </c>
      <c r="C18" s="169" t="n">
        <f aca="false">IF(A18="","",N('งวดงาน Installments'!E10))</f>
        <v>4840000</v>
      </c>
      <c r="D18" s="160"/>
      <c r="E18" s="169" t="n">
        <f aca="false">IF(A18="","",C18+N(D18))</f>
        <v>4840000</v>
      </c>
      <c r="F18" s="163"/>
      <c r="G18" s="163"/>
      <c r="H18" s="163"/>
      <c r="I18" s="163"/>
      <c r="J18" s="163"/>
      <c r="K18" s="170" t="str">
        <f aca="false">IF(OR(A18="",$D$9&lt;&gt;"ใช้",OR(COUNT(F18:J18)=0,AND($H$5&gt;0,F18=""),AND($H$6&gt;0,G18=""),AND($H$7&gt;0,H18=""),AND($H$8&gt;0,I18=""),AND($H$9&gt;0,J18=""))),"",$H$4+IF($I$5&gt;0,$H$5*F18/$I$5,0)+IF($I$6&gt;0,$H$6*G18/$I$6,0)+IF($I$7&gt;0,$H$7*H18/$I$7,0)+IF($I$8&gt;0,$H$8*I18/$I$8,0)+IF($I$9&gt;0,$H$9*J18/$I$9,0))</f>
        <v/>
      </c>
      <c r="L18" s="169" t="str">
        <f aca="false">IF(K18="","",IF(K18&gt;1+$D$8,E18*(K18-1-$D$8),IF(K18&lt;1-$D$8,E18*(K18-1+$D$8),0)))</f>
        <v/>
      </c>
      <c r="M18" s="169" t="n">
        <f aca="false">IF(A18="","",E18*$D$5)</f>
        <v>726000</v>
      </c>
      <c r="N18" s="169" t="n">
        <f aca="false">IF(A18="","",E18*$D$7)</f>
        <v>242000</v>
      </c>
      <c r="O18" s="160"/>
      <c r="P18" s="169" t="n">
        <f aca="false">IF(A18="","",E18+N(L18)-M18-N18-N(O18))</f>
        <v>3872000</v>
      </c>
      <c r="Q18" s="61" t="str">
        <f aca="false">IF(A18="","",'งวดงาน Installments'!K10)</f>
        <v>ยังไม่ถึงกำหนด</v>
      </c>
    </row>
    <row r="19" customFormat="false" ht="15" hidden="false" customHeight="false" outlineLevel="0" collapsed="false">
      <c r="A19" s="61" t="n">
        <f aca="false">IF('งวดงาน Installments'!B11="","",'งวดงาน Installments'!A11)</f>
        <v>5</v>
      </c>
      <c r="B19" s="65" t="str">
        <f aca="false">IF(A19="","",IF('งวดงาน Installments'!H11&lt;&gt;"",'งวดงาน Installments'!H11,IF('งวดงาน Installments'!G11&lt;&gt;"",'งวดงาน Installments'!G11,"")))</f>
        <v/>
      </c>
      <c r="C19" s="169" t="n">
        <f aca="false">IF(A19="","",N('งวดงาน Installments'!E11))</f>
        <v>4840000</v>
      </c>
      <c r="D19" s="160"/>
      <c r="E19" s="169" t="n">
        <f aca="false">IF(A19="","",C19+N(D19))</f>
        <v>4840000</v>
      </c>
      <c r="F19" s="163"/>
      <c r="G19" s="163"/>
      <c r="H19" s="163"/>
      <c r="I19" s="163"/>
      <c r="J19" s="163"/>
      <c r="K19" s="170" t="str">
        <f aca="false">IF(OR(A19="",$D$9&lt;&gt;"ใช้",OR(COUNT(F19:J19)=0,AND($H$5&gt;0,F19=""),AND($H$6&gt;0,G19=""),AND($H$7&gt;0,H19=""),AND($H$8&gt;0,I19=""),AND($H$9&gt;0,J19=""))),"",$H$4+IF($I$5&gt;0,$H$5*F19/$I$5,0)+IF($I$6&gt;0,$H$6*G19/$I$6,0)+IF($I$7&gt;0,$H$7*H19/$I$7,0)+IF($I$8&gt;0,$H$8*I19/$I$8,0)+IF($I$9&gt;0,$H$9*J19/$I$9,0))</f>
        <v/>
      </c>
      <c r="L19" s="169" t="str">
        <f aca="false">IF(K19="","",IF(K19&gt;1+$D$8,E19*(K19-1-$D$8),IF(K19&lt;1-$D$8,E19*(K19-1+$D$8),0)))</f>
        <v/>
      </c>
      <c r="M19" s="169" t="n">
        <f aca="false">IF(A19="","",E19*$D$5)</f>
        <v>726000</v>
      </c>
      <c r="N19" s="169" t="n">
        <f aca="false">IF(A19="","",E19*$D$7)</f>
        <v>242000</v>
      </c>
      <c r="O19" s="160"/>
      <c r="P19" s="169" t="n">
        <f aca="false">IF(A19="","",E19+N(L19)-M19-N19-N(O19))</f>
        <v>3872000</v>
      </c>
      <c r="Q19" s="61" t="str">
        <f aca="false">IF(A19="","",'งวดงาน Installments'!K11)</f>
        <v>ยังไม่ถึงกำหนด</v>
      </c>
    </row>
    <row r="20" customFormat="false" ht="15" hidden="false" customHeight="false" outlineLevel="0" collapsed="false">
      <c r="A20" s="61" t="str">
        <f aca="false">IF('งวดงาน Installments'!B12="","",'งวดงาน Installments'!A12)</f>
        <v/>
      </c>
      <c r="B20" s="65" t="str">
        <f aca="false">IF(A20="","",IF('งวดงาน Installments'!H12&lt;&gt;"",'งวดงาน Installments'!H12,IF('งวดงาน Installments'!G12&lt;&gt;"",'งวดงาน Installments'!G12,"")))</f>
        <v/>
      </c>
      <c r="C20" s="169" t="str">
        <f aca="false">IF(A20="","",N('งวดงาน Installments'!E12))</f>
        <v/>
      </c>
      <c r="D20" s="160"/>
      <c r="E20" s="169" t="str">
        <f aca="false">IF(A20="","",C20+N(D20))</f>
        <v/>
      </c>
      <c r="F20" s="163"/>
      <c r="G20" s="163"/>
      <c r="H20" s="163"/>
      <c r="I20" s="163"/>
      <c r="J20" s="163"/>
      <c r="K20" s="170" t="str">
        <f aca="false">IF(OR(A20="",$D$9&lt;&gt;"ใช้",OR(COUNT(F20:J20)=0,AND($H$5&gt;0,F20=""),AND($H$6&gt;0,G20=""),AND($H$7&gt;0,H20=""),AND($H$8&gt;0,I20=""),AND($H$9&gt;0,J20=""))),"",$H$4+IF($I$5&gt;0,$H$5*F20/$I$5,0)+IF($I$6&gt;0,$H$6*G20/$I$6,0)+IF($I$7&gt;0,$H$7*H20/$I$7,0)+IF($I$8&gt;0,$H$8*I20/$I$8,0)+IF($I$9&gt;0,$H$9*J20/$I$9,0))</f>
        <v/>
      </c>
      <c r="L20" s="169" t="str">
        <f aca="false">IF(K20="","",IF(K20&gt;1+$D$8,E20*(K20-1-$D$8),IF(K20&lt;1-$D$8,E20*(K20-1+$D$8),0)))</f>
        <v/>
      </c>
      <c r="M20" s="169" t="str">
        <f aca="false">IF(A20="","",E20*$D$5)</f>
        <v/>
      </c>
      <c r="N20" s="169" t="str">
        <f aca="false">IF(A20="","",E20*$D$7)</f>
        <v/>
      </c>
      <c r="O20" s="160"/>
      <c r="P20" s="169" t="str">
        <f aca="false">IF(A20="","",E20+N(L20)-M20-N20-N(O20))</f>
        <v/>
      </c>
      <c r="Q20" s="61" t="str">
        <f aca="false">IF(A20="","",'งวดงาน Installments'!K12)</f>
        <v/>
      </c>
    </row>
    <row r="21" customFormat="false" ht="15" hidden="false" customHeight="false" outlineLevel="0" collapsed="false">
      <c r="A21" s="61" t="str">
        <f aca="false">IF('งวดงาน Installments'!B13="","",'งวดงาน Installments'!A13)</f>
        <v/>
      </c>
      <c r="B21" s="65" t="str">
        <f aca="false">IF(A21="","",IF('งวดงาน Installments'!H13&lt;&gt;"",'งวดงาน Installments'!H13,IF('งวดงาน Installments'!G13&lt;&gt;"",'งวดงาน Installments'!G13,"")))</f>
        <v/>
      </c>
      <c r="C21" s="169" t="str">
        <f aca="false">IF(A21="","",N('งวดงาน Installments'!E13))</f>
        <v/>
      </c>
      <c r="D21" s="160"/>
      <c r="E21" s="169" t="str">
        <f aca="false">IF(A21="","",C21+N(D21))</f>
        <v/>
      </c>
      <c r="F21" s="163"/>
      <c r="G21" s="163"/>
      <c r="H21" s="163"/>
      <c r="I21" s="163"/>
      <c r="J21" s="163"/>
      <c r="K21" s="170" t="str">
        <f aca="false">IF(OR(A21="",$D$9&lt;&gt;"ใช้",OR(COUNT(F21:J21)=0,AND($H$5&gt;0,F21=""),AND($H$6&gt;0,G21=""),AND($H$7&gt;0,H21=""),AND($H$8&gt;0,I21=""),AND($H$9&gt;0,J21=""))),"",$H$4+IF($I$5&gt;0,$H$5*F21/$I$5,0)+IF($I$6&gt;0,$H$6*G21/$I$6,0)+IF($I$7&gt;0,$H$7*H21/$I$7,0)+IF($I$8&gt;0,$H$8*I21/$I$8,0)+IF($I$9&gt;0,$H$9*J21/$I$9,0))</f>
        <v/>
      </c>
      <c r="L21" s="169" t="str">
        <f aca="false">IF(K21="","",IF(K21&gt;1+$D$8,E21*(K21-1-$D$8),IF(K21&lt;1-$D$8,E21*(K21-1+$D$8),0)))</f>
        <v/>
      </c>
      <c r="M21" s="169" t="str">
        <f aca="false">IF(A21="","",E21*$D$5)</f>
        <v/>
      </c>
      <c r="N21" s="169" t="str">
        <f aca="false">IF(A21="","",E21*$D$7)</f>
        <v/>
      </c>
      <c r="O21" s="160"/>
      <c r="P21" s="169" t="str">
        <f aca="false">IF(A21="","",E21+N(L21)-M21-N21-N(O21))</f>
        <v/>
      </c>
      <c r="Q21" s="61" t="str">
        <f aca="false">IF(A21="","",'งวดงาน Installments'!K13)</f>
        <v/>
      </c>
    </row>
    <row r="22" customFormat="false" ht="15" hidden="false" customHeight="false" outlineLevel="0" collapsed="false">
      <c r="A22" s="61" t="str">
        <f aca="false">IF('งวดงาน Installments'!B14="","",'งวดงาน Installments'!A14)</f>
        <v/>
      </c>
      <c r="B22" s="65" t="str">
        <f aca="false">IF(A22="","",IF('งวดงาน Installments'!H14&lt;&gt;"",'งวดงาน Installments'!H14,IF('งวดงาน Installments'!G14&lt;&gt;"",'งวดงาน Installments'!G14,"")))</f>
        <v/>
      </c>
      <c r="C22" s="169" t="str">
        <f aca="false">IF(A22="","",N('งวดงาน Installments'!E14))</f>
        <v/>
      </c>
      <c r="D22" s="160"/>
      <c r="E22" s="169" t="str">
        <f aca="false">IF(A22="","",C22+N(D22))</f>
        <v/>
      </c>
      <c r="F22" s="163"/>
      <c r="G22" s="163"/>
      <c r="H22" s="163"/>
      <c r="I22" s="163"/>
      <c r="J22" s="163"/>
      <c r="K22" s="170" t="str">
        <f aca="false">IF(OR(A22="",$D$9&lt;&gt;"ใช้",OR(COUNT(F22:J22)=0,AND($H$5&gt;0,F22=""),AND($H$6&gt;0,G22=""),AND($H$7&gt;0,H22=""),AND($H$8&gt;0,I22=""),AND($H$9&gt;0,J22=""))),"",$H$4+IF($I$5&gt;0,$H$5*F22/$I$5,0)+IF($I$6&gt;0,$H$6*G22/$I$6,0)+IF($I$7&gt;0,$H$7*H22/$I$7,0)+IF($I$8&gt;0,$H$8*I22/$I$8,0)+IF($I$9&gt;0,$H$9*J22/$I$9,0))</f>
        <v/>
      </c>
      <c r="L22" s="169" t="str">
        <f aca="false">IF(K22="","",IF(K22&gt;1+$D$8,E22*(K22-1-$D$8),IF(K22&lt;1-$D$8,E22*(K22-1+$D$8),0)))</f>
        <v/>
      </c>
      <c r="M22" s="169" t="str">
        <f aca="false">IF(A22="","",E22*$D$5)</f>
        <v/>
      </c>
      <c r="N22" s="169" t="str">
        <f aca="false">IF(A22="","",E22*$D$7)</f>
        <v/>
      </c>
      <c r="O22" s="160"/>
      <c r="P22" s="169" t="str">
        <f aca="false">IF(A22="","",E22+N(L22)-M22-N22-N(O22))</f>
        <v/>
      </c>
      <c r="Q22" s="61" t="str">
        <f aca="false">IF(A22="","",'งวดงาน Installments'!K14)</f>
        <v/>
      </c>
    </row>
    <row r="23" customFormat="false" ht="15" hidden="false" customHeight="false" outlineLevel="0" collapsed="false">
      <c r="A23" s="61" t="str">
        <f aca="false">IF('งวดงาน Installments'!B15="","",'งวดงาน Installments'!A15)</f>
        <v/>
      </c>
      <c r="B23" s="65" t="str">
        <f aca="false">IF(A23="","",IF('งวดงาน Installments'!H15&lt;&gt;"",'งวดงาน Installments'!H15,IF('งวดงาน Installments'!G15&lt;&gt;"",'งวดงาน Installments'!G15,"")))</f>
        <v/>
      </c>
      <c r="C23" s="169" t="str">
        <f aca="false">IF(A23="","",N('งวดงาน Installments'!E15))</f>
        <v/>
      </c>
      <c r="D23" s="160"/>
      <c r="E23" s="169" t="str">
        <f aca="false">IF(A23="","",C23+N(D23))</f>
        <v/>
      </c>
      <c r="F23" s="163"/>
      <c r="G23" s="163"/>
      <c r="H23" s="163"/>
      <c r="I23" s="163"/>
      <c r="J23" s="163"/>
      <c r="K23" s="170" t="str">
        <f aca="false">IF(OR(A23="",$D$9&lt;&gt;"ใช้",OR(COUNT(F23:J23)=0,AND($H$5&gt;0,F23=""),AND($H$6&gt;0,G23=""),AND($H$7&gt;0,H23=""),AND($H$8&gt;0,I23=""),AND($H$9&gt;0,J23=""))),"",$H$4+IF($I$5&gt;0,$H$5*F23/$I$5,0)+IF($I$6&gt;0,$H$6*G23/$I$6,0)+IF($I$7&gt;0,$H$7*H23/$I$7,0)+IF($I$8&gt;0,$H$8*I23/$I$8,0)+IF($I$9&gt;0,$H$9*J23/$I$9,0))</f>
        <v/>
      </c>
      <c r="L23" s="169" t="str">
        <f aca="false">IF(K23="","",IF(K23&gt;1+$D$8,E23*(K23-1-$D$8),IF(K23&lt;1-$D$8,E23*(K23-1+$D$8),0)))</f>
        <v/>
      </c>
      <c r="M23" s="169" t="str">
        <f aca="false">IF(A23="","",E23*$D$5)</f>
        <v/>
      </c>
      <c r="N23" s="169" t="str">
        <f aca="false">IF(A23="","",E23*$D$7)</f>
        <v/>
      </c>
      <c r="O23" s="160"/>
      <c r="P23" s="169" t="str">
        <f aca="false">IF(A23="","",E23+N(L23)-M23-N23-N(O23))</f>
        <v/>
      </c>
      <c r="Q23" s="61" t="str">
        <f aca="false">IF(A23="","",'งวดงาน Installments'!K15)</f>
        <v/>
      </c>
    </row>
    <row r="24" customFormat="false" ht="15" hidden="false" customHeight="false" outlineLevel="0" collapsed="false">
      <c r="A24" s="61" t="str">
        <f aca="false">IF('งวดงาน Installments'!B16="","",'งวดงาน Installments'!A16)</f>
        <v/>
      </c>
      <c r="B24" s="65" t="str">
        <f aca="false">IF(A24="","",IF('งวดงาน Installments'!H16&lt;&gt;"",'งวดงาน Installments'!H16,IF('งวดงาน Installments'!G16&lt;&gt;"",'งวดงาน Installments'!G16,"")))</f>
        <v/>
      </c>
      <c r="C24" s="169" t="str">
        <f aca="false">IF(A24="","",N('งวดงาน Installments'!E16))</f>
        <v/>
      </c>
      <c r="D24" s="160"/>
      <c r="E24" s="169" t="str">
        <f aca="false">IF(A24="","",C24+N(D24))</f>
        <v/>
      </c>
      <c r="F24" s="163"/>
      <c r="G24" s="163"/>
      <c r="H24" s="163"/>
      <c r="I24" s="163"/>
      <c r="J24" s="163"/>
      <c r="K24" s="170" t="str">
        <f aca="false">IF(OR(A24="",$D$9&lt;&gt;"ใช้",OR(COUNT(F24:J24)=0,AND($H$5&gt;0,F24=""),AND($H$6&gt;0,G24=""),AND($H$7&gt;0,H24=""),AND($H$8&gt;0,I24=""),AND($H$9&gt;0,J24=""))),"",$H$4+IF($I$5&gt;0,$H$5*F24/$I$5,0)+IF($I$6&gt;0,$H$6*G24/$I$6,0)+IF($I$7&gt;0,$H$7*H24/$I$7,0)+IF($I$8&gt;0,$H$8*I24/$I$8,0)+IF($I$9&gt;0,$H$9*J24/$I$9,0))</f>
        <v/>
      </c>
      <c r="L24" s="169" t="str">
        <f aca="false">IF(K24="","",IF(K24&gt;1+$D$8,E24*(K24-1-$D$8),IF(K24&lt;1-$D$8,E24*(K24-1+$D$8),0)))</f>
        <v/>
      </c>
      <c r="M24" s="169" t="str">
        <f aca="false">IF(A24="","",E24*$D$5)</f>
        <v/>
      </c>
      <c r="N24" s="169" t="str">
        <f aca="false">IF(A24="","",E24*$D$7)</f>
        <v/>
      </c>
      <c r="O24" s="160"/>
      <c r="P24" s="169" t="str">
        <f aca="false">IF(A24="","",E24+N(L24)-M24-N24-N(O24))</f>
        <v/>
      </c>
      <c r="Q24" s="61" t="str">
        <f aca="false">IF(A24="","",'งวดงาน Installments'!K16)</f>
        <v/>
      </c>
    </row>
    <row r="25" customFormat="false" ht="15" hidden="false" customHeight="false" outlineLevel="0" collapsed="false">
      <c r="A25" s="61" t="str">
        <f aca="false">IF('งวดงาน Installments'!B17="","",'งวดงาน Installments'!A17)</f>
        <v/>
      </c>
      <c r="B25" s="65" t="str">
        <f aca="false">IF(A25="","",IF('งวดงาน Installments'!H17&lt;&gt;"",'งวดงาน Installments'!H17,IF('งวดงาน Installments'!G17&lt;&gt;"",'งวดงาน Installments'!G17,"")))</f>
        <v/>
      </c>
      <c r="C25" s="169" t="str">
        <f aca="false">IF(A25="","",N('งวดงาน Installments'!E17))</f>
        <v/>
      </c>
      <c r="D25" s="160"/>
      <c r="E25" s="169" t="str">
        <f aca="false">IF(A25="","",C25+N(D25))</f>
        <v/>
      </c>
      <c r="F25" s="163"/>
      <c r="G25" s="163"/>
      <c r="H25" s="163"/>
      <c r="I25" s="163"/>
      <c r="J25" s="163"/>
      <c r="K25" s="170" t="str">
        <f aca="false">IF(OR(A25="",$D$9&lt;&gt;"ใช้",OR(COUNT(F25:J25)=0,AND($H$5&gt;0,F25=""),AND($H$6&gt;0,G25=""),AND($H$7&gt;0,H25=""),AND($H$8&gt;0,I25=""),AND($H$9&gt;0,J25=""))),"",$H$4+IF($I$5&gt;0,$H$5*F25/$I$5,0)+IF($I$6&gt;0,$H$6*G25/$I$6,0)+IF($I$7&gt;0,$H$7*H25/$I$7,0)+IF($I$8&gt;0,$H$8*I25/$I$8,0)+IF($I$9&gt;0,$H$9*J25/$I$9,0))</f>
        <v/>
      </c>
      <c r="L25" s="169" t="str">
        <f aca="false">IF(K25="","",IF(K25&gt;1+$D$8,E25*(K25-1-$D$8),IF(K25&lt;1-$D$8,E25*(K25-1+$D$8),0)))</f>
        <v/>
      </c>
      <c r="M25" s="169" t="str">
        <f aca="false">IF(A25="","",E25*$D$5)</f>
        <v/>
      </c>
      <c r="N25" s="169" t="str">
        <f aca="false">IF(A25="","",E25*$D$7)</f>
        <v/>
      </c>
      <c r="O25" s="160"/>
      <c r="P25" s="169" t="str">
        <f aca="false">IF(A25="","",E25+N(L25)-M25-N25-N(O25))</f>
        <v/>
      </c>
      <c r="Q25" s="61" t="str">
        <f aca="false">IF(A25="","",'งวดงาน Installments'!K17)</f>
        <v/>
      </c>
    </row>
    <row r="26" customFormat="false" ht="15" hidden="false" customHeight="false" outlineLevel="0" collapsed="false">
      <c r="A26" s="61" t="str">
        <f aca="false">IF('งวดงาน Installments'!B18="","",'งวดงาน Installments'!A18)</f>
        <v/>
      </c>
      <c r="B26" s="65" t="str">
        <f aca="false">IF(A26="","",IF('งวดงาน Installments'!H18&lt;&gt;"",'งวดงาน Installments'!H18,IF('งวดงาน Installments'!G18&lt;&gt;"",'งวดงาน Installments'!G18,"")))</f>
        <v/>
      </c>
      <c r="C26" s="169" t="str">
        <f aca="false">IF(A26="","",N('งวดงาน Installments'!E18))</f>
        <v/>
      </c>
      <c r="D26" s="160"/>
      <c r="E26" s="169" t="str">
        <f aca="false">IF(A26="","",C26+N(D26))</f>
        <v/>
      </c>
      <c r="F26" s="163"/>
      <c r="G26" s="163"/>
      <c r="H26" s="163"/>
      <c r="I26" s="163"/>
      <c r="J26" s="163"/>
      <c r="K26" s="170" t="str">
        <f aca="false">IF(OR(A26="",$D$9&lt;&gt;"ใช้",OR(COUNT(F26:J26)=0,AND($H$5&gt;0,F26=""),AND($H$6&gt;0,G26=""),AND($H$7&gt;0,H26=""),AND($H$8&gt;0,I26=""),AND($H$9&gt;0,J26=""))),"",$H$4+IF($I$5&gt;0,$H$5*F26/$I$5,0)+IF($I$6&gt;0,$H$6*G26/$I$6,0)+IF($I$7&gt;0,$H$7*H26/$I$7,0)+IF($I$8&gt;0,$H$8*I26/$I$8,0)+IF($I$9&gt;0,$H$9*J26/$I$9,0))</f>
        <v/>
      </c>
      <c r="L26" s="169" t="str">
        <f aca="false">IF(K26="","",IF(K26&gt;1+$D$8,E26*(K26-1-$D$8),IF(K26&lt;1-$D$8,E26*(K26-1+$D$8),0)))</f>
        <v/>
      </c>
      <c r="M26" s="169" t="str">
        <f aca="false">IF(A26="","",E26*$D$5)</f>
        <v/>
      </c>
      <c r="N26" s="169" t="str">
        <f aca="false">IF(A26="","",E26*$D$7)</f>
        <v/>
      </c>
      <c r="O26" s="160"/>
      <c r="P26" s="169" t="str">
        <f aca="false">IF(A26="","",E26+N(L26)-M26-N26-N(O26))</f>
        <v/>
      </c>
      <c r="Q26" s="61" t="str">
        <f aca="false">IF(A26="","",'งวดงาน Installments'!K18)</f>
        <v/>
      </c>
    </row>
    <row r="27" customFormat="false" ht="15" hidden="false" customHeight="false" outlineLevel="0" collapsed="false">
      <c r="A27" s="61" t="str">
        <f aca="false">IF('งวดงาน Installments'!B19="","",'งวดงาน Installments'!A19)</f>
        <v/>
      </c>
      <c r="B27" s="65" t="str">
        <f aca="false">IF(A27="","",IF('งวดงาน Installments'!H19&lt;&gt;"",'งวดงาน Installments'!H19,IF('งวดงาน Installments'!G19&lt;&gt;"",'งวดงาน Installments'!G19,"")))</f>
        <v/>
      </c>
      <c r="C27" s="169" t="str">
        <f aca="false">IF(A27="","",N('งวดงาน Installments'!E19))</f>
        <v/>
      </c>
      <c r="D27" s="160"/>
      <c r="E27" s="169" t="str">
        <f aca="false">IF(A27="","",C27+N(D27))</f>
        <v/>
      </c>
      <c r="F27" s="163"/>
      <c r="G27" s="163"/>
      <c r="H27" s="163"/>
      <c r="I27" s="163"/>
      <c r="J27" s="163"/>
      <c r="K27" s="170" t="str">
        <f aca="false">IF(OR(A27="",$D$9&lt;&gt;"ใช้",OR(COUNT(F27:J27)=0,AND($H$5&gt;0,F27=""),AND($H$6&gt;0,G27=""),AND($H$7&gt;0,H27=""),AND($H$8&gt;0,I27=""),AND($H$9&gt;0,J27=""))),"",$H$4+IF($I$5&gt;0,$H$5*F27/$I$5,0)+IF($I$6&gt;0,$H$6*G27/$I$6,0)+IF($I$7&gt;0,$H$7*H27/$I$7,0)+IF($I$8&gt;0,$H$8*I27/$I$8,0)+IF($I$9&gt;0,$H$9*J27/$I$9,0))</f>
        <v/>
      </c>
      <c r="L27" s="169" t="str">
        <f aca="false">IF(K27="","",IF(K27&gt;1+$D$8,E27*(K27-1-$D$8),IF(K27&lt;1-$D$8,E27*(K27-1+$D$8),0)))</f>
        <v/>
      </c>
      <c r="M27" s="169" t="str">
        <f aca="false">IF(A27="","",E27*$D$5)</f>
        <v/>
      </c>
      <c r="N27" s="169" t="str">
        <f aca="false">IF(A27="","",E27*$D$7)</f>
        <v/>
      </c>
      <c r="O27" s="160"/>
      <c r="P27" s="169" t="str">
        <f aca="false">IF(A27="","",E27+N(L27)-M27-N27-N(O27))</f>
        <v/>
      </c>
      <c r="Q27" s="61" t="str">
        <f aca="false">IF(A27="","",'งวดงาน Installments'!K19)</f>
        <v/>
      </c>
    </row>
    <row r="28" customFormat="false" ht="15" hidden="false" customHeight="false" outlineLevel="0" collapsed="false">
      <c r="A28" s="61" t="str">
        <f aca="false">IF('งวดงาน Installments'!B20="","",'งวดงาน Installments'!A20)</f>
        <v/>
      </c>
      <c r="B28" s="65" t="str">
        <f aca="false">IF(A28="","",IF('งวดงาน Installments'!H20&lt;&gt;"",'งวดงาน Installments'!H20,IF('งวดงาน Installments'!G20&lt;&gt;"",'งวดงาน Installments'!G20,"")))</f>
        <v/>
      </c>
      <c r="C28" s="169" t="str">
        <f aca="false">IF(A28="","",N('งวดงาน Installments'!E20))</f>
        <v/>
      </c>
      <c r="D28" s="160"/>
      <c r="E28" s="169" t="str">
        <f aca="false">IF(A28="","",C28+N(D28))</f>
        <v/>
      </c>
      <c r="F28" s="163"/>
      <c r="G28" s="163"/>
      <c r="H28" s="163"/>
      <c r="I28" s="163"/>
      <c r="J28" s="163"/>
      <c r="K28" s="170" t="str">
        <f aca="false">IF(OR(A28="",$D$9&lt;&gt;"ใช้",OR(COUNT(F28:J28)=0,AND($H$5&gt;0,F28=""),AND($H$6&gt;0,G28=""),AND($H$7&gt;0,H28=""),AND($H$8&gt;0,I28=""),AND($H$9&gt;0,J28=""))),"",$H$4+IF($I$5&gt;0,$H$5*F28/$I$5,0)+IF($I$6&gt;0,$H$6*G28/$I$6,0)+IF($I$7&gt;0,$H$7*H28/$I$7,0)+IF($I$8&gt;0,$H$8*I28/$I$8,0)+IF($I$9&gt;0,$H$9*J28/$I$9,0))</f>
        <v/>
      </c>
      <c r="L28" s="169" t="str">
        <f aca="false">IF(K28="","",IF(K28&gt;1+$D$8,E28*(K28-1-$D$8),IF(K28&lt;1-$D$8,E28*(K28-1+$D$8),0)))</f>
        <v/>
      </c>
      <c r="M28" s="169" t="str">
        <f aca="false">IF(A28="","",E28*$D$5)</f>
        <v/>
      </c>
      <c r="N28" s="169" t="str">
        <f aca="false">IF(A28="","",E28*$D$7)</f>
        <v/>
      </c>
      <c r="O28" s="160"/>
      <c r="P28" s="169" t="str">
        <f aca="false">IF(A28="","",E28+N(L28)-M28-N28-N(O28))</f>
        <v/>
      </c>
      <c r="Q28" s="61" t="str">
        <f aca="false">IF(A28="","",'งวดงาน Installments'!K20)</f>
        <v/>
      </c>
    </row>
    <row r="29" customFormat="false" ht="15" hidden="false" customHeight="false" outlineLevel="0" collapsed="false">
      <c r="A29" s="61" t="str">
        <f aca="false">IF('งวดงาน Installments'!B21="","",'งวดงาน Installments'!A21)</f>
        <v/>
      </c>
      <c r="B29" s="65" t="str">
        <f aca="false">IF(A29="","",IF('งวดงาน Installments'!H21&lt;&gt;"",'งวดงาน Installments'!H21,IF('งวดงาน Installments'!G21&lt;&gt;"",'งวดงาน Installments'!G21,"")))</f>
        <v/>
      </c>
      <c r="C29" s="169" t="str">
        <f aca="false">IF(A29="","",N('งวดงาน Installments'!E21))</f>
        <v/>
      </c>
      <c r="D29" s="160"/>
      <c r="E29" s="169" t="str">
        <f aca="false">IF(A29="","",C29+N(D29))</f>
        <v/>
      </c>
      <c r="F29" s="163"/>
      <c r="G29" s="163"/>
      <c r="H29" s="163"/>
      <c r="I29" s="163"/>
      <c r="J29" s="163"/>
      <c r="K29" s="170" t="str">
        <f aca="false">IF(OR(A29="",$D$9&lt;&gt;"ใช้",OR(COUNT(F29:J29)=0,AND($H$5&gt;0,F29=""),AND($H$6&gt;0,G29=""),AND($H$7&gt;0,H29=""),AND($H$8&gt;0,I29=""),AND($H$9&gt;0,J29=""))),"",$H$4+IF($I$5&gt;0,$H$5*F29/$I$5,0)+IF($I$6&gt;0,$H$6*G29/$I$6,0)+IF($I$7&gt;0,$H$7*H29/$I$7,0)+IF($I$8&gt;0,$H$8*I29/$I$8,0)+IF($I$9&gt;0,$H$9*J29/$I$9,0))</f>
        <v/>
      </c>
      <c r="L29" s="169" t="str">
        <f aca="false">IF(K29="","",IF(K29&gt;1+$D$8,E29*(K29-1-$D$8),IF(K29&lt;1-$D$8,E29*(K29-1+$D$8),0)))</f>
        <v/>
      </c>
      <c r="M29" s="169" t="str">
        <f aca="false">IF(A29="","",E29*$D$5)</f>
        <v/>
      </c>
      <c r="N29" s="169" t="str">
        <f aca="false">IF(A29="","",E29*$D$7)</f>
        <v/>
      </c>
      <c r="O29" s="160"/>
      <c r="P29" s="169" t="str">
        <f aca="false">IF(A29="","",E29+N(L29)-M29-N29-N(O29))</f>
        <v/>
      </c>
      <c r="Q29" s="61" t="str">
        <f aca="false">IF(A29="","",'งวดงาน Installments'!K21)</f>
        <v/>
      </c>
    </row>
    <row r="30" customFormat="false" ht="15" hidden="false" customHeight="false" outlineLevel="0" collapsed="false">
      <c r="A30" s="61" t="str">
        <f aca="false">IF('งวดงาน Installments'!B22="","",'งวดงาน Installments'!A22)</f>
        <v/>
      </c>
      <c r="B30" s="65" t="str">
        <f aca="false">IF(A30="","",IF('งวดงาน Installments'!H22&lt;&gt;"",'งวดงาน Installments'!H22,IF('งวดงาน Installments'!G22&lt;&gt;"",'งวดงาน Installments'!G22,"")))</f>
        <v/>
      </c>
      <c r="C30" s="169" t="str">
        <f aca="false">IF(A30="","",N('งวดงาน Installments'!E22))</f>
        <v/>
      </c>
      <c r="D30" s="160"/>
      <c r="E30" s="169" t="str">
        <f aca="false">IF(A30="","",C30+N(D30))</f>
        <v/>
      </c>
      <c r="F30" s="163"/>
      <c r="G30" s="163"/>
      <c r="H30" s="163"/>
      <c r="I30" s="163"/>
      <c r="J30" s="163"/>
      <c r="K30" s="170" t="str">
        <f aca="false">IF(OR(A30="",$D$9&lt;&gt;"ใช้",OR(COUNT(F30:J30)=0,AND($H$5&gt;0,F30=""),AND($H$6&gt;0,G30=""),AND($H$7&gt;0,H30=""),AND($H$8&gt;0,I30=""),AND($H$9&gt;0,J30=""))),"",$H$4+IF($I$5&gt;0,$H$5*F30/$I$5,0)+IF($I$6&gt;0,$H$6*G30/$I$6,0)+IF($I$7&gt;0,$H$7*H30/$I$7,0)+IF($I$8&gt;0,$H$8*I30/$I$8,0)+IF($I$9&gt;0,$H$9*J30/$I$9,0))</f>
        <v/>
      </c>
      <c r="L30" s="169" t="str">
        <f aca="false">IF(K30="","",IF(K30&gt;1+$D$8,E30*(K30-1-$D$8),IF(K30&lt;1-$D$8,E30*(K30-1+$D$8),0)))</f>
        <v/>
      </c>
      <c r="M30" s="169" t="str">
        <f aca="false">IF(A30="","",E30*$D$5)</f>
        <v/>
      </c>
      <c r="N30" s="169" t="str">
        <f aca="false">IF(A30="","",E30*$D$7)</f>
        <v/>
      </c>
      <c r="O30" s="160"/>
      <c r="P30" s="169" t="str">
        <f aca="false">IF(A30="","",E30+N(L30)-M30-N30-N(O30))</f>
        <v/>
      </c>
      <c r="Q30" s="61" t="str">
        <f aca="false">IF(A30="","",'งวดงาน Installments'!K22)</f>
        <v/>
      </c>
    </row>
    <row r="31" customFormat="false" ht="15" hidden="false" customHeight="false" outlineLevel="0" collapsed="false">
      <c r="A31" s="61" t="str">
        <f aca="false">IF('งวดงาน Installments'!B23="","",'งวดงาน Installments'!A23)</f>
        <v/>
      </c>
      <c r="B31" s="65" t="str">
        <f aca="false">IF(A31="","",IF('งวดงาน Installments'!H23&lt;&gt;"",'งวดงาน Installments'!H23,IF('งวดงาน Installments'!G23&lt;&gt;"",'งวดงาน Installments'!G23,"")))</f>
        <v/>
      </c>
      <c r="C31" s="169" t="str">
        <f aca="false">IF(A31="","",N('งวดงาน Installments'!E23))</f>
        <v/>
      </c>
      <c r="D31" s="160"/>
      <c r="E31" s="169" t="str">
        <f aca="false">IF(A31="","",C31+N(D31))</f>
        <v/>
      </c>
      <c r="F31" s="163"/>
      <c r="G31" s="163"/>
      <c r="H31" s="163"/>
      <c r="I31" s="163"/>
      <c r="J31" s="163"/>
      <c r="K31" s="170" t="str">
        <f aca="false">IF(OR(A31="",$D$9&lt;&gt;"ใช้",OR(COUNT(F31:J31)=0,AND($H$5&gt;0,F31=""),AND($H$6&gt;0,G31=""),AND($H$7&gt;0,H31=""),AND($H$8&gt;0,I31=""),AND($H$9&gt;0,J31=""))),"",$H$4+IF($I$5&gt;0,$H$5*F31/$I$5,0)+IF($I$6&gt;0,$H$6*G31/$I$6,0)+IF($I$7&gt;0,$H$7*H31/$I$7,0)+IF($I$8&gt;0,$H$8*I31/$I$8,0)+IF($I$9&gt;0,$H$9*J31/$I$9,0))</f>
        <v/>
      </c>
      <c r="L31" s="169" t="str">
        <f aca="false">IF(K31="","",IF(K31&gt;1+$D$8,E31*(K31-1-$D$8),IF(K31&lt;1-$D$8,E31*(K31-1+$D$8),0)))</f>
        <v/>
      </c>
      <c r="M31" s="169" t="str">
        <f aca="false">IF(A31="","",E31*$D$5)</f>
        <v/>
      </c>
      <c r="N31" s="169" t="str">
        <f aca="false">IF(A31="","",E31*$D$7)</f>
        <v/>
      </c>
      <c r="O31" s="160"/>
      <c r="P31" s="169" t="str">
        <f aca="false">IF(A31="","",E31+N(L31)-M31-N31-N(O31))</f>
        <v/>
      </c>
      <c r="Q31" s="61" t="str">
        <f aca="false">IF(A31="","",'งวดงาน Installments'!K23)</f>
        <v/>
      </c>
    </row>
    <row r="32" customFormat="false" ht="15" hidden="false" customHeight="false" outlineLevel="0" collapsed="false">
      <c r="A32" s="61" t="str">
        <f aca="false">IF('งวดงาน Installments'!B24="","",'งวดงาน Installments'!A24)</f>
        <v/>
      </c>
      <c r="B32" s="65" t="str">
        <f aca="false">IF(A32="","",IF('งวดงาน Installments'!H24&lt;&gt;"",'งวดงาน Installments'!H24,IF('งวดงาน Installments'!G24&lt;&gt;"",'งวดงาน Installments'!G24,"")))</f>
        <v/>
      </c>
      <c r="C32" s="169" t="str">
        <f aca="false">IF(A32="","",N('งวดงาน Installments'!E24))</f>
        <v/>
      </c>
      <c r="D32" s="160"/>
      <c r="E32" s="169" t="str">
        <f aca="false">IF(A32="","",C32+N(D32))</f>
        <v/>
      </c>
      <c r="F32" s="163"/>
      <c r="G32" s="163"/>
      <c r="H32" s="163"/>
      <c r="I32" s="163"/>
      <c r="J32" s="163"/>
      <c r="K32" s="170" t="str">
        <f aca="false">IF(OR(A32="",$D$9&lt;&gt;"ใช้",OR(COUNT(F32:J32)=0,AND($H$5&gt;0,F32=""),AND($H$6&gt;0,G32=""),AND($H$7&gt;0,H32=""),AND($H$8&gt;0,I32=""),AND($H$9&gt;0,J32=""))),"",$H$4+IF($I$5&gt;0,$H$5*F32/$I$5,0)+IF($I$6&gt;0,$H$6*G32/$I$6,0)+IF($I$7&gt;0,$H$7*H32/$I$7,0)+IF($I$8&gt;0,$H$8*I32/$I$8,0)+IF($I$9&gt;0,$H$9*J32/$I$9,0))</f>
        <v/>
      </c>
      <c r="L32" s="169" t="str">
        <f aca="false">IF(K32="","",IF(K32&gt;1+$D$8,E32*(K32-1-$D$8),IF(K32&lt;1-$D$8,E32*(K32-1+$D$8),0)))</f>
        <v/>
      </c>
      <c r="M32" s="169" t="str">
        <f aca="false">IF(A32="","",E32*$D$5)</f>
        <v/>
      </c>
      <c r="N32" s="169" t="str">
        <f aca="false">IF(A32="","",E32*$D$7)</f>
        <v/>
      </c>
      <c r="O32" s="160"/>
      <c r="P32" s="169" t="str">
        <f aca="false">IF(A32="","",E32+N(L32)-M32-N32-N(O32))</f>
        <v/>
      </c>
      <c r="Q32" s="61" t="str">
        <f aca="false">IF(A32="","",'งวดงาน Installments'!K24)</f>
        <v/>
      </c>
    </row>
    <row r="33" customFormat="false" ht="15" hidden="false" customHeight="false" outlineLevel="0" collapsed="false">
      <c r="A33" s="61" t="str">
        <f aca="false">IF('งวดงาน Installments'!B25="","",'งวดงาน Installments'!A25)</f>
        <v/>
      </c>
      <c r="B33" s="65" t="str">
        <f aca="false">IF(A33="","",IF('งวดงาน Installments'!H25&lt;&gt;"",'งวดงาน Installments'!H25,IF('งวดงาน Installments'!G25&lt;&gt;"",'งวดงาน Installments'!G25,"")))</f>
        <v/>
      </c>
      <c r="C33" s="169" t="str">
        <f aca="false">IF(A33="","",N('งวดงาน Installments'!E25))</f>
        <v/>
      </c>
      <c r="D33" s="160"/>
      <c r="E33" s="169" t="str">
        <f aca="false">IF(A33="","",C33+N(D33))</f>
        <v/>
      </c>
      <c r="F33" s="163"/>
      <c r="G33" s="163"/>
      <c r="H33" s="163"/>
      <c r="I33" s="163"/>
      <c r="J33" s="163"/>
      <c r="K33" s="170" t="str">
        <f aca="false">IF(OR(A33="",$D$9&lt;&gt;"ใช้",OR(COUNT(F33:J33)=0,AND($H$5&gt;0,F33=""),AND($H$6&gt;0,G33=""),AND($H$7&gt;0,H33=""),AND($H$8&gt;0,I33=""),AND($H$9&gt;0,J33=""))),"",$H$4+IF($I$5&gt;0,$H$5*F33/$I$5,0)+IF($I$6&gt;0,$H$6*G33/$I$6,0)+IF($I$7&gt;0,$H$7*H33/$I$7,0)+IF($I$8&gt;0,$H$8*I33/$I$8,0)+IF($I$9&gt;0,$H$9*J33/$I$9,0))</f>
        <v/>
      </c>
      <c r="L33" s="169" t="str">
        <f aca="false">IF(K33="","",IF(K33&gt;1+$D$8,E33*(K33-1-$D$8),IF(K33&lt;1-$D$8,E33*(K33-1+$D$8),0)))</f>
        <v/>
      </c>
      <c r="M33" s="169" t="str">
        <f aca="false">IF(A33="","",E33*$D$5)</f>
        <v/>
      </c>
      <c r="N33" s="169" t="str">
        <f aca="false">IF(A33="","",E33*$D$7)</f>
        <v/>
      </c>
      <c r="O33" s="160"/>
      <c r="P33" s="169" t="str">
        <f aca="false">IF(A33="","",E33+N(L33)-M33-N33-N(O33))</f>
        <v/>
      </c>
      <c r="Q33" s="61" t="str">
        <f aca="false">IF(A33="","",'งวดงาน Installments'!K25)</f>
        <v/>
      </c>
    </row>
    <row r="34" customFormat="false" ht="15" hidden="false" customHeight="false" outlineLevel="0" collapsed="false">
      <c r="A34" s="61" t="str">
        <f aca="false">IF('งวดงาน Installments'!B26="","",'งวดงาน Installments'!A26)</f>
        <v/>
      </c>
      <c r="B34" s="65" t="str">
        <f aca="false">IF(A34="","",IF('งวดงาน Installments'!H26&lt;&gt;"",'งวดงาน Installments'!H26,IF('งวดงาน Installments'!G26&lt;&gt;"",'งวดงาน Installments'!G26,"")))</f>
        <v/>
      </c>
      <c r="C34" s="169" t="str">
        <f aca="false">IF(A34="","",N('งวดงาน Installments'!E26))</f>
        <v/>
      </c>
      <c r="D34" s="160"/>
      <c r="E34" s="169" t="str">
        <f aca="false">IF(A34="","",C34+N(D34))</f>
        <v/>
      </c>
      <c r="F34" s="163"/>
      <c r="G34" s="163"/>
      <c r="H34" s="163"/>
      <c r="I34" s="163"/>
      <c r="J34" s="163"/>
      <c r="K34" s="170" t="str">
        <f aca="false">IF(OR(A34="",$D$9&lt;&gt;"ใช้",OR(COUNT(F34:J34)=0,AND($H$5&gt;0,F34=""),AND($H$6&gt;0,G34=""),AND($H$7&gt;0,H34=""),AND($H$8&gt;0,I34=""),AND($H$9&gt;0,J34=""))),"",$H$4+IF($I$5&gt;0,$H$5*F34/$I$5,0)+IF($I$6&gt;0,$H$6*G34/$I$6,0)+IF($I$7&gt;0,$H$7*H34/$I$7,0)+IF($I$8&gt;0,$H$8*I34/$I$8,0)+IF($I$9&gt;0,$H$9*J34/$I$9,0))</f>
        <v/>
      </c>
      <c r="L34" s="169" t="str">
        <f aca="false">IF(K34="","",IF(K34&gt;1+$D$8,E34*(K34-1-$D$8),IF(K34&lt;1-$D$8,E34*(K34-1+$D$8),0)))</f>
        <v/>
      </c>
      <c r="M34" s="169" t="str">
        <f aca="false">IF(A34="","",E34*$D$5)</f>
        <v/>
      </c>
      <c r="N34" s="169" t="str">
        <f aca="false">IF(A34="","",E34*$D$7)</f>
        <v/>
      </c>
      <c r="O34" s="160"/>
      <c r="P34" s="169" t="str">
        <f aca="false">IF(A34="","",E34+N(L34)-M34-N34-N(O34))</f>
        <v/>
      </c>
      <c r="Q34" s="61" t="str">
        <f aca="false">IF(A34="","",'งวดงาน Installments'!K26)</f>
        <v/>
      </c>
    </row>
    <row r="35" customFormat="false" ht="15" hidden="false" customHeight="false" outlineLevel="0" collapsed="false">
      <c r="A35" s="171" t="s">
        <v>671</v>
      </c>
      <c r="B35" s="171"/>
      <c r="C35" s="172" t="n">
        <f aca="false">SUM(C15:C34)</f>
        <v>24200000</v>
      </c>
      <c r="D35" s="172" t="n">
        <f aca="false">SUM(D15:D34)</f>
        <v>0</v>
      </c>
      <c r="E35" s="172" t="n">
        <f aca="false">SUM(E15:E34)</f>
        <v>24200000</v>
      </c>
      <c r="F35" s="171"/>
      <c r="G35" s="171"/>
      <c r="H35" s="171"/>
      <c r="I35" s="171"/>
      <c r="J35" s="171"/>
      <c r="K35" s="171"/>
      <c r="L35" s="172" t="n">
        <f aca="false">SUM(L15:L34)</f>
        <v>25410.0000000006</v>
      </c>
      <c r="M35" s="172" t="n">
        <f aca="false">SUM(M15:M34)</f>
        <v>3630000</v>
      </c>
      <c r="N35" s="172" t="n">
        <f aca="false">SUM(N15:N34)</f>
        <v>1210000</v>
      </c>
      <c r="O35" s="172" t="n">
        <f aca="false">SUM(O15:O34)</f>
        <v>0</v>
      </c>
      <c r="P35" s="172" t="n">
        <f aca="false">SUM(P15:P34)</f>
        <v>19385410</v>
      </c>
      <c r="Q35" s="171"/>
    </row>
    <row r="36" customFormat="false" ht="15" hidden="false" customHeight="false" outlineLevel="0" collapsed="false">
      <c r="A36" s="81" t="s">
        <v>672</v>
      </c>
    </row>
  </sheetData>
  <sheetProtection sheet="true" formatCells="false" formatColumns="false" formatRows="false"/>
  <mergeCells count="27">
    <mergeCell ref="A3:C3"/>
    <mergeCell ref="F3:G3"/>
    <mergeCell ref="J3:K3"/>
    <mergeCell ref="L3:M3"/>
    <mergeCell ref="A4:C4"/>
    <mergeCell ref="F4:G4"/>
    <mergeCell ref="J4:K4"/>
    <mergeCell ref="L4:M4"/>
    <mergeCell ref="A5:C5"/>
    <mergeCell ref="F5:G5"/>
    <mergeCell ref="J5:K5"/>
    <mergeCell ref="L5:M5"/>
    <mergeCell ref="A6:C6"/>
    <mergeCell ref="F6:G6"/>
    <mergeCell ref="J6:K6"/>
    <mergeCell ref="L6:M6"/>
    <mergeCell ref="A7:C7"/>
    <mergeCell ref="F7:G7"/>
    <mergeCell ref="J7:K7"/>
    <mergeCell ref="A8:C8"/>
    <mergeCell ref="F8:G8"/>
    <mergeCell ref="J8:K8"/>
    <mergeCell ref="A9:C9"/>
    <mergeCell ref="F9:G9"/>
    <mergeCell ref="J9:K9"/>
    <mergeCell ref="A10:C10"/>
    <mergeCell ref="F10:Q10"/>
  </mergeCells>
  <conditionalFormatting sqref="D10">
    <cfRule type="expression" priority="2" aboveAverage="0" equalAverage="0" bottom="0" percent="0" rank="0" text="" dxfId="3">
      <formula>ABS(D10-1)&gt;0.0001</formula>
    </cfRule>
  </conditionalFormatting>
  <conditionalFormatting sqref="L15:L34">
    <cfRule type="expression" priority="3" aboveAverage="0" equalAverage="0" bottom="0" percent="0" rank="0" text="" dxfId="4">
      <formula>AND(ISNUMBER(L15),L15&lt;0)</formula>
    </cfRule>
    <cfRule type="expression" priority="4" aboveAverage="0" equalAverage="0" bottom="0" percent="0" rank="0" text="" dxfId="12">
      <formula>AND(ISNUMBER(L15),L15&gt;0)</formula>
    </cfRule>
  </conditionalFormatting>
  <conditionalFormatting sqref="N4">
    <cfRule type="expression" priority="5" aboveAverage="0" equalAverage="0" bottom="0" percent="0" rank="0" text="" dxfId="4">
      <formula>N4&lt;0</formula>
    </cfRule>
  </conditionalFormatting>
  <dataValidations count="1">
    <dataValidation allowBlank="false" errorStyle="stop" operator="between" showDropDown="false" showErrorMessage="false" showInputMessage="false" sqref="D9" type="list">
      <formula1>"ใช้,ไม่ใช้"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8" topLeftCell="E9" activePane="bottomRight" state="frozen"/>
      <selection pane="topLeft" activeCell="A1" activeCellId="0" sqref="A1"/>
      <selection pane="topRight" activeCell="E1" activeCellId="0" sqref="E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4" min="4" style="1" width="30"/>
    <col collapsed="false" customWidth="true" hidden="false" outlineLevel="0" max="5" min="5" style="1" width="20"/>
    <col collapsed="false" customWidth="true" hidden="false" outlineLevel="0" max="7" min="6" style="1" width="11"/>
    <col collapsed="false" customWidth="true" hidden="false" outlineLevel="0" max="8" min="8" style="1" width="9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18"/>
    <col collapsed="false" customWidth="true" hidden="false" outlineLevel="0" max="12" min="12" style="1" width="11"/>
    <col collapsed="false" customWidth="true" hidden="false" outlineLevel="0" max="13" min="13" style="1" width="22"/>
    <col collapsed="false" customWidth="true" hidden="false" outlineLevel="0" max="14" min="14" style="1" width="34"/>
    <col collapsed="false" customWidth="true" hidden="false" outlineLevel="0" max="15" min="15" style="1" width="24"/>
  </cols>
  <sheetData>
    <row r="1" customFormat="false" ht="20.1" hidden="false" customHeight="false" outlineLevel="0" collapsed="false">
      <c r="A1" s="2" t="s">
        <v>673</v>
      </c>
    </row>
    <row r="2" customFormat="false" ht="15" hidden="false" customHeight="false" outlineLevel="0" collapsed="false">
      <c r="A2" s="17" t="s">
        <v>674</v>
      </c>
    </row>
    <row r="3" customFormat="false" ht="15" hidden="false" customHeight="false" outlineLevel="0" collapsed="false">
      <c r="B3" s="173" t="s">
        <v>675</v>
      </c>
      <c r="E3" s="173" t="s">
        <v>616</v>
      </c>
      <c r="H3" s="173" t="s">
        <v>676</v>
      </c>
      <c r="K3" s="173" t="s">
        <v>677</v>
      </c>
      <c r="N3" s="173" t="s">
        <v>678</v>
      </c>
    </row>
    <row r="4" customFormat="false" ht="19.7" hidden="false" customHeight="false" outlineLevel="0" collapsed="false">
      <c r="B4" s="2" t="n">
        <f aca="false">COUNTA(D9:D108)</f>
        <v>4</v>
      </c>
      <c r="E4" s="2" t="n">
        <f aca="false">COUNTIF(K9:K108,"อนุมัติ")</f>
        <v>1</v>
      </c>
      <c r="H4" s="2" t="n">
        <f aca="false">COUNTIF(K9:K108,"รอพิจารณา")+COUNTIF(K9:K108,"ขอเอกสารเพิ่มเติม")</f>
        <v>2</v>
      </c>
      <c r="K4" s="2" t="n">
        <f aca="false">COUNTIF(K9:K108,"ไม่อนุมัติ")</f>
        <v>1</v>
      </c>
      <c r="N4" s="174" t="n">
        <f aca="false">COUNTIF(N9:N108,"⚠*")</f>
        <v>2</v>
      </c>
    </row>
    <row r="6" customFormat="false" ht="15" hidden="false" customHeight="false" outlineLevel="0" collapsed="false">
      <c r="A6" s="17" t="s">
        <v>679</v>
      </c>
    </row>
    <row r="8" customFormat="false" ht="43.5" hidden="false" customHeight="true" outlineLevel="0" collapsed="false">
      <c r="A8" s="18" t="s">
        <v>446</v>
      </c>
      <c r="B8" s="18" t="s">
        <v>680</v>
      </c>
      <c r="C8" s="18" t="s">
        <v>681</v>
      </c>
      <c r="D8" s="18" t="s">
        <v>682</v>
      </c>
      <c r="E8" s="18" t="s">
        <v>683</v>
      </c>
      <c r="F8" s="59" t="s">
        <v>684</v>
      </c>
      <c r="G8" s="18" t="s">
        <v>685</v>
      </c>
      <c r="H8" s="18" t="s">
        <v>686</v>
      </c>
      <c r="I8" s="18" t="s">
        <v>687</v>
      </c>
      <c r="J8" s="18" t="s">
        <v>688</v>
      </c>
      <c r="K8" s="18" t="s">
        <v>607</v>
      </c>
      <c r="L8" s="18" t="s">
        <v>609</v>
      </c>
      <c r="M8" s="18" t="s">
        <v>689</v>
      </c>
      <c r="N8" s="18" t="s">
        <v>690</v>
      </c>
      <c r="O8" s="18" t="s">
        <v>193</v>
      </c>
    </row>
    <row r="9" customFormat="false" ht="15" hidden="false" customHeight="false" outlineLevel="0" collapsed="false">
      <c r="A9" s="61" t="n">
        <f aca="false">IF(D9="","",COUNTA(D$9:D9))</f>
        <v>1</v>
      </c>
      <c r="B9" s="22" t="s">
        <v>691</v>
      </c>
      <c r="C9" s="32" t="s">
        <v>692</v>
      </c>
      <c r="D9" s="32" t="s">
        <v>693</v>
      </c>
      <c r="E9" s="108" t="s">
        <v>694</v>
      </c>
      <c r="F9" s="22" t="s">
        <v>695</v>
      </c>
      <c r="G9" s="65" t="n">
        <f aca="false">IF(F9="","",IFERROR(INDEX('แผนงาน Schedule'!$AA$7:$AA$156,MATCH(F9&amp;"",'แผนงาน Schedule'!$A$7:$A$156,0)),"ไม่พบ WBS"))</f>
        <v>46296</v>
      </c>
      <c r="H9" s="20" t="n">
        <v>7</v>
      </c>
      <c r="I9" s="65" t="n">
        <f aca="false">IF(OR(D9="",NOT(ISNUMBER(G9))),"",G9-N(H9))</f>
        <v>46289</v>
      </c>
      <c r="J9" s="24" t="n">
        <v>46275</v>
      </c>
      <c r="K9" s="20" t="s">
        <v>616</v>
      </c>
      <c r="L9" s="24" t="n">
        <v>46280</v>
      </c>
      <c r="M9" s="32" t="s">
        <v>696</v>
      </c>
      <c r="N9" s="99" t="str">
        <f aca="false">IF(D9="","",IF(K9="อนุมัติ","✓ อนุมัติแล้ว พร้อมใช้",IF(K9="ไม่อนุมัติ","⚠ ไม่อนุมัติ – ต้องเสนอใหม่"&amp;IF(ISNUMBER(I9),IF(I9&gt;='ตั้งค่า Setup'!$C$15," (เหลือ "&amp;(I9-'ตั้งค่า Setup'!$C$15)&amp;" วัน)"," (เลยกำหนด "&amp;('ตั้งค่า Setup'!$C$15-I9)&amp;" วัน)"),""),IF(NOT(ISNUMBER(I9)),"ติดตาม",IF(I9&lt;'ตั้งค่า Setup'!$C$15,"⚠ เลยกำหนดอนุมัติ "&amp;('ตั้งค่า Setup'!$C$15-I9)&amp;" วัน – กระทบแผนงาน",IF(I9-'ตั้งค่า Setup'!$C$15&lt;=14,"⚠ ต้องอนุมัติภายใน "&amp;(I9-'ตั้งค่า Setup'!$C$15)&amp;" วัน","ติดตาม (เหลือ "&amp;(I9-'ตั้งค่า Setup'!$C$15)&amp;" วัน)"))))))</f>
        <v>✓ อนุมัติแล้ว พร้อมใช้</v>
      </c>
      <c r="O9" s="32"/>
    </row>
    <row r="10" customFormat="false" ht="15" hidden="false" customHeight="false" outlineLevel="0" collapsed="false">
      <c r="A10" s="61" t="n">
        <f aca="false">IF(D10="","",COUNTA(D$9:D10))</f>
        <v>2</v>
      </c>
      <c r="B10" s="22" t="s">
        <v>697</v>
      </c>
      <c r="C10" s="32" t="s">
        <v>698</v>
      </c>
      <c r="D10" s="32" t="s">
        <v>699</v>
      </c>
      <c r="E10" s="108" t="s">
        <v>700</v>
      </c>
      <c r="F10" s="22" t="s">
        <v>695</v>
      </c>
      <c r="G10" s="65" t="n">
        <f aca="false">IF(F10="","",IFERROR(INDEX('แผนงาน Schedule'!$AA$7:$AA$156,MATCH(F10&amp;"",'แผนงาน Schedule'!$A$7:$A$156,0)),"ไม่พบ WBS"))</f>
        <v>46296</v>
      </c>
      <c r="H10" s="20" t="n">
        <v>14</v>
      </c>
      <c r="I10" s="65" t="n">
        <f aca="false">IF(OR(D10="",NOT(ISNUMBER(G10))),"",G10-N(H10))</f>
        <v>46282</v>
      </c>
      <c r="J10" s="24" t="n">
        <v>46277</v>
      </c>
      <c r="K10" s="20" t="s">
        <v>701</v>
      </c>
      <c r="L10" s="24"/>
      <c r="M10" s="32" t="s">
        <v>701</v>
      </c>
      <c r="N10" s="99" t="str">
        <f aca="false">IF(D10="","",IF(K10="อนุมัติ","✓ อนุมัติแล้ว พร้อมใช้",IF(K10="ไม่อนุมัติ","⚠ ไม่อนุมัติ – ต้องเสนอใหม่"&amp;IF(ISNUMBER(I10),IF(I10&gt;='ตั้งค่า Setup'!$C$15," (เหลือ "&amp;(I10-'ตั้งค่า Setup'!$C$15)&amp;" วัน)"," (เลยกำหนด "&amp;('ตั้งค่า Setup'!$C$15-I10)&amp;" วัน)"),""),IF(NOT(ISNUMBER(I10)),"ติดตาม",IF(I10&lt;'ตั้งค่า Setup'!$C$15,"⚠ เลยกำหนดอนุมัติ "&amp;('ตั้งค่า Setup'!$C$15-I10)&amp;" วัน – กระทบแผนงาน",IF(I10-'ตั้งค่า Setup'!$C$15&lt;=14,"⚠ ต้องอนุมัติภายใน "&amp;(I10-'ตั้งค่า Setup'!$C$15)&amp;" วัน","ติดตาม (เหลือ "&amp;(I10-'ตั้งค่า Setup'!$C$15)&amp;" วัน)"))))))</f>
        <v>⚠ เลยกำหนดอนุมัติ 11 วัน – กระทบแผนงาน</v>
      </c>
      <c r="O10" s="32" t="s">
        <v>702</v>
      </c>
    </row>
    <row r="11" customFormat="false" ht="15" hidden="false" customHeight="false" outlineLevel="0" collapsed="false">
      <c r="A11" s="61" t="n">
        <f aca="false">IF(D11="","",COUNTA(D$9:D11))</f>
        <v>3</v>
      </c>
      <c r="B11" s="22" t="s">
        <v>703</v>
      </c>
      <c r="C11" s="32" t="s">
        <v>704</v>
      </c>
      <c r="D11" s="32" t="s">
        <v>705</v>
      </c>
      <c r="E11" s="108" t="s">
        <v>706</v>
      </c>
      <c r="F11" s="22" t="s">
        <v>707</v>
      </c>
      <c r="G11" s="65" t="n">
        <f aca="false">IF(F11="","",IFERROR(INDEX('แผนงาน Schedule'!$AA$7:$AA$156,MATCH(F11&amp;"",'แผนงาน Schedule'!$A$7:$A$156,0)),"ไม่พบ WBS"))</f>
        <v>46388</v>
      </c>
      <c r="H11" s="20" t="n">
        <v>30</v>
      </c>
      <c r="I11" s="65" t="n">
        <f aca="false">IF(OR(D11="",NOT(ISNUMBER(G11))),"",G11-N(H11))</f>
        <v>46358</v>
      </c>
      <c r="J11" s="24"/>
      <c r="K11" s="20" t="s">
        <v>622</v>
      </c>
      <c r="L11" s="24"/>
      <c r="M11" s="32" t="s">
        <v>708</v>
      </c>
      <c r="N11" s="99" t="str">
        <f aca="false">IF(D11="","",IF(K11="อนุมัติ","✓ อนุมัติแล้ว พร้อมใช้",IF(K11="ไม่อนุมัติ","⚠ ไม่อนุมัติ – ต้องเสนอใหม่"&amp;IF(ISNUMBER(I11),IF(I11&gt;='ตั้งค่า Setup'!$C$15," (เหลือ "&amp;(I11-'ตั้งค่า Setup'!$C$15)&amp;" วัน)"," (เลยกำหนด "&amp;('ตั้งค่า Setup'!$C$15-I11)&amp;" วัน)"),""),IF(NOT(ISNUMBER(I11)),"ติดตาม",IF(I11&lt;'ตั้งค่า Setup'!$C$15,"⚠ เลยกำหนดอนุมัติ "&amp;('ตั้งค่า Setup'!$C$15-I11)&amp;" วัน – กระทบแผนงาน",IF(I11-'ตั้งค่า Setup'!$C$15&lt;=14,"⚠ ต้องอนุมัติภายใน "&amp;(I11-'ตั้งค่า Setup'!$C$15)&amp;" วัน","ติดตาม (เหลือ "&amp;(I11-'ตั้งค่า Setup'!$C$15)&amp;" วัน)"))))))</f>
        <v>ติดตาม (เหลือ 65 วัน)</v>
      </c>
      <c r="O11" s="32"/>
    </row>
    <row r="12" customFormat="false" ht="15" hidden="false" customHeight="false" outlineLevel="0" collapsed="false">
      <c r="A12" s="61" t="n">
        <f aca="false">IF(D12="","",COUNTA(D$9:D12))</f>
        <v>4</v>
      </c>
      <c r="B12" s="22" t="s">
        <v>709</v>
      </c>
      <c r="C12" s="32" t="s">
        <v>710</v>
      </c>
      <c r="D12" s="32" t="s">
        <v>711</v>
      </c>
      <c r="E12" s="108" t="s">
        <v>712</v>
      </c>
      <c r="F12" s="22" t="s">
        <v>614</v>
      </c>
      <c r="G12" s="65" t="n">
        <f aca="false">IF(F12="","",IFERROR(INDEX('แผนงาน Schedule'!$AA$7:$AA$156,MATCH(F12&amp;"",'แผนงาน Schedule'!$A$7:$A$156,0)),"ไม่พบ WBS"))</f>
        <v>46266</v>
      </c>
      <c r="H12" s="20" t="n">
        <v>21</v>
      </c>
      <c r="I12" s="65" t="n">
        <f aca="false">IF(OR(D12="",NOT(ISNUMBER(G12))),"",G12-N(H12))</f>
        <v>46245</v>
      </c>
      <c r="J12" s="24" t="n">
        <v>46266</v>
      </c>
      <c r="K12" s="20" t="s">
        <v>677</v>
      </c>
      <c r="L12" s="24"/>
      <c r="M12" s="32" t="s">
        <v>713</v>
      </c>
      <c r="N12" s="99" t="str">
        <f aca="false">IF(D12="","",IF(K12="อนุมัติ","✓ อนุมัติแล้ว พร้อมใช้",IF(K12="ไม่อนุมัติ","⚠ ไม่อนุมัติ – ต้องเสนอใหม่"&amp;IF(ISNUMBER(I12),IF(I12&gt;='ตั้งค่า Setup'!$C$15," (เหลือ "&amp;(I12-'ตั้งค่า Setup'!$C$15)&amp;" วัน)"," (เลยกำหนด "&amp;('ตั้งค่า Setup'!$C$15-I12)&amp;" วัน)"),""),IF(NOT(ISNUMBER(I12)),"ติดตาม",IF(I12&lt;'ตั้งค่า Setup'!$C$15,"⚠ เลยกำหนดอนุมัติ "&amp;('ตั้งค่า Setup'!$C$15-I12)&amp;" วัน – กระทบแผนงาน",IF(I12-'ตั้งค่า Setup'!$C$15&lt;=14,"⚠ ต้องอนุมัติภายใน "&amp;(I12-'ตั้งค่า Setup'!$C$15)&amp;" วัน","ติดตาม (เหลือ "&amp;(I12-'ตั้งค่า Setup'!$C$15)&amp;" วัน)"))))))</f>
        <v>⚠ ไม่อนุมัติ – ต้องเสนอใหม่ (เลยกำหนด 48 วัน)</v>
      </c>
      <c r="O12" s="32" t="s">
        <v>714</v>
      </c>
    </row>
    <row r="13" customFormat="false" ht="15" hidden="false" customHeight="false" outlineLevel="0" collapsed="false">
      <c r="A13" s="61" t="str">
        <f aca="false">IF(D13="","",COUNTA(D$9:D13))</f>
        <v/>
      </c>
      <c r="B13" s="20"/>
      <c r="C13" s="32"/>
      <c r="D13" s="32"/>
      <c r="E13" s="32"/>
      <c r="F13" s="22"/>
      <c r="G13" s="65" t="str">
        <f aca="false">IF(F13="","",IFERROR(INDEX('แผนงาน Schedule'!$AA$7:$AA$156,MATCH(F13&amp;"",'แผนงาน Schedule'!$A$7:$A$156,0)),"ไม่พบ WBS"))</f>
        <v/>
      </c>
      <c r="H13" s="20"/>
      <c r="I13" s="65" t="str">
        <f aca="false">IF(OR(D13="",NOT(ISNUMBER(G13))),"",G13-N(H13))</f>
        <v/>
      </c>
      <c r="J13" s="24"/>
      <c r="K13" s="20"/>
      <c r="L13" s="24"/>
      <c r="M13" s="32"/>
      <c r="N13" s="99" t="str">
        <f aca="false">IF(D13="","",IF(K13="อนุมัติ","✓ อนุมัติแล้ว พร้อมใช้",IF(K13="ไม่อนุมัติ","⚠ ไม่อนุมัติ – ต้องเสนอใหม่"&amp;IF(ISNUMBER(I13),IF(I13&gt;='ตั้งค่า Setup'!$C$15," (เหลือ "&amp;(I13-'ตั้งค่า Setup'!$C$15)&amp;" วัน)"," (เลยกำหนด "&amp;('ตั้งค่า Setup'!$C$15-I13)&amp;" วัน)"),""),IF(NOT(ISNUMBER(I13)),"ติดตาม",IF(I13&lt;'ตั้งค่า Setup'!$C$15,"⚠ เลยกำหนดอนุมัติ "&amp;('ตั้งค่า Setup'!$C$15-I13)&amp;" วัน – กระทบแผนงาน",IF(I13-'ตั้งค่า Setup'!$C$15&lt;=14,"⚠ ต้องอนุมัติภายใน "&amp;(I13-'ตั้งค่า Setup'!$C$15)&amp;" วัน","ติดตาม (เหลือ "&amp;(I13-'ตั้งค่า Setup'!$C$15)&amp;" วัน)"))))))</f>
        <v/>
      </c>
      <c r="O13" s="32"/>
    </row>
    <row r="14" customFormat="false" ht="15" hidden="false" customHeight="false" outlineLevel="0" collapsed="false">
      <c r="A14" s="61" t="str">
        <f aca="false">IF(D14="","",COUNTA(D$9:D14))</f>
        <v/>
      </c>
      <c r="B14" s="20"/>
      <c r="C14" s="32"/>
      <c r="D14" s="32"/>
      <c r="E14" s="32"/>
      <c r="F14" s="22"/>
      <c r="G14" s="65" t="str">
        <f aca="false">IF(F14="","",IFERROR(INDEX('แผนงาน Schedule'!$AA$7:$AA$156,MATCH(F14&amp;"",'แผนงาน Schedule'!$A$7:$A$156,0)),"ไม่พบ WBS"))</f>
        <v/>
      </c>
      <c r="H14" s="20"/>
      <c r="I14" s="65" t="str">
        <f aca="false">IF(OR(D14="",NOT(ISNUMBER(G14))),"",G14-N(H14))</f>
        <v/>
      </c>
      <c r="J14" s="24"/>
      <c r="K14" s="20"/>
      <c r="L14" s="24"/>
      <c r="M14" s="32"/>
      <c r="N14" s="99" t="str">
        <f aca="false">IF(D14="","",IF(K14="อนุมัติ","✓ อนุมัติแล้ว พร้อมใช้",IF(K14="ไม่อนุมัติ","⚠ ไม่อนุมัติ – ต้องเสนอใหม่"&amp;IF(ISNUMBER(I14),IF(I14&gt;='ตั้งค่า Setup'!$C$15," (เหลือ "&amp;(I14-'ตั้งค่า Setup'!$C$15)&amp;" วัน)"," (เลยกำหนด "&amp;('ตั้งค่า Setup'!$C$15-I14)&amp;" วัน)"),""),IF(NOT(ISNUMBER(I14)),"ติดตาม",IF(I14&lt;'ตั้งค่า Setup'!$C$15,"⚠ เลยกำหนดอนุมัติ "&amp;('ตั้งค่า Setup'!$C$15-I14)&amp;" วัน – กระทบแผนงาน",IF(I14-'ตั้งค่า Setup'!$C$15&lt;=14,"⚠ ต้องอนุมัติภายใน "&amp;(I14-'ตั้งค่า Setup'!$C$15)&amp;" วัน","ติดตาม (เหลือ "&amp;(I14-'ตั้งค่า Setup'!$C$15)&amp;" วัน)"))))))</f>
        <v/>
      </c>
      <c r="O14" s="32"/>
    </row>
    <row r="15" customFormat="false" ht="15" hidden="false" customHeight="false" outlineLevel="0" collapsed="false">
      <c r="A15" s="61" t="str">
        <f aca="false">IF(D15="","",COUNTA(D$9:D15))</f>
        <v/>
      </c>
      <c r="B15" s="20"/>
      <c r="C15" s="32"/>
      <c r="D15" s="32"/>
      <c r="E15" s="32"/>
      <c r="F15" s="22"/>
      <c r="G15" s="65" t="str">
        <f aca="false">IF(F15="","",IFERROR(INDEX('แผนงาน Schedule'!$AA$7:$AA$156,MATCH(F15&amp;"",'แผนงาน Schedule'!$A$7:$A$156,0)),"ไม่พบ WBS"))</f>
        <v/>
      </c>
      <c r="H15" s="20"/>
      <c r="I15" s="65" t="str">
        <f aca="false">IF(OR(D15="",NOT(ISNUMBER(G15))),"",G15-N(H15))</f>
        <v/>
      </c>
      <c r="J15" s="24"/>
      <c r="K15" s="20"/>
      <c r="L15" s="24"/>
      <c r="M15" s="32"/>
      <c r="N15" s="99" t="str">
        <f aca="false">IF(D15="","",IF(K15="อนุมัติ","✓ อนุมัติแล้ว พร้อมใช้",IF(K15="ไม่อนุมัติ","⚠ ไม่อนุมัติ – ต้องเสนอใหม่"&amp;IF(ISNUMBER(I15),IF(I15&gt;='ตั้งค่า Setup'!$C$15," (เหลือ "&amp;(I15-'ตั้งค่า Setup'!$C$15)&amp;" วัน)"," (เลยกำหนด "&amp;('ตั้งค่า Setup'!$C$15-I15)&amp;" วัน)"),""),IF(NOT(ISNUMBER(I15)),"ติดตาม",IF(I15&lt;'ตั้งค่า Setup'!$C$15,"⚠ เลยกำหนดอนุมัติ "&amp;('ตั้งค่า Setup'!$C$15-I15)&amp;" วัน – กระทบแผนงาน",IF(I15-'ตั้งค่า Setup'!$C$15&lt;=14,"⚠ ต้องอนุมัติภายใน "&amp;(I15-'ตั้งค่า Setup'!$C$15)&amp;" วัน","ติดตาม (เหลือ "&amp;(I15-'ตั้งค่า Setup'!$C$15)&amp;" วัน)"))))))</f>
        <v/>
      </c>
      <c r="O15" s="32"/>
    </row>
    <row r="16" customFormat="false" ht="15" hidden="false" customHeight="false" outlineLevel="0" collapsed="false">
      <c r="A16" s="61" t="str">
        <f aca="false">IF(D16="","",COUNTA(D$9:D16))</f>
        <v/>
      </c>
      <c r="B16" s="20"/>
      <c r="C16" s="32"/>
      <c r="D16" s="32"/>
      <c r="E16" s="32"/>
      <c r="F16" s="22"/>
      <c r="G16" s="65" t="str">
        <f aca="false">IF(F16="","",IFERROR(INDEX('แผนงาน Schedule'!$AA$7:$AA$156,MATCH(F16&amp;"",'แผนงาน Schedule'!$A$7:$A$156,0)),"ไม่พบ WBS"))</f>
        <v/>
      </c>
      <c r="H16" s="20"/>
      <c r="I16" s="65" t="str">
        <f aca="false">IF(OR(D16="",NOT(ISNUMBER(G16))),"",G16-N(H16))</f>
        <v/>
      </c>
      <c r="J16" s="24"/>
      <c r="K16" s="20"/>
      <c r="L16" s="24"/>
      <c r="M16" s="32"/>
      <c r="N16" s="99" t="str">
        <f aca="false">IF(D16="","",IF(K16="อนุมัติ","✓ อนุมัติแล้ว พร้อมใช้",IF(K16="ไม่อนุมัติ","⚠ ไม่อนุมัติ – ต้องเสนอใหม่"&amp;IF(ISNUMBER(I16),IF(I16&gt;='ตั้งค่า Setup'!$C$15," (เหลือ "&amp;(I16-'ตั้งค่า Setup'!$C$15)&amp;" วัน)"," (เลยกำหนด "&amp;('ตั้งค่า Setup'!$C$15-I16)&amp;" วัน)"),""),IF(NOT(ISNUMBER(I16)),"ติดตาม",IF(I16&lt;'ตั้งค่า Setup'!$C$15,"⚠ เลยกำหนดอนุมัติ "&amp;('ตั้งค่า Setup'!$C$15-I16)&amp;" วัน – กระทบแผนงาน",IF(I16-'ตั้งค่า Setup'!$C$15&lt;=14,"⚠ ต้องอนุมัติภายใน "&amp;(I16-'ตั้งค่า Setup'!$C$15)&amp;" วัน","ติดตาม (เหลือ "&amp;(I16-'ตั้งค่า Setup'!$C$15)&amp;" วัน)"))))))</f>
        <v/>
      </c>
      <c r="O16" s="32"/>
    </row>
    <row r="17" customFormat="false" ht="15" hidden="false" customHeight="false" outlineLevel="0" collapsed="false">
      <c r="A17" s="61" t="str">
        <f aca="false">IF(D17="","",COUNTA(D$9:D17))</f>
        <v/>
      </c>
      <c r="B17" s="20"/>
      <c r="C17" s="32"/>
      <c r="D17" s="32"/>
      <c r="E17" s="32"/>
      <c r="F17" s="22"/>
      <c r="G17" s="65" t="str">
        <f aca="false">IF(F17="","",IFERROR(INDEX('แผนงาน Schedule'!$AA$7:$AA$156,MATCH(F17&amp;"",'แผนงาน Schedule'!$A$7:$A$156,0)),"ไม่พบ WBS"))</f>
        <v/>
      </c>
      <c r="H17" s="20"/>
      <c r="I17" s="65" t="str">
        <f aca="false">IF(OR(D17="",NOT(ISNUMBER(G17))),"",G17-N(H17))</f>
        <v/>
      </c>
      <c r="J17" s="24"/>
      <c r="K17" s="20"/>
      <c r="L17" s="24"/>
      <c r="M17" s="32"/>
      <c r="N17" s="99" t="str">
        <f aca="false">IF(D17="","",IF(K17="อนุมัติ","✓ อนุมัติแล้ว พร้อมใช้",IF(K17="ไม่อนุมัติ","⚠ ไม่อนุมัติ – ต้องเสนอใหม่"&amp;IF(ISNUMBER(I17),IF(I17&gt;='ตั้งค่า Setup'!$C$15," (เหลือ "&amp;(I17-'ตั้งค่า Setup'!$C$15)&amp;" วัน)"," (เลยกำหนด "&amp;('ตั้งค่า Setup'!$C$15-I17)&amp;" วัน)"),""),IF(NOT(ISNUMBER(I17)),"ติดตาม",IF(I17&lt;'ตั้งค่า Setup'!$C$15,"⚠ เลยกำหนดอนุมัติ "&amp;('ตั้งค่า Setup'!$C$15-I17)&amp;" วัน – กระทบแผนงาน",IF(I17-'ตั้งค่า Setup'!$C$15&lt;=14,"⚠ ต้องอนุมัติภายใน "&amp;(I17-'ตั้งค่า Setup'!$C$15)&amp;" วัน","ติดตาม (เหลือ "&amp;(I17-'ตั้งค่า Setup'!$C$15)&amp;" วัน)"))))))</f>
        <v/>
      </c>
      <c r="O17" s="32"/>
    </row>
    <row r="18" customFormat="false" ht="15" hidden="false" customHeight="false" outlineLevel="0" collapsed="false">
      <c r="A18" s="61" t="str">
        <f aca="false">IF(D18="","",COUNTA(D$9:D18))</f>
        <v/>
      </c>
      <c r="B18" s="20"/>
      <c r="C18" s="32"/>
      <c r="D18" s="32"/>
      <c r="E18" s="32"/>
      <c r="F18" s="22"/>
      <c r="G18" s="65" t="str">
        <f aca="false">IF(F18="","",IFERROR(INDEX('แผนงาน Schedule'!$AA$7:$AA$156,MATCH(F18&amp;"",'แผนงาน Schedule'!$A$7:$A$156,0)),"ไม่พบ WBS"))</f>
        <v/>
      </c>
      <c r="H18" s="20"/>
      <c r="I18" s="65" t="str">
        <f aca="false">IF(OR(D18="",NOT(ISNUMBER(G18))),"",G18-N(H18))</f>
        <v/>
      </c>
      <c r="J18" s="24"/>
      <c r="K18" s="20"/>
      <c r="L18" s="24"/>
      <c r="M18" s="32"/>
      <c r="N18" s="99" t="str">
        <f aca="false">IF(D18="","",IF(K18="อนุมัติ","✓ อนุมัติแล้ว พร้อมใช้",IF(K18="ไม่อนุมัติ","⚠ ไม่อนุมัติ – ต้องเสนอใหม่"&amp;IF(ISNUMBER(I18),IF(I18&gt;='ตั้งค่า Setup'!$C$15," (เหลือ "&amp;(I18-'ตั้งค่า Setup'!$C$15)&amp;" วัน)"," (เลยกำหนด "&amp;('ตั้งค่า Setup'!$C$15-I18)&amp;" วัน)"),""),IF(NOT(ISNUMBER(I18)),"ติดตาม",IF(I18&lt;'ตั้งค่า Setup'!$C$15,"⚠ เลยกำหนดอนุมัติ "&amp;('ตั้งค่า Setup'!$C$15-I18)&amp;" วัน – กระทบแผนงาน",IF(I18-'ตั้งค่า Setup'!$C$15&lt;=14,"⚠ ต้องอนุมัติภายใน "&amp;(I18-'ตั้งค่า Setup'!$C$15)&amp;" วัน","ติดตาม (เหลือ "&amp;(I18-'ตั้งค่า Setup'!$C$15)&amp;" วัน)"))))))</f>
        <v/>
      </c>
      <c r="O18" s="32"/>
    </row>
    <row r="19" customFormat="false" ht="15" hidden="false" customHeight="false" outlineLevel="0" collapsed="false">
      <c r="A19" s="61" t="str">
        <f aca="false">IF(D19="","",COUNTA(D$9:D19))</f>
        <v/>
      </c>
      <c r="B19" s="20"/>
      <c r="C19" s="32"/>
      <c r="D19" s="32"/>
      <c r="E19" s="32"/>
      <c r="F19" s="22"/>
      <c r="G19" s="65" t="str">
        <f aca="false">IF(F19="","",IFERROR(INDEX('แผนงาน Schedule'!$AA$7:$AA$156,MATCH(F19&amp;"",'แผนงาน Schedule'!$A$7:$A$156,0)),"ไม่พบ WBS"))</f>
        <v/>
      </c>
      <c r="H19" s="20"/>
      <c r="I19" s="65" t="str">
        <f aca="false">IF(OR(D19="",NOT(ISNUMBER(G19))),"",G19-N(H19))</f>
        <v/>
      </c>
      <c r="J19" s="24"/>
      <c r="K19" s="20"/>
      <c r="L19" s="24"/>
      <c r="M19" s="32"/>
      <c r="N19" s="99" t="str">
        <f aca="false">IF(D19="","",IF(K19="อนุมัติ","✓ อนุมัติแล้ว พร้อมใช้",IF(K19="ไม่อนุมัติ","⚠ ไม่อนุมัติ – ต้องเสนอใหม่"&amp;IF(ISNUMBER(I19),IF(I19&gt;='ตั้งค่า Setup'!$C$15," (เหลือ "&amp;(I19-'ตั้งค่า Setup'!$C$15)&amp;" วัน)"," (เลยกำหนด "&amp;('ตั้งค่า Setup'!$C$15-I19)&amp;" วัน)"),""),IF(NOT(ISNUMBER(I19)),"ติดตาม",IF(I19&lt;'ตั้งค่า Setup'!$C$15,"⚠ เลยกำหนดอนุมัติ "&amp;('ตั้งค่า Setup'!$C$15-I19)&amp;" วัน – กระทบแผนงาน",IF(I19-'ตั้งค่า Setup'!$C$15&lt;=14,"⚠ ต้องอนุมัติภายใน "&amp;(I19-'ตั้งค่า Setup'!$C$15)&amp;" วัน","ติดตาม (เหลือ "&amp;(I19-'ตั้งค่า Setup'!$C$15)&amp;" วัน)"))))))</f>
        <v/>
      </c>
      <c r="O19" s="32"/>
    </row>
    <row r="20" customFormat="false" ht="15" hidden="false" customHeight="false" outlineLevel="0" collapsed="false">
      <c r="A20" s="61" t="str">
        <f aca="false">IF(D20="","",COUNTA(D$9:D20))</f>
        <v/>
      </c>
      <c r="B20" s="20"/>
      <c r="C20" s="32"/>
      <c r="D20" s="32"/>
      <c r="E20" s="32"/>
      <c r="F20" s="22"/>
      <c r="G20" s="65" t="str">
        <f aca="false">IF(F20="","",IFERROR(INDEX('แผนงาน Schedule'!$AA$7:$AA$156,MATCH(F20&amp;"",'แผนงาน Schedule'!$A$7:$A$156,0)),"ไม่พบ WBS"))</f>
        <v/>
      </c>
      <c r="H20" s="20"/>
      <c r="I20" s="65" t="str">
        <f aca="false">IF(OR(D20="",NOT(ISNUMBER(G20))),"",G20-N(H20))</f>
        <v/>
      </c>
      <c r="J20" s="24"/>
      <c r="K20" s="20"/>
      <c r="L20" s="24"/>
      <c r="M20" s="32"/>
      <c r="N20" s="99" t="str">
        <f aca="false">IF(D20="","",IF(K20="อนุมัติ","✓ อนุมัติแล้ว พร้อมใช้",IF(K20="ไม่อนุมัติ","⚠ ไม่อนุมัติ – ต้องเสนอใหม่"&amp;IF(ISNUMBER(I20),IF(I20&gt;='ตั้งค่า Setup'!$C$15," (เหลือ "&amp;(I20-'ตั้งค่า Setup'!$C$15)&amp;" วัน)"," (เลยกำหนด "&amp;('ตั้งค่า Setup'!$C$15-I20)&amp;" วัน)"),""),IF(NOT(ISNUMBER(I20)),"ติดตาม",IF(I20&lt;'ตั้งค่า Setup'!$C$15,"⚠ เลยกำหนดอนุมัติ "&amp;('ตั้งค่า Setup'!$C$15-I20)&amp;" วัน – กระทบแผนงาน",IF(I20-'ตั้งค่า Setup'!$C$15&lt;=14,"⚠ ต้องอนุมัติภายใน "&amp;(I20-'ตั้งค่า Setup'!$C$15)&amp;" วัน","ติดตาม (เหลือ "&amp;(I20-'ตั้งค่า Setup'!$C$15)&amp;" วัน)"))))))</f>
        <v/>
      </c>
      <c r="O20" s="32"/>
    </row>
    <row r="21" customFormat="false" ht="15" hidden="false" customHeight="false" outlineLevel="0" collapsed="false">
      <c r="A21" s="61" t="str">
        <f aca="false">IF(D21="","",COUNTA(D$9:D21))</f>
        <v/>
      </c>
      <c r="B21" s="20"/>
      <c r="C21" s="32"/>
      <c r="D21" s="32"/>
      <c r="E21" s="32"/>
      <c r="F21" s="22"/>
      <c r="G21" s="65" t="str">
        <f aca="false">IF(F21="","",IFERROR(INDEX('แผนงาน Schedule'!$AA$7:$AA$156,MATCH(F21&amp;"",'แผนงาน Schedule'!$A$7:$A$156,0)),"ไม่พบ WBS"))</f>
        <v/>
      </c>
      <c r="H21" s="20"/>
      <c r="I21" s="65" t="str">
        <f aca="false">IF(OR(D21="",NOT(ISNUMBER(G21))),"",G21-N(H21))</f>
        <v/>
      </c>
      <c r="J21" s="24"/>
      <c r="K21" s="20"/>
      <c r="L21" s="24"/>
      <c r="M21" s="32"/>
      <c r="N21" s="99" t="str">
        <f aca="false">IF(D21="","",IF(K21="อนุมัติ","✓ อนุมัติแล้ว พร้อมใช้",IF(K21="ไม่อนุมัติ","⚠ ไม่อนุมัติ – ต้องเสนอใหม่"&amp;IF(ISNUMBER(I21),IF(I21&gt;='ตั้งค่า Setup'!$C$15," (เหลือ "&amp;(I21-'ตั้งค่า Setup'!$C$15)&amp;" วัน)"," (เลยกำหนด "&amp;('ตั้งค่า Setup'!$C$15-I21)&amp;" วัน)"),""),IF(NOT(ISNUMBER(I21)),"ติดตาม",IF(I21&lt;'ตั้งค่า Setup'!$C$15,"⚠ เลยกำหนดอนุมัติ "&amp;('ตั้งค่า Setup'!$C$15-I21)&amp;" วัน – กระทบแผนงาน",IF(I21-'ตั้งค่า Setup'!$C$15&lt;=14,"⚠ ต้องอนุมัติภายใน "&amp;(I21-'ตั้งค่า Setup'!$C$15)&amp;" วัน","ติดตาม (เหลือ "&amp;(I21-'ตั้งค่า Setup'!$C$15)&amp;" วัน)"))))))</f>
        <v/>
      </c>
      <c r="O21" s="32"/>
    </row>
    <row r="22" customFormat="false" ht="15" hidden="false" customHeight="false" outlineLevel="0" collapsed="false">
      <c r="A22" s="61" t="str">
        <f aca="false">IF(D22="","",COUNTA(D$9:D22))</f>
        <v/>
      </c>
      <c r="B22" s="20"/>
      <c r="C22" s="32"/>
      <c r="D22" s="32"/>
      <c r="E22" s="32"/>
      <c r="F22" s="22"/>
      <c r="G22" s="65" t="str">
        <f aca="false">IF(F22="","",IFERROR(INDEX('แผนงาน Schedule'!$AA$7:$AA$156,MATCH(F22&amp;"",'แผนงาน Schedule'!$A$7:$A$156,0)),"ไม่พบ WBS"))</f>
        <v/>
      </c>
      <c r="H22" s="20"/>
      <c r="I22" s="65" t="str">
        <f aca="false">IF(OR(D22="",NOT(ISNUMBER(G22))),"",G22-N(H22))</f>
        <v/>
      </c>
      <c r="J22" s="24"/>
      <c r="K22" s="20"/>
      <c r="L22" s="24"/>
      <c r="M22" s="32"/>
      <c r="N22" s="99" t="str">
        <f aca="false">IF(D22="","",IF(K22="อนุมัติ","✓ อนุมัติแล้ว พร้อมใช้",IF(K22="ไม่อนุมัติ","⚠ ไม่อนุมัติ – ต้องเสนอใหม่"&amp;IF(ISNUMBER(I22),IF(I22&gt;='ตั้งค่า Setup'!$C$15," (เหลือ "&amp;(I22-'ตั้งค่า Setup'!$C$15)&amp;" วัน)"," (เลยกำหนด "&amp;('ตั้งค่า Setup'!$C$15-I22)&amp;" วัน)"),""),IF(NOT(ISNUMBER(I22)),"ติดตาม",IF(I22&lt;'ตั้งค่า Setup'!$C$15,"⚠ เลยกำหนดอนุมัติ "&amp;('ตั้งค่า Setup'!$C$15-I22)&amp;" วัน – กระทบแผนงาน",IF(I22-'ตั้งค่า Setup'!$C$15&lt;=14,"⚠ ต้องอนุมัติภายใน "&amp;(I22-'ตั้งค่า Setup'!$C$15)&amp;" วัน","ติดตาม (เหลือ "&amp;(I22-'ตั้งค่า Setup'!$C$15)&amp;" วัน)"))))))</f>
        <v/>
      </c>
      <c r="O22" s="32"/>
    </row>
    <row r="23" customFormat="false" ht="15" hidden="false" customHeight="false" outlineLevel="0" collapsed="false">
      <c r="A23" s="61" t="str">
        <f aca="false">IF(D23="","",COUNTA(D$9:D23))</f>
        <v/>
      </c>
      <c r="B23" s="20"/>
      <c r="C23" s="32"/>
      <c r="D23" s="32"/>
      <c r="E23" s="32"/>
      <c r="F23" s="22"/>
      <c r="G23" s="65" t="str">
        <f aca="false">IF(F23="","",IFERROR(INDEX('แผนงาน Schedule'!$AA$7:$AA$156,MATCH(F23&amp;"",'แผนงาน Schedule'!$A$7:$A$156,0)),"ไม่พบ WBS"))</f>
        <v/>
      </c>
      <c r="H23" s="20"/>
      <c r="I23" s="65" t="str">
        <f aca="false">IF(OR(D23="",NOT(ISNUMBER(G23))),"",G23-N(H23))</f>
        <v/>
      </c>
      <c r="J23" s="24"/>
      <c r="K23" s="20"/>
      <c r="L23" s="24"/>
      <c r="M23" s="32"/>
      <c r="N23" s="99" t="str">
        <f aca="false">IF(D23="","",IF(K23="อนุมัติ","✓ อนุมัติแล้ว พร้อมใช้",IF(K23="ไม่อนุมัติ","⚠ ไม่อนุมัติ – ต้องเสนอใหม่"&amp;IF(ISNUMBER(I23),IF(I23&gt;='ตั้งค่า Setup'!$C$15," (เหลือ "&amp;(I23-'ตั้งค่า Setup'!$C$15)&amp;" วัน)"," (เลยกำหนด "&amp;('ตั้งค่า Setup'!$C$15-I23)&amp;" วัน)"),""),IF(NOT(ISNUMBER(I23)),"ติดตาม",IF(I23&lt;'ตั้งค่า Setup'!$C$15,"⚠ เลยกำหนดอนุมัติ "&amp;('ตั้งค่า Setup'!$C$15-I23)&amp;" วัน – กระทบแผนงาน",IF(I23-'ตั้งค่า Setup'!$C$15&lt;=14,"⚠ ต้องอนุมัติภายใน "&amp;(I23-'ตั้งค่า Setup'!$C$15)&amp;" วัน","ติดตาม (เหลือ "&amp;(I23-'ตั้งค่า Setup'!$C$15)&amp;" วัน)"))))))</f>
        <v/>
      </c>
      <c r="O23" s="32"/>
    </row>
    <row r="24" customFormat="false" ht="15" hidden="false" customHeight="false" outlineLevel="0" collapsed="false">
      <c r="A24" s="61" t="str">
        <f aca="false">IF(D24="","",COUNTA(D$9:D24))</f>
        <v/>
      </c>
      <c r="B24" s="20"/>
      <c r="C24" s="32"/>
      <c r="D24" s="32"/>
      <c r="E24" s="32"/>
      <c r="F24" s="22"/>
      <c r="G24" s="65" t="str">
        <f aca="false">IF(F24="","",IFERROR(INDEX('แผนงาน Schedule'!$AA$7:$AA$156,MATCH(F24&amp;"",'แผนงาน Schedule'!$A$7:$A$156,0)),"ไม่พบ WBS"))</f>
        <v/>
      </c>
      <c r="H24" s="20"/>
      <c r="I24" s="65" t="str">
        <f aca="false">IF(OR(D24="",NOT(ISNUMBER(G24))),"",G24-N(H24))</f>
        <v/>
      </c>
      <c r="J24" s="24"/>
      <c r="K24" s="20"/>
      <c r="L24" s="24"/>
      <c r="M24" s="32"/>
      <c r="N24" s="99" t="str">
        <f aca="false">IF(D24="","",IF(K24="อนุมัติ","✓ อนุมัติแล้ว พร้อมใช้",IF(K24="ไม่อนุมัติ","⚠ ไม่อนุมัติ – ต้องเสนอใหม่"&amp;IF(ISNUMBER(I24),IF(I24&gt;='ตั้งค่า Setup'!$C$15," (เหลือ "&amp;(I24-'ตั้งค่า Setup'!$C$15)&amp;" วัน)"," (เลยกำหนด "&amp;('ตั้งค่า Setup'!$C$15-I24)&amp;" วัน)"),""),IF(NOT(ISNUMBER(I24)),"ติดตาม",IF(I24&lt;'ตั้งค่า Setup'!$C$15,"⚠ เลยกำหนดอนุมัติ "&amp;('ตั้งค่า Setup'!$C$15-I24)&amp;" วัน – กระทบแผนงาน",IF(I24-'ตั้งค่า Setup'!$C$15&lt;=14,"⚠ ต้องอนุมัติภายใน "&amp;(I24-'ตั้งค่า Setup'!$C$15)&amp;" วัน","ติดตาม (เหลือ "&amp;(I24-'ตั้งค่า Setup'!$C$15)&amp;" วัน)"))))))</f>
        <v/>
      </c>
      <c r="O24" s="32"/>
    </row>
    <row r="25" customFormat="false" ht="15" hidden="false" customHeight="false" outlineLevel="0" collapsed="false">
      <c r="A25" s="61" t="str">
        <f aca="false">IF(D25="","",COUNTA(D$9:D25))</f>
        <v/>
      </c>
      <c r="B25" s="20"/>
      <c r="C25" s="32"/>
      <c r="D25" s="32"/>
      <c r="E25" s="32"/>
      <c r="F25" s="22"/>
      <c r="G25" s="65" t="str">
        <f aca="false">IF(F25="","",IFERROR(INDEX('แผนงาน Schedule'!$AA$7:$AA$156,MATCH(F25&amp;"",'แผนงาน Schedule'!$A$7:$A$156,0)),"ไม่พบ WBS"))</f>
        <v/>
      </c>
      <c r="H25" s="20"/>
      <c r="I25" s="65" t="str">
        <f aca="false">IF(OR(D25="",NOT(ISNUMBER(G25))),"",G25-N(H25))</f>
        <v/>
      </c>
      <c r="J25" s="24"/>
      <c r="K25" s="20"/>
      <c r="L25" s="24"/>
      <c r="M25" s="32"/>
      <c r="N25" s="99" t="str">
        <f aca="false">IF(D25="","",IF(K25="อนุมัติ","✓ อนุมัติแล้ว พร้อมใช้",IF(K25="ไม่อนุมัติ","⚠ ไม่อนุมัติ – ต้องเสนอใหม่"&amp;IF(ISNUMBER(I25),IF(I25&gt;='ตั้งค่า Setup'!$C$15," (เหลือ "&amp;(I25-'ตั้งค่า Setup'!$C$15)&amp;" วัน)"," (เลยกำหนด "&amp;('ตั้งค่า Setup'!$C$15-I25)&amp;" วัน)"),""),IF(NOT(ISNUMBER(I25)),"ติดตาม",IF(I25&lt;'ตั้งค่า Setup'!$C$15,"⚠ เลยกำหนดอนุมัติ "&amp;('ตั้งค่า Setup'!$C$15-I25)&amp;" วัน – กระทบแผนงาน",IF(I25-'ตั้งค่า Setup'!$C$15&lt;=14,"⚠ ต้องอนุมัติภายใน "&amp;(I25-'ตั้งค่า Setup'!$C$15)&amp;" วัน","ติดตาม (เหลือ "&amp;(I25-'ตั้งค่า Setup'!$C$15)&amp;" วัน)"))))))</f>
        <v/>
      </c>
      <c r="O25" s="32"/>
    </row>
    <row r="26" customFormat="false" ht="15" hidden="false" customHeight="false" outlineLevel="0" collapsed="false">
      <c r="A26" s="61" t="str">
        <f aca="false">IF(D26="","",COUNTA(D$9:D26))</f>
        <v/>
      </c>
      <c r="B26" s="20"/>
      <c r="C26" s="32"/>
      <c r="D26" s="32"/>
      <c r="E26" s="32"/>
      <c r="F26" s="22"/>
      <c r="G26" s="65" t="str">
        <f aca="false">IF(F26="","",IFERROR(INDEX('แผนงาน Schedule'!$AA$7:$AA$156,MATCH(F26&amp;"",'แผนงาน Schedule'!$A$7:$A$156,0)),"ไม่พบ WBS"))</f>
        <v/>
      </c>
      <c r="H26" s="20"/>
      <c r="I26" s="65" t="str">
        <f aca="false">IF(OR(D26="",NOT(ISNUMBER(G26))),"",G26-N(H26))</f>
        <v/>
      </c>
      <c r="J26" s="24"/>
      <c r="K26" s="20"/>
      <c r="L26" s="24"/>
      <c r="M26" s="32"/>
      <c r="N26" s="99" t="str">
        <f aca="false">IF(D26="","",IF(K26="อนุมัติ","✓ อนุมัติแล้ว พร้อมใช้",IF(K26="ไม่อนุมัติ","⚠ ไม่อนุมัติ – ต้องเสนอใหม่"&amp;IF(ISNUMBER(I26),IF(I26&gt;='ตั้งค่า Setup'!$C$15," (เหลือ "&amp;(I26-'ตั้งค่า Setup'!$C$15)&amp;" วัน)"," (เลยกำหนด "&amp;('ตั้งค่า Setup'!$C$15-I26)&amp;" วัน)"),""),IF(NOT(ISNUMBER(I26)),"ติดตาม",IF(I26&lt;'ตั้งค่า Setup'!$C$15,"⚠ เลยกำหนดอนุมัติ "&amp;('ตั้งค่า Setup'!$C$15-I26)&amp;" วัน – กระทบแผนงาน",IF(I26-'ตั้งค่า Setup'!$C$15&lt;=14,"⚠ ต้องอนุมัติภายใน "&amp;(I26-'ตั้งค่า Setup'!$C$15)&amp;" วัน","ติดตาม (เหลือ "&amp;(I26-'ตั้งค่า Setup'!$C$15)&amp;" วัน)"))))))</f>
        <v/>
      </c>
      <c r="O26" s="32"/>
    </row>
    <row r="27" customFormat="false" ht="15" hidden="false" customHeight="false" outlineLevel="0" collapsed="false">
      <c r="A27" s="61" t="str">
        <f aca="false">IF(D27="","",COUNTA(D$9:D27))</f>
        <v/>
      </c>
      <c r="B27" s="20"/>
      <c r="C27" s="32"/>
      <c r="D27" s="32"/>
      <c r="E27" s="32"/>
      <c r="F27" s="22"/>
      <c r="G27" s="65" t="str">
        <f aca="false">IF(F27="","",IFERROR(INDEX('แผนงาน Schedule'!$AA$7:$AA$156,MATCH(F27&amp;"",'แผนงาน Schedule'!$A$7:$A$156,0)),"ไม่พบ WBS"))</f>
        <v/>
      </c>
      <c r="H27" s="20"/>
      <c r="I27" s="65" t="str">
        <f aca="false">IF(OR(D27="",NOT(ISNUMBER(G27))),"",G27-N(H27))</f>
        <v/>
      </c>
      <c r="J27" s="24"/>
      <c r="K27" s="20"/>
      <c r="L27" s="24"/>
      <c r="M27" s="32"/>
      <c r="N27" s="99" t="str">
        <f aca="false">IF(D27="","",IF(K27="อนุมัติ","✓ อนุมัติแล้ว พร้อมใช้",IF(K27="ไม่อนุมัติ","⚠ ไม่อนุมัติ – ต้องเสนอใหม่"&amp;IF(ISNUMBER(I27),IF(I27&gt;='ตั้งค่า Setup'!$C$15," (เหลือ "&amp;(I27-'ตั้งค่า Setup'!$C$15)&amp;" วัน)"," (เลยกำหนด "&amp;('ตั้งค่า Setup'!$C$15-I27)&amp;" วัน)"),""),IF(NOT(ISNUMBER(I27)),"ติดตาม",IF(I27&lt;'ตั้งค่า Setup'!$C$15,"⚠ เลยกำหนดอนุมัติ "&amp;('ตั้งค่า Setup'!$C$15-I27)&amp;" วัน – กระทบแผนงาน",IF(I27-'ตั้งค่า Setup'!$C$15&lt;=14,"⚠ ต้องอนุมัติภายใน "&amp;(I27-'ตั้งค่า Setup'!$C$15)&amp;" วัน","ติดตาม (เหลือ "&amp;(I27-'ตั้งค่า Setup'!$C$15)&amp;" วัน)"))))))</f>
        <v/>
      </c>
      <c r="O27" s="32"/>
    </row>
    <row r="28" customFormat="false" ht="15" hidden="false" customHeight="false" outlineLevel="0" collapsed="false">
      <c r="A28" s="61" t="str">
        <f aca="false">IF(D28="","",COUNTA(D$9:D28))</f>
        <v/>
      </c>
      <c r="B28" s="20"/>
      <c r="C28" s="32"/>
      <c r="D28" s="32"/>
      <c r="E28" s="32"/>
      <c r="F28" s="22"/>
      <c r="G28" s="65" t="str">
        <f aca="false">IF(F28="","",IFERROR(INDEX('แผนงาน Schedule'!$AA$7:$AA$156,MATCH(F28&amp;"",'แผนงาน Schedule'!$A$7:$A$156,0)),"ไม่พบ WBS"))</f>
        <v/>
      </c>
      <c r="H28" s="20"/>
      <c r="I28" s="65" t="str">
        <f aca="false">IF(OR(D28="",NOT(ISNUMBER(G28))),"",G28-N(H28))</f>
        <v/>
      </c>
      <c r="J28" s="24"/>
      <c r="K28" s="20"/>
      <c r="L28" s="24"/>
      <c r="M28" s="32"/>
      <c r="N28" s="99" t="str">
        <f aca="false">IF(D28="","",IF(K28="อนุมัติ","✓ อนุมัติแล้ว พร้อมใช้",IF(K28="ไม่อนุมัติ","⚠ ไม่อนุมัติ – ต้องเสนอใหม่"&amp;IF(ISNUMBER(I28),IF(I28&gt;='ตั้งค่า Setup'!$C$15," (เหลือ "&amp;(I28-'ตั้งค่า Setup'!$C$15)&amp;" วัน)"," (เลยกำหนด "&amp;('ตั้งค่า Setup'!$C$15-I28)&amp;" วัน)"),""),IF(NOT(ISNUMBER(I28)),"ติดตาม",IF(I28&lt;'ตั้งค่า Setup'!$C$15,"⚠ เลยกำหนดอนุมัติ "&amp;('ตั้งค่า Setup'!$C$15-I28)&amp;" วัน – กระทบแผนงาน",IF(I28-'ตั้งค่า Setup'!$C$15&lt;=14,"⚠ ต้องอนุมัติภายใน "&amp;(I28-'ตั้งค่า Setup'!$C$15)&amp;" วัน","ติดตาม (เหลือ "&amp;(I28-'ตั้งค่า Setup'!$C$15)&amp;" วัน)"))))))</f>
        <v/>
      </c>
      <c r="O28" s="32"/>
    </row>
    <row r="29" customFormat="false" ht="15" hidden="false" customHeight="false" outlineLevel="0" collapsed="false">
      <c r="A29" s="61" t="str">
        <f aca="false">IF(D29="","",COUNTA(D$9:D29))</f>
        <v/>
      </c>
      <c r="B29" s="20"/>
      <c r="C29" s="32"/>
      <c r="D29" s="32"/>
      <c r="E29" s="32"/>
      <c r="F29" s="22"/>
      <c r="G29" s="65" t="str">
        <f aca="false">IF(F29="","",IFERROR(INDEX('แผนงาน Schedule'!$AA$7:$AA$156,MATCH(F29&amp;"",'แผนงาน Schedule'!$A$7:$A$156,0)),"ไม่พบ WBS"))</f>
        <v/>
      </c>
      <c r="H29" s="20"/>
      <c r="I29" s="65" t="str">
        <f aca="false">IF(OR(D29="",NOT(ISNUMBER(G29))),"",G29-N(H29))</f>
        <v/>
      </c>
      <c r="J29" s="24"/>
      <c r="K29" s="20"/>
      <c r="L29" s="24"/>
      <c r="M29" s="32"/>
      <c r="N29" s="99" t="str">
        <f aca="false">IF(D29="","",IF(K29="อนุมัติ","✓ อนุมัติแล้ว พร้อมใช้",IF(K29="ไม่อนุมัติ","⚠ ไม่อนุมัติ – ต้องเสนอใหม่"&amp;IF(ISNUMBER(I29),IF(I29&gt;='ตั้งค่า Setup'!$C$15," (เหลือ "&amp;(I29-'ตั้งค่า Setup'!$C$15)&amp;" วัน)"," (เลยกำหนด "&amp;('ตั้งค่า Setup'!$C$15-I29)&amp;" วัน)"),""),IF(NOT(ISNUMBER(I29)),"ติดตาม",IF(I29&lt;'ตั้งค่า Setup'!$C$15,"⚠ เลยกำหนดอนุมัติ "&amp;('ตั้งค่า Setup'!$C$15-I29)&amp;" วัน – กระทบแผนงาน",IF(I29-'ตั้งค่า Setup'!$C$15&lt;=14,"⚠ ต้องอนุมัติภายใน "&amp;(I29-'ตั้งค่า Setup'!$C$15)&amp;" วัน","ติดตาม (เหลือ "&amp;(I29-'ตั้งค่า Setup'!$C$15)&amp;" วัน)"))))))</f>
        <v/>
      </c>
      <c r="O29" s="32"/>
    </row>
    <row r="30" customFormat="false" ht="15" hidden="false" customHeight="false" outlineLevel="0" collapsed="false">
      <c r="A30" s="61" t="str">
        <f aca="false">IF(D30="","",COUNTA(D$9:D30))</f>
        <v/>
      </c>
      <c r="B30" s="20"/>
      <c r="C30" s="32"/>
      <c r="D30" s="32"/>
      <c r="E30" s="32"/>
      <c r="F30" s="22"/>
      <c r="G30" s="65" t="str">
        <f aca="false">IF(F30="","",IFERROR(INDEX('แผนงาน Schedule'!$AA$7:$AA$156,MATCH(F30&amp;"",'แผนงาน Schedule'!$A$7:$A$156,0)),"ไม่พบ WBS"))</f>
        <v/>
      </c>
      <c r="H30" s="20"/>
      <c r="I30" s="65" t="str">
        <f aca="false">IF(OR(D30="",NOT(ISNUMBER(G30))),"",G30-N(H30))</f>
        <v/>
      </c>
      <c r="J30" s="24"/>
      <c r="K30" s="20"/>
      <c r="L30" s="24"/>
      <c r="M30" s="32"/>
      <c r="N30" s="99" t="str">
        <f aca="false">IF(D30="","",IF(K30="อนุมัติ","✓ อนุมัติแล้ว พร้อมใช้",IF(K30="ไม่อนุมัติ","⚠ ไม่อนุมัติ – ต้องเสนอใหม่"&amp;IF(ISNUMBER(I30),IF(I30&gt;='ตั้งค่า Setup'!$C$15," (เหลือ "&amp;(I30-'ตั้งค่า Setup'!$C$15)&amp;" วัน)"," (เลยกำหนด "&amp;('ตั้งค่า Setup'!$C$15-I30)&amp;" วัน)"),""),IF(NOT(ISNUMBER(I30)),"ติดตาม",IF(I30&lt;'ตั้งค่า Setup'!$C$15,"⚠ เลยกำหนดอนุมัติ "&amp;('ตั้งค่า Setup'!$C$15-I30)&amp;" วัน – กระทบแผนงาน",IF(I30-'ตั้งค่า Setup'!$C$15&lt;=14,"⚠ ต้องอนุมัติภายใน "&amp;(I30-'ตั้งค่า Setup'!$C$15)&amp;" วัน","ติดตาม (เหลือ "&amp;(I30-'ตั้งค่า Setup'!$C$15)&amp;" วัน)"))))))</f>
        <v/>
      </c>
      <c r="O30" s="32"/>
    </row>
    <row r="31" customFormat="false" ht="15" hidden="false" customHeight="false" outlineLevel="0" collapsed="false">
      <c r="A31" s="61" t="str">
        <f aca="false">IF(D31="","",COUNTA(D$9:D31))</f>
        <v/>
      </c>
      <c r="B31" s="20"/>
      <c r="C31" s="32"/>
      <c r="D31" s="32"/>
      <c r="E31" s="32"/>
      <c r="F31" s="22"/>
      <c r="G31" s="65" t="str">
        <f aca="false">IF(F31="","",IFERROR(INDEX('แผนงาน Schedule'!$AA$7:$AA$156,MATCH(F31&amp;"",'แผนงาน Schedule'!$A$7:$A$156,0)),"ไม่พบ WBS"))</f>
        <v/>
      </c>
      <c r="H31" s="20"/>
      <c r="I31" s="65" t="str">
        <f aca="false">IF(OR(D31="",NOT(ISNUMBER(G31))),"",G31-N(H31))</f>
        <v/>
      </c>
      <c r="J31" s="24"/>
      <c r="K31" s="20"/>
      <c r="L31" s="24"/>
      <c r="M31" s="32"/>
      <c r="N31" s="99" t="str">
        <f aca="false">IF(D31="","",IF(K31="อนุมัติ","✓ อนุมัติแล้ว พร้อมใช้",IF(K31="ไม่อนุมัติ","⚠ ไม่อนุมัติ – ต้องเสนอใหม่"&amp;IF(ISNUMBER(I31),IF(I31&gt;='ตั้งค่า Setup'!$C$15," (เหลือ "&amp;(I31-'ตั้งค่า Setup'!$C$15)&amp;" วัน)"," (เลยกำหนด "&amp;('ตั้งค่า Setup'!$C$15-I31)&amp;" วัน)"),""),IF(NOT(ISNUMBER(I31)),"ติดตาม",IF(I31&lt;'ตั้งค่า Setup'!$C$15,"⚠ เลยกำหนดอนุมัติ "&amp;('ตั้งค่า Setup'!$C$15-I31)&amp;" วัน – กระทบแผนงาน",IF(I31-'ตั้งค่า Setup'!$C$15&lt;=14,"⚠ ต้องอนุมัติภายใน "&amp;(I31-'ตั้งค่า Setup'!$C$15)&amp;" วัน","ติดตาม (เหลือ "&amp;(I31-'ตั้งค่า Setup'!$C$15)&amp;" วัน)"))))))</f>
        <v/>
      </c>
      <c r="O31" s="32"/>
    </row>
    <row r="32" customFormat="false" ht="15" hidden="false" customHeight="false" outlineLevel="0" collapsed="false">
      <c r="A32" s="61" t="str">
        <f aca="false">IF(D32="","",COUNTA(D$9:D32))</f>
        <v/>
      </c>
      <c r="B32" s="20"/>
      <c r="C32" s="32"/>
      <c r="D32" s="32"/>
      <c r="E32" s="32"/>
      <c r="F32" s="22"/>
      <c r="G32" s="65" t="str">
        <f aca="false">IF(F32="","",IFERROR(INDEX('แผนงาน Schedule'!$AA$7:$AA$156,MATCH(F32&amp;"",'แผนงาน Schedule'!$A$7:$A$156,0)),"ไม่พบ WBS"))</f>
        <v/>
      </c>
      <c r="H32" s="20"/>
      <c r="I32" s="65" t="str">
        <f aca="false">IF(OR(D32="",NOT(ISNUMBER(G32))),"",G32-N(H32))</f>
        <v/>
      </c>
      <c r="J32" s="24"/>
      <c r="K32" s="20"/>
      <c r="L32" s="24"/>
      <c r="M32" s="32"/>
      <c r="N32" s="99" t="str">
        <f aca="false">IF(D32="","",IF(K32="อนุมัติ","✓ อนุมัติแล้ว พร้อมใช้",IF(K32="ไม่อนุมัติ","⚠ ไม่อนุมัติ – ต้องเสนอใหม่"&amp;IF(ISNUMBER(I32),IF(I32&gt;='ตั้งค่า Setup'!$C$15," (เหลือ "&amp;(I32-'ตั้งค่า Setup'!$C$15)&amp;" วัน)"," (เลยกำหนด "&amp;('ตั้งค่า Setup'!$C$15-I32)&amp;" วัน)"),""),IF(NOT(ISNUMBER(I32)),"ติดตาม",IF(I32&lt;'ตั้งค่า Setup'!$C$15,"⚠ เลยกำหนดอนุมัติ "&amp;('ตั้งค่า Setup'!$C$15-I32)&amp;" วัน – กระทบแผนงาน",IF(I32-'ตั้งค่า Setup'!$C$15&lt;=14,"⚠ ต้องอนุมัติภายใน "&amp;(I32-'ตั้งค่า Setup'!$C$15)&amp;" วัน","ติดตาม (เหลือ "&amp;(I32-'ตั้งค่า Setup'!$C$15)&amp;" วัน)"))))))</f>
        <v/>
      </c>
      <c r="O32" s="32"/>
    </row>
    <row r="33" customFormat="false" ht="15" hidden="false" customHeight="false" outlineLevel="0" collapsed="false">
      <c r="A33" s="61" t="str">
        <f aca="false">IF(D33="","",COUNTA(D$9:D33))</f>
        <v/>
      </c>
      <c r="B33" s="20"/>
      <c r="C33" s="32"/>
      <c r="D33" s="32"/>
      <c r="E33" s="32"/>
      <c r="F33" s="22"/>
      <c r="G33" s="65" t="str">
        <f aca="false">IF(F33="","",IFERROR(INDEX('แผนงาน Schedule'!$AA$7:$AA$156,MATCH(F33&amp;"",'แผนงาน Schedule'!$A$7:$A$156,0)),"ไม่พบ WBS"))</f>
        <v/>
      </c>
      <c r="H33" s="20"/>
      <c r="I33" s="65" t="str">
        <f aca="false">IF(OR(D33="",NOT(ISNUMBER(G33))),"",G33-N(H33))</f>
        <v/>
      </c>
      <c r="J33" s="24"/>
      <c r="K33" s="20"/>
      <c r="L33" s="24"/>
      <c r="M33" s="32"/>
      <c r="N33" s="99" t="str">
        <f aca="false">IF(D33="","",IF(K33="อนุมัติ","✓ อนุมัติแล้ว พร้อมใช้",IF(K33="ไม่อนุมัติ","⚠ ไม่อนุมัติ – ต้องเสนอใหม่"&amp;IF(ISNUMBER(I33),IF(I33&gt;='ตั้งค่า Setup'!$C$15," (เหลือ "&amp;(I33-'ตั้งค่า Setup'!$C$15)&amp;" วัน)"," (เลยกำหนด "&amp;('ตั้งค่า Setup'!$C$15-I33)&amp;" วัน)"),""),IF(NOT(ISNUMBER(I33)),"ติดตาม",IF(I33&lt;'ตั้งค่า Setup'!$C$15,"⚠ เลยกำหนดอนุมัติ "&amp;('ตั้งค่า Setup'!$C$15-I33)&amp;" วัน – กระทบแผนงาน",IF(I33-'ตั้งค่า Setup'!$C$15&lt;=14,"⚠ ต้องอนุมัติภายใน "&amp;(I33-'ตั้งค่า Setup'!$C$15)&amp;" วัน","ติดตาม (เหลือ "&amp;(I33-'ตั้งค่า Setup'!$C$15)&amp;" วัน)"))))))</f>
        <v/>
      </c>
      <c r="O33" s="32"/>
    </row>
    <row r="34" customFormat="false" ht="15" hidden="false" customHeight="false" outlineLevel="0" collapsed="false">
      <c r="A34" s="61" t="str">
        <f aca="false">IF(D34="","",COUNTA(D$9:D34))</f>
        <v/>
      </c>
      <c r="B34" s="20"/>
      <c r="C34" s="32"/>
      <c r="D34" s="32"/>
      <c r="E34" s="32"/>
      <c r="F34" s="22"/>
      <c r="G34" s="65" t="str">
        <f aca="false">IF(F34="","",IFERROR(INDEX('แผนงาน Schedule'!$AA$7:$AA$156,MATCH(F34&amp;"",'แผนงาน Schedule'!$A$7:$A$156,0)),"ไม่พบ WBS"))</f>
        <v/>
      </c>
      <c r="H34" s="20"/>
      <c r="I34" s="65" t="str">
        <f aca="false">IF(OR(D34="",NOT(ISNUMBER(G34))),"",G34-N(H34))</f>
        <v/>
      </c>
      <c r="J34" s="24"/>
      <c r="K34" s="20"/>
      <c r="L34" s="24"/>
      <c r="M34" s="32"/>
      <c r="N34" s="99" t="str">
        <f aca="false">IF(D34="","",IF(K34="อนุมัติ","✓ อนุมัติแล้ว พร้อมใช้",IF(K34="ไม่อนุมัติ","⚠ ไม่อนุมัติ – ต้องเสนอใหม่"&amp;IF(ISNUMBER(I34),IF(I34&gt;='ตั้งค่า Setup'!$C$15," (เหลือ "&amp;(I34-'ตั้งค่า Setup'!$C$15)&amp;" วัน)"," (เลยกำหนด "&amp;('ตั้งค่า Setup'!$C$15-I34)&amp;" วัน)"),""),IF(NOT(ISNUMBER(I34)),"ติดตาม",IF(I34&lt;'ตั้งค่า Setup'!$C$15,"⚠ เลยกำหนดอนุมัติ "&amp;('ตั้งค่า Setup'!$C$15-I34)&amp;" วัน – กระทบแผนงาน",IF(I34-'ตั้งค่า Setup'!$C$15&lt;=14,"⚠ ต้องอนุมัติภายใน "&amp;(I34-'ตั้งค่า Setup'!$C$15)&amp;" วัน","ติดตาม (เหลือ "&amp;(I34-'ตั้งค่า Setup'!$C$15)&amp;" วัน)"))))))</f>
        <v/>
      </c>
      <c r="O34" s="32"/>
    </row>
    <row r="35" customFormat="false" ht="15" hidden="false" customHeight="false" outlineLevel="0" collapsed="false">
      <c r="A35" s="61" t="str">
        <f aca="false">IF(D35="","",COUNTA(D$9:D35))</f>
        <v/>
      </c>
      <c r="B35" s="20"/>
      <c r="C35" s="32"/>
      <c r="D35" s="32"/>
      <c r="E35" s="32"/>
      <c r="F35" s="22"/>
      <c r="G35" s="65" t="str">
        <f aca="false">IF(F35="","",IFERROR(INDEX('แผนงาน Schedule'!$AA$7:$AA$156,MATCH(F35&amp;"",'แผนงาน Schedule'!$A$7:$A$156,0)),"ไม่พบ WBS"))</f>
        <v/>
      </c>
      <c r="H35" s="20"/>
      <c r="I35" s="65" t="str">
        <f aca="false">IF(OR(D35="",NOT(ISNUMBER(G35))),"",G35-N(H35))</f>
        <v/>
      </c>
      <c r="J35" s="24"/>
      <c r="K35" s="20"/>
      <c r="L35" s="24"/>
      <c r="M35" s="32"/>
      <c r="N35" s="99" t="str">
        <f aca="false">IF(D35="","",IF(K35="อนุมัติ","✓ อนุมัติแล้ว พร้อมใช้",IF(K35="ไม่อนุมัติ","⚠ ไม่อนุมัติ – ต้องเสนอใหม่"&amp;IF(ISNUMBER(I35),IF(I35&gt;='ตั้งค่า Setup'!$C$15," (เหลือ "&amp;(I35-'ตั้งค่า Setup'!$C$15)&amp;" วัน)"," (เลยกำหนด "&amp;('ตั้งค่า Setup'!$C$15-I35)&amp;" วัน)"),""),IF(NOT(ISNUMBER(I35)),"ติดตาม",IF(I35&lt;'ตั้งค่า Setup'!$C$15,"⚠ เลยกำหนดอนุมัติ "&amp;('ตั้งค่า Setup'!$C$15-I35)&amp;" วัน – กระทบแผนงาน",IF(I35-'ตั้งค่า Setup'!$C$15&lt;=14,"⚠ ต้องอนุมัติภายใน "&amp;(I35-'ตั้งค่า Setup'!$C$15)&amp;" วัน","ติดตาม (เหลือ "&amp;(I35-'ตั้งค่า Setup'!$C$15)&amp;" วัน)"))))))</f>
        <v/>
      </c>
      <c r="O35" s="32"/>
    </row>
    <row r="36" customFormat="false" ht="15" hidden="false" customHeight="false" outlineLevel="0" collapsed="false">
      <c r="A36" s="61" t="str">
        <f aca="false">IF(D36="","",COUNTA(D$9:D36))</f>
        <v/>
      </c>
      <c r="B36" s="20"/>
      <c r="C36" s="32"/>
      <c r="D36" s="32"/>
      <c r="E36" s="32"/>
      <c r="F36" s="22"/>
      <c r="G36" s="65" t="str">
        <f aca="false">IF(F36="","",IFERROR(INDEX('แผนงาน Schedule'!$AA$7:$AA$156,MATCH(F36&amp;"",'แผนงาน Schedule'!$A$7:$A$156,0)),"ไม่พบ WBS"))</f>
        <v/>
      </c>
      <c r="H36" s="20"/>
      <c r="I36" s="65" t="str">
        <f aca="false">IF(OR(D36="",NOT(ISNUMBER(G36))),"",G36-N(H36))</f>
        <v/>
      </c>
      <c r="J36" s="24"/>
      <c r="K36" s="20"/>
      <c r="L36" s="24"/>
      <c r="M36" s="32"/>
      <c r="N36" s="99" t="str">
        <f aca="false">IF(D36="","",IF(K36="อนุมัติ","✓ อนุมัติแล้ว พร้อมใช้",IF(K36="ไม่อนุมัติ","⚠ ไม่อนุมัติ – ต้องเสนอใหม่"&amp;IF(ISNUMBER(I36),IF(I36&gt;='ตั้งค่า Setup'!$C$15," (เหลือ "&amp;(I36-'ตั้งค่า Setup'!$C$15)&amp;" วัน)"," (เลยกำหนด "&amp;('ตั้งค่า Setup'!$C$15-I36)&amp;" วัน)"),""),IF(NOT(ISNUMBER(I36)),"ติดตาม",IF(I36&lt;'ตั้งค่า Setup'!$C$15,"⚠ เลยกำหนดอนุมัติ "&amp;('ตั้งค่า Setup'!$C$15-I36)&amp;" วัน – กระทบแผนงาน",IF(I36-'ตั้งค่า Setup'!$C$15&lt;=14,"⚠ ต้องอนุมัติภายใน "&amp;(I36-'ตั้งค่า Setup'!$C$15)&amp;" วัน","ติดตาม (เหลือ "&amp;(I36-'ตั้งค่า Setup'!$C$15)&amp;" วัน)"))))))</f>
        <v/>
      </c>
      <c r="O36" s="32"/>
    </row>
    <row r="37" customFormat="false" ht="15" hidden="false" customHeight="false" outlineLevel="0" collapsed="false">
      <c r="A37" s="61" t="str">
        <f aca="false">IF(D37="","",COUNTA(D$9:D37))</f>
        <v/>
      </c>
      <c r="B37" s="20"/>
      <c r="C37" s="32"/>
      <c r="D37" s="32"/>
      <c r="E37" s="32"/>
      <c r="F37" s="22"/>
      <c r="G37" s="65" t="str">
        <f aca="false">IF(F37="","",IFERROR(INDEX('แผนงาน Schedule'!$AA$7:$AA$156,MATCH(F37&amp;"",'แผนงาน Schedule'!$A$7:$A$156,0)),"ไม่พบ WBS"))</f>
        <v/>
      </c>
      <c r="H37" s="20"/>
      <c r="I37" s="65" t="str">
        <f aca="false">IF(OR(D37="",NOT(ISNUMBER(G37))),"",G37-N(H37))</f>
        <v/>
      </c>
      <c r="J37" s="24"/>
      <c r="K37" s="20"/>
      <c r="L37" s="24"/>
      <c r="M37" s="32"/>
      <c r="N37" s="99" t="str">
        <f aca="false">IF(D37="","",IF(K37="อนุมัติ","✓ อนุมัติแล้ว พร้อมใช้",IF(K37="ไม่อนุมัติ","⚠ ไม่อนุมัติ – ต้องเสนอใหม่"&amp;IF(ISNUMBER(I37),IF(I37&gt;='ตั้งค่า Setup'!$C$15," (เหลือ "&amp;(I37-'ตั้งค่า Setup'!$C$15)&amp;" วัน)"," (เลยกำหนด "&amp;('ตั้งค่า Setup'!$C$15-I37)&amp;" วัน)"),""),IF(NOT(ISNUMBER(I37)),"ติดตาม",IF(I37&lt;'ตั้งค่า Setup'!$C$15,"⚠ เลยกำหนดอนุมัติ "&amp;('ตั้งค่า Setup'!$C$15-I37)&amp;" วัน – กระทบแผนงาน",IF(I37-'ตั้งค่า Setup'!$C$15&lt;=14,"⚠ ต้องอนุมัติภายใน "&amp;(I37-'ตั้งค่า Setup'!$C$15)&amp;" วัน","ติดตาม (เหลือ "&amp;(I37-'ตั้งค่า Setup'!$C$15)&amp;" วัน)"))))))</f>
        <v/>
      </c>
      <c r="O37" s="32"/>
    </row>
    <row r="38" customFormat="false" ht="15" hidden="false" customHeight="false" outlineLevel="0" collapsed="false">
      <c r="A38" s="61" t="str">
        <f aca="false">IF(D38="","",COUNTA(D$9:D38))</f>
        <v/>
      </c>
      <c r="B38" s="20"/>
      <c r="C38" s="32"/>
      <c r="D38" s="32"/>
      <c r="E38" s="32"/>
      <c r="F38" s="22"/>
      <c r="G38" s="65" t="str">
        <f aca="false">IF(F38="","",IFERROR(INDEX('แผนงาน Schedule'!$AA$7:$AA$156,MATCH(F38&amp;"",'แผนงาน Schedule'!$A$7:$A$156,0)),"ไม่พบ WBS"))</f>
        <v/>
      </c>
      <c r="H38" s="20"/>
      <c r="I38" s="65" t="str">
        <f aca="false">IF(OR(D38="",NOT(ISNUMBER(G38))),"",G38-N(H38))</f>
        <v/>
      </c>
      <c r="J38" s="24"/>
      <c r="K38" s="20"/>
      <c r="L38" s="24"/>
      <c r="M38" s="32"/>
      <c r="N38" s="99" t="str">
        <f aca="false">IF(D38="","",IF(K38="อนุมัติ","✓ อนุมัติแล้ว พร้อมใช้",IF(K38="ไม่อนุมัติ","⚠ ไม่อนุมัติ – ต้องเสนอใหม่"&amp;IF(ISNUMBER(I38),IF(I38&gt;='ตั้งค่า Setup'!$C$15," (เหลือ "&amp;(I38-'ตั้งค่า Setup'!$C$15)&amp;" วัน)"," (เลยกำหนด "&amp;('ตั้งค่า Setup'!$C$15-I38)&amp;" วัน)"),""),IF(NOT(ISNUMBER(I38)),"ติดตาม",IF(I38&lt;'ตั้งค่า Setup'!$C$15,"⚠ เลยกำหนดอนุมัติ "&amp;('ตั้งค่า Setup'!$C$15-I38)&amp;" วัน – กระทบแผนงาน",IF(I38-'ตั้งค่า Setup'!$C$15&lt;=14,"⚠ ต้องอนุมัติภายใน "&amp;(I38-'ตั้งค่า Setup'!$C$15)&amp;" วัน","ติดตาม (เหลือ "&amp;(I38-'ตั้งค่า Setup'!$C$15)&amp;" วัน)"))))))</f>
        <v/>
      </c>
      <c r="O38" s="32"/>
    </row>
    <row r="39" customFormat="false" ht="15" hidden="false" customHeight="false" outlineLevel="0" collapsed="false">
      <c r="A39" s="61" t="str">
        <f aca="false">IF(D39="","",COUNTA(D$9:D39))</f>
        <v/>
      </c>
      <c r="B39" s="20"/>
      <c r="C39" s="32"/>
      <c r="D39" s="32"/>
      <c r="E39" s="32"/>
      <c r="F39" s="22"/>
      <c r="G39" s="65" t="str">
        <f aca="false">IF(F39="","",IFERROR(INDEX('แผนงาน Schedule'!$AA$7:$AA$156,MATCH(F39&amp;"",'แผนงาน Schedule'!$A$7:$A$156,0)),"ไม่พบ WBS"))</f>
        <v/>
      </c>
      <c r="H39" s="20"/>
      <c r="I39" s="65" t="str">
        <f aca="false">IF(OR(D39="",NOT(ISNUMBER(G39))),"",G39-N(H39))</f>
        <v/>
      </c>
      <c r="J39" s="24"/>
      <c r="K39" s="20"/>
      <c r="L39" s="24"/>
      <c r="M39" s="32"/>
      <c r="N39" s="99" t="str">
        <f aca="false">IF(D39="","",IF(K39="อนุมัติ","✓ อนุมัติแล้ว พร้อมใช้",IF(K39="ไม่อนุมัติ","⚠ ไม่อนุมัติ – ต้องเสนอใหม่"&amp;IF(ISNUMBER(I39),IF(I39&gt;='ตั้งค่า Setup'!$C$15," (เหลือ "&amp;(I39-'ตั้งค่า Setup'!$C$15)&amp;" วัน)"," (เลยกำหนด "&amp;('ตั้งค่า Setup'!$C$15-I39)&amp;" วัน)"),""),IF(NOT(ISNUMBER(I39)),"ติดตาม",IF(I39&lt;'ตั้งค่า Setup'!$C$15,"⚠ เลยกำหนดอนุมัติ "&amp;('ตั้งค่า Setup'!$C$15-I39)&amp;" วัน – กระทบแผนงาน",IF(I39-'ตั้งค่า Setup'!$C$15&lt;=14,"⚠ ต้องอนุมัติภายใน "&amp;(I39-'ตั้งค่า Setup'!$C$15)&amp;" วัน","ติดตาม (เหลือ "&amp;(I39-'ตั้งค่า Setup'!$C$15)&amp;" วัน)"))))))</f>
        <v/>
      </c>
      <c r="O39" s="32"/>
    </row>
    <row r="40" customFormat="false" ht="15" hidden="false" customHeight="false" outlineLevel="0" collapsed="false">
      <c r="A40" s="61" t="str">
        <f aca="false">IF(D40="","",COUNTA(D$9:D40))</f>
        <v/>
      </c>
      <c r="B40" s="20"/>
      <c r="C40" s="32"/>
      <c r="D40" s="32"/>
      <c r="E40" s="32"/>
      <c r="F40" s="22"/>
      <c r="G40" s="65" t="str">
        <f aca="false">IF(F40="","",IFERROR(INDEX('แผนงาน Schedule'!$AA$7:$AA$156,MATCH(F40&amp;"",'แผนงาน Schedule'!$A$7:$A$156,0)),"ไม่พบ WBS"))</f>
        <v/>
      </c>
      <c r="H40" s="20"/>
      <c r="I40" s="65" t="str">
        <f aca="false">IF(OR(D40="",NOT(ISNUMBER(G40))),"",G40-N(H40))</f>
        <v/>
      </c>
      <c r="J40" s="24"/>
      <c r="K40" s="20"/>
      <c r="L40" s="24"/>
      <c r="M40" s="32"/>
      <c r="N40" s="99" t="str">
        <f aca="false">IF(D40="","",IF(K40="อนุมัติ","✓ อนุมัติแล้ว พร้อมใช้",IF(K40="ไม่อนุมัติ","⚠ ไม่อนุมัติ – ต้องเสนอใหม่"&amp;IF(ISNUMBER(I40),IF(I40&gt;='ตั้งค่า Setup'!$C$15," (เหลือ "&amp;(I40-'ตั้งค่า Setup'!$C$15)&amp;" วัน)"," (เลยกำหนด "&amp;('ตั้งค่า Setup'!$C$15-I40)&amp;" วัน)"),""),IF(NOT(ISNUMBER(I40)),"ติดตาม",IF(I40&lt;'ตั้งค่า Setup'!$C$15,"⚠ เลยกำหนดอนุมัติ "&amp;('ตั้งค่า Setup'!$C$15-I40)&amp;" วัน – กระทบแผนงาน",IF(I40-'ตั้งค่า Setup'!$C$15&lt;=14,"⚠ ต้องอนุมัติภายใน "&amp;(I40-'ตั้งค่า Setup'!$C$15)&amp;" วัน","ติดตาม (เหลือ "&amp;(I40-'ตั้งค่า Setup'!$C$15)&amp;" วัน)"))))))</f>
        <v/>
      </c>
      <c r="O40" s="32"/>
    </row>
    <row r="41" customFormat="false" ht="15" hidden="false" customHeight="false" outlineLevel="0" collapsed="false">
      <c r="A41" s="61" t="str">
        <f aca="false">IF(D41="","",COUNTA(D$9:D41))</f>
        <v/>
      </c>
      <c r="B41" s="20"/>
      <c r="C41" s="32"/>
      <c r="D41" s="32"/>
      <c r="E41" s="32"/>
      <c r="F41" s="22"/>
      <c r="G41" s="65" t="str">
        <f aca="false">IF(F41="","",IFERROR(INDEX('แผนงาน Schedule'!$AA$7:$AA$156,MATCH(F41&amp;"",'แผนงาน Schedule'!$A$7:$A$156,0)),"ไม่พบ WBS"))</f>
        <v/>
      </c>
      <c r="H41" s="20"/>
      <c r="I41" s="65" t="str">
        <f aca="false">IF(OR(D41="",NOT(ISNUMBER(G41))),"",G41-N(H41))</f>
        <v/>
      </c>
      <c r="J41" s="24"/>
      <c r="K41" s="20"/>
      <c r="L41" s="24"/>
      <c r="M41" s="32"/>
      <c r="N41" s="99" t="str">
        <f aca="false">IF(D41="","",IF(K41="อนุมัติ","✓ อนุมัติแล้ว พร้อมใช้",IF(K41="ไม่อนุมัติ","⚠ ไม่อนุมัติ – ต้องเสนอใหม่"&amp;IF(ISNUMBER(I41),IF(I41&gt;='ตั้งค่า Setup'!$C$15," (เหลือ "&amp;(I41-'ตั้งค่า Setup'!$C$15)&amp;" วัน)"," (เลยกำหนด "&amp;('ตั้งค่า Setup'!$C$15-I41)&amp;" วัน)"),""),IF(NOT(ISNUMBER(I41)),"ติดตาม",IF(I41&lt;'ตั้งค่า Setup'!$C$15,"⚠ เลยกำหนดอนุมัติ "&amp;('ตั้งค่า Setup'!$C$15-I41)&amp;" วัน – กระทบแผนงาน",IF(I41-'ตั้งค่า Setup'!$C$15&lt;=14,"⚠ ต้องอนุมัติภายใน "&amp;(I41-'ตั้งค่า Setup'!$C$15)&amp;" วัน","ติดตาม (เหลือ "&amp;(I41-'ตั้งค่า Setup'!$C$15)&amp;" วัน)"))))))</f>
        <v/>
      </c>
      <c r="O41" s="32"/>
    </row>
    <row r="42" customFormat="false" ht="15" hidden="false" customHeight="false" outlineLevel="0" collapsed="false">
      <c r="A42" s="61" t="str">
        <f aca="false">IF(D42="","",COUNTA(D$9:D42))</f>
        <v/>
      </c>
      <c r="B42" s="20"/>
      <c r="C42" s="32"/>
      <c r="D42" s="32"/>
      <c r="E42" s="32"/>
      <c r="F42" s="22"/>
      <c r="G42" s="65" t="str">
        <f aca="false">IF(F42="","",IFERROR(INDEX('แผนงาน Schedule'!$AA$7:$AA$156,MATCH(F42&amp;"",'แผนงาน Schedule'!$A$7:$A$156,0)),"ไม่พบ WBS"))</f>
        <v/>
      </c>
      <c r="H42" s="20"/>
      <c r="I42" s="65" t="str">
        <f aca="false">IF(OR(D42="",NOT(ISNUMBER(G42))),"",G42-N(H42))</f>
        <v/>
      </c>
      <c r="J42" s="24"/>
      <c r="K42" s="20"/>
      <c r="L42" s="24"/>
      <c r="M42" s="32"/>
      <c r="N42" s="99" t="str">
        <f aca="false">IF(D42="","",IF(K42="อนุมัติ","✓ อนุมัติแล้ว พร้อมใช้",IF(K42="ไม่อนุมัติ","⚠ ไม่อนุมัติ – ต้องเสนอใหม่"&amp;IF(ISNUMBER(I42),IF(I42&gt;='ตั้งค่า Setup'!$C$15," (เหลือ "&amp;(I42-'ตั้งค่า Setup'!$C$15)&amp;" วัน)"," (เลยกำหนด "&amp;('ตั้งค่า Setup'!$C$15-I42)&amp;" วัน)"),""),IF(NOT(ISNUMBER(I42)),"ติดตาม",IF(I42&lt;'ตั้งค่า Setup'!$C$15,"⚠ เลยกำหนดอนุมัติ "&amp;('ตั้งค่า Setup'!$C$15-I42)&amp;" วัน – กระทบแผนงาน",IF(I42-'ตั้งค่า Setup'!$C$15&lt;=14,"⚠ ต้องอนุมัติภายใน "&amp;(I42-'ตั้งค่า Setup'!$C$15)&amp;" วัน","ติดตาม (เหลือ "&amp;(I42-'ตั้งค่า Setup'!$C$15)&amp;" วัน)"))))))</f>
        <v/>
      </c>
      <c r="O42" s="32"/>
    </row>
    <row r="43" customFormat="false" ht="15" hidden="false" customHeight="false" outlineLevel="0" collapsed="false">
      <c r="A43" s="61" t="str">
        <f aca="false">IF(D43="","",COUNTA(D$9:D43))</f>
        <v/>
      </c>
      <c r="B43" s="20"/>
      <c r="C43" s="32"/>
      <c r="D43" s="32"/>
      <c r="E43" s="32"/>
      <c r="F43" s="22"/>
      <c r="G43" s="65" t="str">
        <f aca="false">IF(F43="","",IFERROR(INDEX('แผนงาน Schedule'!$AA$7:$AA$156,MATCH(F43&amp;"",'แผนงาน Schedule'!$A$7:$A$156,0)),"ไม่พบ WBS"))</f>
        <v/>
      </c>
      <c r="H43" s="20"/>
      <c r="I43" s="65" t="str">
        <f aca="false">IF(OR(D43="",NOT(ISNUMBER(G43))),"",G43-N(H43))</f>
        <v/>
      </c>
      <c r="J43" s="24"/>
      <c r="K43" s="20"/>
      <c r="L43" s="24"/>
      <c r="M43" s="32"/>
      <c r="N43" s="99" t="str">
        <f aca="false">IF(D43="","",IF(K43="อนุมัติ","✓ อนุมัติแล้ว พร้อมใช้",IF(K43="ไม่อนุมัติ","⚠ ไม่อนุมัติ – ต้องเสนอใหม่"&amp;IF(ISNUMBER(I43),IF(I43&gt;='ตั้งค่า Setup'!$C$15," (เหลือ "&amp;(I43-'ตั้งค่า Setup'!$C$15)&amp;" วัน)"," (เลยกำหนด "&amp;('ตั้งค่า Setup'!$C$15-I43)&amp;" วัน)"),""),IF(NOT(ISNUMBER(I43)),"ติดตาม",IF(I43&lt;'ตั้งค่า Setup'!$C$15,"⚠ เลยกำหนดอนุมัติ "&amp;('ตั้งค่า Setup'!$C$15-I43)&amp;" วัน – กระทบแผนงาน",IF(I43-'ตั้งค่า Setup'!$C$15&lt;=14,"⚠ ต้องอนุมัติภายใน "&amp;(I43-'ตั้งค่า Setup'!$C$15)&amp;" วัน","ติดตาม (เหลือ "&amp;(I43-'ตั้งค่า Setup'!$C$15)&amp;" วัน)"))))))</f>
        <v/>
      </c>
      <c r="O43" s="32"/>
    </row>
    <row r="44" customFormat="false" ht="15" hidden="false" customHeight="false" outlineLevel="0" collapsed="false">
      <c r="A44" s="61" t="str">
        <f aca="false">IF(D44="","",COUNTA(D$9:D44))</f>
        <v/>
      </c>
      <c r="B44" s="20"/>
      <c r="C44" s="32"/>
      <c r="D44" s="32"/>
      <c r="E44" s="32"/>
      <c r="F44" s="22"/>
      <c r="G44" s="65" t="str">
        <f aca="false">IF(F44="","",IFERROR(INDEX('แผนงาน Schedule'!$AA$7:$AA$156,MATCH(F44&amp;"",'แผนงาน Schedule'!$A$7:$A$156,0)),"ไม่พบ WBS"))</f>
        <v/>
      </c>
      <c r="H44" s="20"/>
      <c r="I44" s="65" t="str">
        <f aca="false">IF(OR(D44="",NOT(ISNUMBER(G44))),"",G44-N(H44))</f>
        <v/>
      </c>
      <c r="J44" s="24"/>
      <c r="K44" s="20"/>
      <c r="L44" s="24"/>
      <c r="M44" s="32"/>
      <c r="N44" s="99" t="str">
        <f aca="false">IF(D44="","",IF(K44="อนุมัติ","✓ อนุมัติแล้ว พร้อมใช้",IF(K44="ไม่อนุมัติ","⚠ ไม่อนุมัติ – ต้องเสนอใหม่"&amp;IF(ISNUMBER(I44),IF(I44&gt;='ตั้งค่า Setup'!$C$15," (เหลือ "&amp;(I44-'ตั้งค่า Setup'!$C$15)&amp;" วัน)"," (เลยกำหนด "&amp;('ตั้งค่า Setup'!$C$15-I44)&amp;" วัน)"),""),IF(NOT(ISNUMBER(I44)),"ติดตาม",IF(I44&lt;'ตั้งค่า Setup'!$C$15,"⚠ เลยกำหนดอนุมัติ "&amp;('ตั้งค่า Setup'!$C$15-I44)&amp;" วัน – กระทบแผนงาน",IF(I44-'ตั้งค่า Setup'!$C$15&lt;=14,"⚠ ต้องอนุมัติภายใน "&amp;(I44-'ตั้งค่า Setup'!$C$15)&amp;" วัน","ติดตาม (เหลือ "&amp;(I44-'ตั้งค่า Setup'!$C$15)&amp;" วัน)"))))))</f>
        <v/>
      </c>
      <c r="O44" s="32"/>
    </row>
    <row r="45" customFormat="false" ht="15" hidden="false" customHeight="false" outlineLevel="0" collapsed="false">
      <c r="A45" s="61" t="str">
        <f aca="false">IF(D45="","",COUNTA(D$9:D45))</f>
        <v/>
      </c>
      <c r="B45" s="20"/>
      <c r="C45" s="32"/>
      <c r="D45" s="32"/>
      <c r="E45" s="32"/>
      <c r="F45" s="22"/>
      <c r="G45" s="65" t="str">
        <f aca="false">IF(F45="","",IFERROR(INDEX('แผนงาน Schedule'!$AA$7:$AA$156,MATCH(F45&amp;"",'แผนงาน Schedule'!$A$7:$A$156,0)),"ไม่พบ WBS"))</f>
        <v/>
      </c>
      <c r="H45" s="20"/>
      <c r="I45" s="65" t="str">
        <f aca="false">IF(OR(D45="",NOT(ISNUMBER(G45))),"",G45-N(H45))</f>
        <v/>
      </c>
      <c r="J45" s="24"/>
      <c r="K45" s="20"/>
      <c r="L45" s="24"/>
      <c r="M45" s="32"/>
      <c r="N45" s="99" t="str">
        <f aca="false">IF(D45="","",IF(K45="อนุมัติ","✓ อนุมัติแล้ว พร้อมใช้",IF(K45="ไม่อนุมัติ","⚠ ไม่อนุมัติ – ต้องเสนอใหม่"&amp;IF(ISNUMBER(I45),IF(I45&gt;='ตั้งค่า Setup'!$C$15," (เหลือ "&amp;(I45-'ตั้งค่า Setup'!$C$15)&amp;" วัน)"," (เลยกำหนด "&amp;('ตั้งค่า Setup'!$C$15-I45)&amp;" วัน)"),""),IF(NOT(ISNUMBER(I45)),"ติดตาม",IF(I45&lt;'ตั้งค่า Setup'!$C$15,"⚠ เลยกำหนดอนุมัติ "&amp;('ตั้งค่า Setup'!$C$15-I45)&amp;" วัน – กระทบแผนงาน",IF(I45-'ตั้งค่า Setup'!$C$15&lt;=14,"⚠ ต้องอนุมัติภายใน "&amp;(I45-'ตั้งค่า Setup'!$C$15)&amp;" วัน","ติดตาม (เหลือ "&amp;(I45-'ตั้งค่า Setup'!$C$15)&amp;" วัน)"))))))</f>
        <v/>
      </c>
      <c r="O45" s="32"/>
    </row>
    <row r="46" customFormat="false" ht="15" hidden="false" customHeight="false" outlineLevel="0" collapsed="false">
      <c r="A46" s="61" t="str">
        <f aca="false">IF(D46="","",COUNTA(D$9:D46))</f>
        <v/>
      </c>
      <c r="B46" s="20"/>
      <c r="C46" s="32"/>
      <c r="D46" s="32"/>
      <c r="E46" s="32"/>
      <c r="F46" s="22"/>
      <c r="G46" s="65" t="str">
        <f aca="false">IF(F46="","",IFERROR(INDEX('แผนงาน Schedule'!$AA$7:$AA$156,MATCH(F46&amp;"",'แผนงาน Schedule'!$A$7:$A$156,0)),"ไม่พบ WBS"))</f>
        <v/>
      </c>
      <c r="H46" s="20"/>
      <c r="I46" s="65" t="str">
        <f aca="false">IF(OR(D46="",NOT(ISNUMBER(G46))),"",G46-N(H46))</f>
        <v/>
      </c>
      <c r="J46" s="24"/>
      <c r="K46" s="20"/>
      <c r="L46" s="24"/>
      <c r="M46" s="32"/>
      <c r="N46" s="99" t="str">
        <f aca="false">IF(D46="","",IF(K46="อนุมัติ","✓ อนุมัติแล้ว พร้อมใช้",IF(K46="ไม่อนุมัติ","⚠ ไม่อนุมัติ – ต้องเสนอใหม่"&amp;IF(ISNUMBER(I46),IF(I46&gt;='ตั้งค่า Setup'!$C$15," (เหลือ "&amp;(I46-'ตั้งค่า Setup'!$C$15)&amp;" วัน)"," (เลยกำหนด "&amp;('ตั้งค่า Setup'!$C$15-I46)&amp;" วัน)"),""),IF(NOT(ISNUMBER(I46)),"ติดตาม",IF(I46&lt;'ตั้งค่า Setup'!$C$15,"⚠ เลยกำหนดอนุมัติ "&amp;('ตั้งค่า Setup'!$C$15-I46)&amp;" วัน – กระทบแผนงาน",IF(I46-'ตั้งค่า Setup'!$C$15&lt;=14,"⚠ ต้องอนุมัติภายใน "&amp;(I46-'ตั้งค่า Setup'!$C$15)&amp;" วัน","ติดตาม (เหลือ "&amp;(I46-'ตั้งค่า Setup'!$C$15)&amp;" วัน)"))))))</f>
        <v/>
      </c>
      <c r="O46" s="32"/>
    </row>
    <row r="47" customFormat="false" ht="15" hidden="false" customHeight="false" outlineLevel="0" collapsed="false">
      <c r="A47" s="61" t="str">
        <f aca="false">IF(D47="","",COUNTA(D$9:D47))</f>
        <v/>
      </c>
      <c r="B47" s="20"/>
      <c r="C47" s="32"/>
      <c r="D47" s="32"/>
      <c r="E47" s="32"/>
      <c r="F47" s="22"/>
      <c r="G47" s="65" t="str">
        <f aca="false">IF(F47="","",IFERROR(INDEX('แผนงาน Schedule'!$AA$7:$AA$156,MATCH(F47&amp;"",'แผนงาน Schedule'!$A$7:$A$156,0)),"ไม่พบ WBS"))</f>
        <v/>
      </c>
      <c r="H47" s="20"/>
      <c r="I47" s="65" t="str">
        <f aca="false">IF(OR(D47="",NOT(ISNUMBER(G47))),"",G47-N(H47))</f>
        <v/>
      </c>
      <c r="J47" s="24"/>
      <c r="K47" s="20"/>
      <c r="L47" s="24"/>
      <c r="M47" s="32"/>
      <c r="N47" s="99" t="str">
        <f aca="false">IF(D47="","",IF(K47="อนุมัติ","✓ อนุมัติแล้ว พร้อมใช้",IF(K47="ไม่อนุมัติ","⚠ ไม่อนุมัติ – ต้องเสนอใหม่"&amp;IF(ISNUMBER(I47),IF(I47&gt;='ตั้งค่า Setup'!$C$15," (เหลือ "&amp;(I47-'ตั้งค่า Setup'!$C$15)&amp;" วัน)"," (เลยกำหนด "&amp;('ตั้งค่า Setup'!$C$15-I47)&amp;" วัน)"),""),IF(NOT(ISNUMBER(I47)),"ติดตาม",IF(I47&lt;'ตั้งค่า Setup'!$C$15,"⚠ เลยกำหนดอนุมัติ "&amp;('ตั้งค่า Setup'!$C$15-I47)&amp;" วัน – กระทบแผนงาน",IF(I47-'ตั้งค่า Setup'!$C$15&lt;=14,"⚠ ต้องอนุมัติภายใน "&amp;(I47-'ตั้งค่า Setup'!$C$15)&amp;" วัน","ติดตาม (เหลือ "&amp;(I47-'ตั้งค่า Setup'!$C$15)&amp;" วัน)"))))))</f>
        <v/>
      </c>
      <c r="O47" s="32"/>
    </row>
    <row r="48" customFormat="false" ht="15" hidden="false" customHeight="false" outlineLevel="0" collapsed="false">
      <c r="A48" s="61" t="str">
        <f aca="false">IF(D48="","",COUNTA(D$9:D48))</f>
        <v/>
      </c>
      <c r="B48" s="20"/>
      <c r="C48" s="32"/>
      <c r="D48" s="32"/>
      <c r="E48" s="32"/>
      <c r="F48" s="22"/>
      <c r="G48" s="65" t="str">
        <f aca="false">IF(F48="","",IFERROR(INDEX('แผนงาน Schedule'!$AA$7:$AA$156,MATCH(F48&amp;"",'แผนงาน Schedule'!$A$7:$A$156,0)),"ไม่พบ WBS"))</f>
        <v/>
      </c>
      <c r="H48" s="20"/>
      <c r="I48" s="65" t="str">
        <f aca="false">IF(OR(D48="",NOT(ISNUMBER(G48))),"",G48-N(H48))</f>
        <v/>
      </c>
      <c r="J48" s="24"/>
      <c r="K48" s="20"/>
      <c r="L48" s="24"/>
      <c r="M48" s="32"/>
      <c r="N48" s="99" t="str">
        <f aca="false">IF(D48="","",IF(K48="อนุมัติ","✓ อนุมัติแล้ว พร้อมใช้",IF(K48="ไม่อนุมัติ","⚠ ไม่อนุมัติ – ต้องเสนอใหม่"&amp;IF(ISNUMBER(I48),IF(I48&gt;='ตั้งค่า Setup'!$C$15," (เหลือ "&amp;(I48-'ตั้งค่า Setup'!$C$15)&amp;" วัน)"," (เลยกำหนด "&amp;('ตั้งค่า Setup'!$C$15-I48)&amp;" วัน)"),""),IF(NOT(ISNUMBER(I48)),"ติดตาม",IF(I48&lt;'ตั้งค่า Setup'!$C$15,"⚠ เลยกำหนดอนุมัติ "&amp;('ตั้งค่า Setup'!$C$15-I48)&amp;" วัน – กระทบแผนงาน",IF(I48-'ตั้งค่า Setup'!$C$15&lt;=14,"⚠ ต้องอนุมัติภายใน "&amp;(I48-'ตั้งค่า Setup'!$C$15)&amp;" วัน","ติดตาม (เหลือ "&amp;(I48-'ตั้งค่า Setup'!$C$15)&amp;" วัน)"))))))</f>
        <v/>
      </c>
      <c r="O48" s="32"/>
    </row>
    <row r="49" customFormat="false" ht="15" hidden="false" customHeight="false" outlineLevel="0" collapsed="false">
      <c r="A49" s="61" t="str">
        <f aca="false">IF(D49="","",COUNTA(D$9:D49))</f>
        <v/>
      </c>
      <c r="B49" s="20"/>
      <c r="C49" s="32"/>
      <c r="D49" s="32"/>
      <c r="E49" s="32"/>
      <c r="F49" s="22"/>
      <c r="G49" s="65" t="str">
        <f aca="false">IF(F49="","",IFERROR(INDEX('แผนงาน Schedule'!$AA$7:$AA$156,MATCH(F49&amp;"",'แผนงาน Schedule'!$A$7:$A$156,0)),"ไม่พบ WBS"))</f>
        <v/>
      </c>
      <c r="H49" s="20"/>
      <c r="I49" s="65" t="str">
        <f aca="false">IF(OR(D49="",NOT(ISNUMBER(G49))),"",G49-N(H49))</f>
        <v/>
      </c>
      <c r="J49" s="24"/>
      <c r="K49" s="20"/>
      <c r="L49" s="24"/>
      <c r="M49" s="32"/>
      <c r="N49" s="99" t="str">
        <f aca="false">IF(D49="","",IF(K49="อนุมัติ","✓ อนุมัติแล้ว พร้อมใช้",IF(K49="ไม่อนุมัติ","⚠ ไม่อนุมัติ – ต้องเสนอใหม่"&amp;IF(ISNUMBER(I49),IF(I49&gt;='ตั้งค่า Setup'!$C$15," (เหลือ "&amp;(I49-'ตั้งค่า Setup'!$C$15)&amp;" วัน)"," (เลยกำหนด "&amp;('ตั้งค่า Setup'!$C$15-I49)&amp;" วัน)"),""),IF(NOT(ISNUMBER(I49)),"ติดตาม",IF(I49&lt;'ตั้งค่า Setup'!$C$15,"⚠ เลยกำหนดอนุมัติ "&amp;('ตั้งค่า Setup'!$C$15-I49)&amp;" วัน – กระทบแผนงาน",IF(I49-'ตั้งค่า Setup'!$C$15&lt;=14,"⚠ ต้องอนุมัติภายใน "&amp;(I49-'ตั้งค่า Setup'!$C$15)&amp;" วัน","ติดตาม (เหลือ "&amp;(I49-'ตั้งค่า Setup'!$C$15)&amp;" วัน)"))))))</f>
        <v/>
      </c>
      <c r="O49" s="32"/>
    </row>
    <row r="50" customFormat="false" ht="15" hidden="false" customHeight="false" outlineLevel="0" collapsed="false">
      <c r="A50" s="61" t="str">
        <f aca="false">IF(D50="","",COUNTA(D$9:D50))</f>
        <v/>
      </c>
      <c r="B50" s="20"/>
      <c r="C50" s="32"/>
      <c r="D50" s="32"/>
      <c r="E50" s="32"/>
      <c r="F50" s="22"/>
      <c r="G50" s="65" t="str">
        <f aca="false">IF(F50="","",IFERROR(INDEX('แผนงาน Schedule'!$AA$7:$AA$156,MATCH(F50&amp;"",'แผนงาน Schedule'!$A$7:$A$156,0)),"ไม่พบ WBS"))</f>
        <v/>
      </c>
      <c r="H50" s="20"/>
      <c r="I50" s="65" t="str">
        <f aca="false">IF(OR(D50="",NOT(ISNUMBER(G50))),"",G50-N(H50))</f>
        <v/>
      </c>
      <c r="J50" s="24"/>
      <c r="K50" s="20"/>
      <c r="L50" s="24"/>
      <c r="M50" s="32"/>
      <c r="N50" s="99" t="str">
        <f aca="false">IF(D50="","",IF(K50="อนุมัติ","✓ อนุมัติแล้ว พร้อมใช้",IF(K50="ไม่อนุมัติ","⚠ ไม่อนุมัติ – ต้องเสนอใหม่"&amp;IF(ISNUMBER(I50),IF(I50&gt;='ตั้งค่า Setup'!$C$15," (เหลือ "&amp;(I50-'ตั้งค่า Setup'!$C$15)&amp;" วัน)"," (เลยกำหนด "&amp;('ตั้งค่า Setup'!$C$15-I50)&amp;" วัน)"),""),IF(NOT(ISNUMBER(I50)),"ติดตาม",IF(I50&lt;'ตั้งค่า Setup'!$C$15,"⚠ เลยกำหนดอนุมัติ "&amp;('ตั้งค่า Setup'!$C$15-I50)&amp;" วัน – กระทบแผนงาน",IF(I50-'ตั้งค่า Setup'!$C$15&lt;=14,"⚠ ต้องอนุมัติภายใน "&amp;(I50-'ตั้งค่า Setup'!$C$15)&amp;" วัน","ติดตาม (เหลือ "&amp;(I50-'ตั้งค่า Setup'!$C$15)&amp;" วัน)"))))))</f>
        <v/>
      </c>
      <c r="O50" s="32"/>
    </row>
    <row r="51" customFormat="false" ht="15" hidden="false" customHeight="false" outlineLevel="0" collapsed="false">
      <c r="A51" s="61" t="str">
        <f aca="false">IF(D51="","",COUNTA(D$9:D51))</f>
        <v/>
      </c>
      <c r="B51" s="20"/>
      <c r="C51" s="32"/>
      <c r="D51" s="32"/>
      <c r="E51" s="32"/>
      <c r="F51" s="22"/>
      <c r="G51" s="65" t="str">
        <f aca="false">IF(F51="","",IFERROR(INDEX('แผนงาน Schedule'!$AA$7:$AA$156,MATCH(F51&amp;"",'แผนงาน Schedule'!$A$7:$A$156,0)),"ไม่พบ WBS"))</f>
        <v/>
      </c>
      <c r="H51" s="20"/>
      <c r="I51" s="65" t="str">
        <f aca="false">IF(OR(D51="",NOT(ISNUMBER(G51))),"",G51-N(H51))</f>
        <v/>
      </c>
      <c r="J51" s="24"/>
      <c r="K51" s="20"/>
      <c r="L51" s="24"/>
      <c r="M51" s="32"/>
      <c r="N51" s="99" t="str">
        <f aca="false">IF(D51="","",IF(K51="อนุมัติ","✓ อนุมัติแล้ว พร้อมใช้",IF(K51="ไม่อนุมัติ","⚠ ไม่อนุมัติ – ต้องเสนอใหม่"&amp;IF(ISNUMBER(I51),IF(I51&gt;='ตั้งค่า Setup'!$C$15," (เหลือ "&amp;(I51-'ตั้งค่า Setup'!$C$15)&amp;" วัน)"," (เลยกำหนด "&amp;('ตั้งค่า Setup'!$C$15-I51)&amp;" วัน)"),""),IF(NOT(ISNUMBER(I51)),"ติดตาม",IF(I51&lt;'ตั้งค่า Setup'!$C$15,"⚠ เลยกำหนดอนุมัติ "&amp;('ตั้งค่า Setup'!$C$15-I51)&amp;" วัน – กระทบแผนงาน",IF(I51-'ตั้งค่า Setup'!$C$15&lt;=14,"⚠ ต้องอนุมัติภายใน "&amp;(I51-'ตั้งค่า Setup'!$C$15)&amp;" วัน","ติดตาม (เหลือ "&amp;(I51-'ตั้งค่า Setup'!$C$15)&amp;" วัน)"))))))</f>
        <v/>
      </c>
      <c r="O51" s="32"/>
    </row>
    <row r="52" customFormat="false" ht="15" hidden="false" customHeight="false" outlineLevel="0" collapsed="false">
      <c r="A52" s="61" t="str">
        <f aca="false">IF(D52="","",COUNTA(D$9:D52))</f>
        <v/>
      </c>
      <c r="B52" s="20"/>
      <c r="C52" s="32"/>
      <c r="D52" s="32"/>
      <c r="E52" s="32"/>
      <c r="F52" s="22"/>
      <c r="G52" s="65" t="str">
        <f aca="false">IF(F52="","",IFERROR(INDEX('แผนงาน Schedule'!$AA$7:$AA$156,MATCH(F52&amp;"",'แผนงาน Schedule'!$A$7:$A$156,0)),"ไม่พบ WBS"))</f>
        <v/>
      </c>
      <c r="H52" s="20"/>
      <c r="I52" s="65" t="str">
        <f aca="false">IF(OR(D52="",NOT(ISNUMBER(G52))),"",G52-N(H52))</f>
        <v/>
      </c>
      <c r="J52" s="24"/>
      <c r="K52" s="20"/>
      <c r="L52" s="24"/>
      <c r="M52" s="32"/>
      <c r="N52" s="99" t="str">
        <f aca="false">IF(D52="","",IF(K52="อนุมัติ","✓ อนุมัติแล้ว พร้อมใช้",IF(K52="ไม่อนุมัติ","⚠ ไม่อนุมัติ – ต้องเสนอใหม่"&amp;IF(ISNUMBER(I52),IF(I52&gt;='ตั้งค่า Setup'!$C$15," (เหลือ "&amp;(I52-'ตั้งค่า Setup'!$C$15)&amp;" วัน)"," (เลยกำหนด "&amp;('ตั้งค่า Setup'!$C$15-I52)&amp;" วัน)"),""),IF(NOT(ISNUMBER(I52)),"ติดตาม",IF(I52&lt;'ตั้งค่า Setup'!$C$15,"⚠ เลยกำหนดอนุมัติ "&amp;('ตั้งค่า Setup'!$C$15-I52)&amp;" วัน – กระทบแผนงาน",IF(I52-'ตั้งค่า Setup'!$C$15&lt;=14,"⚠ ต้องอนุมัติภายใน "&amp;(I52-'ตั้งค่า Setup'!$C$15)&amp;" วัน","ติดตาม (เหลือ "&amp;(I52-'ตั้งค่า Setup'!$C$15)&amp;" วัน)"))))))</f>
        <v/>
      </c>
      <c r="O52" s="32"/>
    </row>
    <row r="53" customFormat="false" ht="15" hidden="false" customHeight="false" outlineLevel="0" collapsed="false">
      <c r="A53" s="61" t="str">
        <f aca="false">IF(D53="","",COUNTA(D$9:D53))</f>
        <v/>
      </c>
      <c r="B53" s="20"/>
      <c r="C53" s="32"/>
      <c r="D53" s="32"/>
      <c r="E53" s="32"/>
      <c r="F53" s="22"/>
      <c r="G53" s="65" t="str">
        <f aca="false">IF(F53="","",IFERROR(INDEX('แผนงาน Schedule'!$AA$7:$AA$156,MATCH(F53&amp;"",'แผนงาน Schedule'!$A$7:$A$156,0)),"ไม่พบ WBS"))</f>
        <v/>
      </c>
      <c r="H53" s="20"/>
      <c r="I53" s="65" t="str">
        <f aca="false">IF(OR(D53="",NOT(ISNUMBER(G53))),"",G53-N(H53))</f>
        <v/>
      </c>
      <c r="J53" s="24"/>
      <c r="K53" s="20"/>
      <c r="L53" s="24"/>
      <c r="M53" s="32"/>
      <c r="N53" s="99" t="str">
        <f aca="false">IF(D53="","",IF(K53="อนุมัติ","✓ อนุมัติแล้ว พร้อมใช้",IF(K53="ไม่อนุมัติ","⚠ ไม่อนุมัติ – ต้องเสนอใหม่"&amp;IF(ISNUMBER(I53),IF(I53&gt;='ตั้งค่า Setup'!$C$15," (เหลือ "&amp;(I53-'ตั้งค่า Setup'!$C$15)&amp;" วัน)"," (เลยกำหนด "&amp;('ตั้งค่า Setup'!$C$15-I53)&amp;" วัน)"),""),IF(NOT(ISNUMBER(I53)),"ติดตาม",IF(I53&lt;'ตั้งค่า Setup'!$C$15,"⚠ เลยกำหนดอนุมัติ "&amp;('ตั้งค่า Setup'!$C$15-I53)&amp;" วัน – กระทบแผนงาน",IF(I53-'ตั้งค่า Setup'!$C$15&lt;=14,"⚠ ต้องอนุมัติภายใน "&amp;(I53-'ตั้งค่า Setup'!$C$15)&amp;" วัน","ติดตาม (เหลือ "&amp;(I53-'ตั้งค่า Setup'!$C$15)&amp;" วัน)"))))))</f>
        <v/>
      </c>
      <c r="O53" s="32"/>
    </row>
    <row r="54" customFormat="false" ht="15" hidden="false" customHeight="false" outlineLevel="0" collapsed="false">
      <c r="A54" s="61" t="str">
        <f aca="false">IF(D54="","",COUNTA(D$9:D54))</f>
        <v/>
      </c>
      <c r="B54" s="20"/>
      <c r="C54" s="32"/>
      <c r="D54" s="32"/>
      <c r="E54" s="32"/>
      <c r="F54" s="22"/>
      <c r="G54" s="65" t="str">
        <f aca="false">IF(F54="","",IFERROR(INDEX('แผนงาน Schedule'!$AA$7:$AA$156,MATCH(F54&amp;"",'แผนงาน Schedule'!$A$7:$A$156,0)),"ไม่พบ WBS"))</f>
        <v/>
      </c>
      <c r="H54" s="20"/>
      <c r="I54" s="65" t="str">
        <f aca="false">IF(OR(D54="",NOT(ISNUMBER(G54))),"",G54-N(H54))</f>
        <v/>
      </c>
      <c r="J54" s="24"/>
      <c r="K54" s="20"/>
      <c r="L54" s="24"/>
      <c r="M54" s="32"/>
      <c r="N54" s="99" t="str">
        <f aca="false">IF(D54="","",IF(K54="อนุมัติ","✓ อนุมัติแล้ว พร้อมใช้",IF(K54="ไม่อนุมัติ","⚠ ไม่อนุมัติ – ต้องเสนอใหม่"&amp;IF(ISNUMBER(I54),IF(I54&gt;='ตั้งค่า Setup'!$C$15," (เหลือ "&amp;(I54-'ตั้งค่า Setup'!$C$15)&amp;" วัน)"," (เลยกำหนด "&amp;('ตั้งค่า Setup'!$C$15-I54)&amp;" วัน)"),""),IF(NOT(ISNUMBER(I54)),"ติดตาม",IF(I54&lt;'ตั้งค่า Setup'!$C$15,"⚠ เลยกำหนดอนุมัติ "&amp;('ตั้งค่า Setup'!$C$15-I54)&amp;" วัน – กระทบแผนงาน",IF(I54-'ตั้งค่า Setup'!$C$15&lt;=14,"⚠ ต้องอนุมัติภายใน "&amp;(I54-'ตั้งค่า Setup'!$C$15)&amp;" วัน","ติดตาม (เหลือ "&amp;(I54-'ตั้งค่า Setup'!$C$15)&amp;" วัน)"))))))</f>
        <v/>
      </c>
      <c r="O54" s="32"/>
    </row>
    <row r="55" customFormat="false" ht="15" hidden="false" customHeight="false" outlineLevel="0" collapsed="false">
      <c r="A55" s="61" t="str">
        <f aca="false">IF(D55="","",COUNTA(D$9:D55))</f>
        <v/>
      </c>
      <c r="B55" s="20"/>
      <c r="C55" s="32"/>
      <c r="D55" s="32"/>
      <c r="E55" s="32"/>
      <c r="F55" s="22"/>
      <c r="G55" s="65" t="str">
        <f aca="false">IF(F55="","",IFERROR(INDEX('แผนงาน Schedule'!$AA$7:$AA$156,MATCH(F55&amp;"",'แผนงาน Schedule'!$A$7:$A$156,0)),"ไม่พบ WBS"))</f>
        <v/>
      </c>
      <c r="H55" s="20"/>
      <c r="I55" s="65" t="str">
        <f aca="false">IF(OR(D55="",NOT(ISNUMBER(G55))),"",G55-N(H55))</f>
        <v/>
      </c>
      <c r="J55" s="24"/>
      <c r="K55" s="20"/>
      <c r="L55" s="24"/>
      <c r="M55" s="32"/>
      <c r="N55" s="99" t="str">
        <f aca="false">IF(D55="","",IF(K55="อนุมัติ","✓ อนุมัติแล้ว พร้อมใช้",IF(K55="ไม่อนุมัติ","⚠ ไม่อนุมัติ – ต้องเสนอใหม่"&amp;IF(ISNUMBER(I55),IF(I55&gt;='ตั้งค่า Setup'!$C$15," (เหลือ "&amp;(I55-'ตั้งค่า Setup'!$C$15)&amp;" วัน)"," (เลยกำหนด "&amp;('ตั้งค่า Setup'!$C$15-I55)&amp;" วัน)"),""),IF(NOT(ISNUMBER(I55)),"ติดตาม",IF(I55&lt;'ตั้งค่า Setup'!$C$15,"⚠ เลยกำหนดอนุมัติ "&amp;('ตั้งค่า Setup'!$C$15-I55)&amp;" วัน – กระทบแผนงาน",IF(I55-'ตั้งค่า Setup'!$C$15&lt;=14,"⚠ ต้องอนุมัติภายใน "&amp;(I55-'ตั้งค่า Setup'!$C$15)&amp;" วัน","ติดตาม (เหลือ "&amp;(I55-'ตั้งค่า Setup'!$C$15)&amp;" วัน)"))))))</f>
        <v/>
      </c>
      <c r="O55" s="32"/>
    </row>
    <row r="56" customFormat="false" ht="15" hidden="false" customHeight="false" outlineLevel="0" collapsed="false">
      <c r="A56" s="61" t="str">
        <f aca="false">IF(D56="","",COUNTA(D$9:D56))</f>
        <v/>
      </c>
      <c r="B56" s="20"/>
      <c r="C56" s="32"/>
      <c r="D56" s="32"/>
      <c r="E56" s="32"/>
      <c r="F56" s="22"/>
      <c r="G56" s="65" t="str">
        <f aca="false">IF(F56="","",IFERROR(INDEX('แผนงาน Schedule'!$AA$7:$AA$156,MATCH(F56&amp;"",'แผนงาน Schedule'!$A$7:$A$156,0)),"ไม่พบ WBS"))</f>
        <v/>
      </c>
      <c r="H56" s="20"/>
      <c r="I56" s="65" t="str">
        <f aca="false">IF(OR(D56="",NOT(ISNUMBER(G56))),"",G56-N(H56))</f>
        <v/>
      </c>
      <c r="J56" s="24"/>
      <c r="K56" s="20"/>
      <c r="L56" s="24"/>
      <c r="M56" s="32"/>
      <c r="N56" s="99" t="str">
        <f aca="false">IF(D56="","",IF(K56="อนุมัติ","✓ อนุมัติแล้ว พร้อมใช้",IF(K56="ไม่อนุมัติ","⚠ ไม่อนุมัติ – ต้องเสนอใหม่"&amp;IF(ISNUMBER(I56),IF(I56&gt;='ตั้งค่า Setup'!$C$15," (เหลือ "&amp;(I56-'ตั้งค่า Setup'!$C$15)&amp;" วัน)"," (เลยกำหนด "&amp;('ตั้งค่า Setup'!$C$15-I56)&amp;" วัน)"),""),IF(NOT(ISNUMBER(I56)),"ติดตาม",IF(I56&lt;'ตั้งค่า Setup'!$C$15,"⚠ เลยกำหนดอนุมัติ "&amp;('ตั้งค่า Setup'!$C$15-I56)&amp;" วัน – กระทบแผนงาน",IF(I56-'ตั้งค่า Setup'!$C$15&lt;=14,"⚠ ต้องอนุมัติภายใน "&amp;(I56-'ตั้งค่า Setup'!$C$15)&amp;" วัน","ติดตาม (เหลือ "&amp;(I56-'ตั้งค่า Setup'!$C$15)&amp;" วัน)"))))))</f>
        <v/>
      </c>
      <c r="O56" s="32"/>
    </row>
    <row r="57" customFormat="false" ht="15" hidden="false" customHeight="false" outlineLevel="0" collapsed="false">
      <c r="A57" s="61" t="str">
        <f aca="false">IF(D57="","",COUNTA(D$9:D57))</f>
        <v/>
      </c>
      <c r="B57" s="20"/>
      <c r="C57" s="32"/>
      <c r="D57" s="32"/>
      <c r="E57" s="32"/>
      <c r="F57" s="22"/>
      <c r="G57" s="65" t="str">
        <f aca="false">IF(F57="","",IFERROR(INDEX('แผนงาน Schedule'!$AA$7:$AA$156,MATCH(F57&amp;"",'แผนงาน Schedule'!$A$7:$A$156,0)),"ไม่พบ WBS"))</f>
        <v/>
      </c>
      <c r="H57" s="20"/>
      <c r="I57" s="65" t="str">
        <f aca="false">IF(OR(D57="",NOT(ISNUMBER(G57))),"",G57-N(H57))</f>
        <v/>
      </c>
      <c r="J57" s="24"/>
      <c r="K57" s="20"/>
      <c r="L57" s="24"/>
      <c r="M57" s="32"/>
      <c r="N57" s="99" t="str">
        <f aca="false">IF(D57="","",IF(K57="อนุมัติ","✓ อนุมัติแล้ว พร้อมใช้",IF(K57="ไม่อนุมัติ","⚠ ไม่อนุมัติ – ต้องเสนอใหม่"&amp;IF(ISNUMBER(I57),IF(I57&gt;='ตั้งค่า Setup'!$C$15," (เหลือ "&amp;(I57-'ตั้งค่า Setup'!$C$15)&amp;" วัน)"," (เลยกำหนด "&amp;('ตั้งค่า Setup'!$C$15-I57)&amp;" วัน)"),""),IF(NOT(ISNUMBER(I57)),"ติดตาม",IF(I57&lt;'ตั้งค่า Setup'!$C$15,"⚠ เลยกำหนดอนุมัติ "&amp;('ตั้งค่า Setup'!$C$15-I57)&amp;" วัน – กระทบแผนงาน",IF(I57-'ตั้งค่า Setup'!$C$15&lt;=14,"⚠ ต้องอนุมัติภายใน "&amp;(I57-'ตั้งค่า Setup'!$C$15)&amp;" วัน","ติดตาม (เหลือ "&amp;(I57-'ตั้งค่า Setup'!$C$15)&amp;" วัน)"))))))</f>
        <v/>
      </c>
      <c r="O57" s="32"/>
    </row>
    <row r="58" customFormat="false" ht="15" hidden="false" customHeight="false" outlineLevel="0" collapsed="false">
      <c r="A58" s="61" t="str">
        <f aca="false">IF(D58="","",COUNTA(D$9:D58))</f>
        <v/>
      </c>
      <c r="B58" s="20"/>
      <c r="C58" s="32"/>
      <c r="D58" s="32"/>
      <c r="E58" s="32"/>
      <c r="F58" s="22"/>
      <c r="G58" s="65" t="str">
        <f aca="false">IF(F58="","",IFERROR(INDEX('แผนงาน Schedule'!$AA$7:$AA$156,MATCH(F58&amp;"",'แผนงาน Schedule'!$A$7:$A$156,0)),"ไม่พบ WBS"))</f>
        <v/>
      </c>
      <c r="H58" s="20"/>
      <c r="I58" s="65" t="str">
        <f aca="false">IF(OR(D58="",NOT(ISNUMBER(G58))),"",G58-N(H58))</f>
        <v/>
      </c>
      <c r="J58" s="24"/>
      <c r="K58" s="20"/>
      <c r="L58" s="24"/>
      <c r="M58" s="32"/>
      <c r="N58" s="99" t="str">
        <f aca="false">IF(D58="","",IF(K58="อนุมัติ","✓ อนุมัติแล้ว พร้อมใช้",IF(K58="ไม่อนุมัติ","⚠ ไม่อนุมัติ – ต้องเสนอใหม่"&amp;IF(ISNUMBER(I58),IF(I58&gt;='ตั้งค่า Setup'!$C$15," (เหลือ "&amp;(I58-'ตั้งค่า Setup'!$C$15)&amp;" วัน)"," (เลยกำหนด "&amp;('ตั้งค่า Setup'!$C$15-I58)&amp;" วัน)"),""),IF(NOT(ISNUMBER(I58)),"ติดตาม",IF(I58&lt;'ตั้งค่า Setup'!$C$15,"⚠ เลยกำหนดอนุมัติ "&amp;('ตั้งค่า Setup'!$C$15-I58)&amp;" วัน – กระทบแผนงาน",IF(I58-'ตั้งค่า Setup'!$C$15&lt;=14,"⚠ ต้องอนุมัติภายใน "&amp;(I58-'ตั้งค่า Setup'!$C$15)&amp;" วัน","ติดตาม (เหลือ "&amp;(I58-'ตั้งค่า Setup'!$C$15)&amp;" วัน)"))))))</f>
        <v/>
      </c>
      <c r="O58" s="32"/>
    </row>
    <row r="59" customFormat="false" ht="15" hidden="false" customHeight="false" outlineLevel="0" collapsed="false">
      <c r="A59" s="61" t="str">
        <f aca="false">IF(D59="","",COUNTA(D$9:D59))</f>
        <v/>
      </c>
      <c r="B59" s="20"/>
      <c r="C59" s="32"/>
      <c r="D59" s="32"/>
      <c r="E59" s="32"/>
      <c r="F59" s="22"/>
      <c r="G59" s="65" t="str">
        <f aca="false">IF(F59="","",IFERROR(INDEX('แผนงาน Schedule'!$AA$7:$AA$156,MATCH(F59&amp;"",'แผนงาน Schedule'!$A$7:$A$156,0)),"ไม่พบ WBS"))</f>
        <v/>
      </c>
      <c r="H59" s="20"/>
      <c r="I59" s="65" t="str">
        <f aca="false">IF(OR(D59="",NOT(ISNUMBER(G59))),"",G59-N(H59))</f>
        <v/>
      </c>
      <c r="J59" s="24"/>
      <c r="K59" s="20"/>
      <c r="L59" s="24"/>
      <c r="M59" s="32"/>
      <c r="N59" s="99" t="str">
        <f aca="false">IF(D59="","",IF(K59="อนุมัติ","✓ อนุมัติแล้ว พร้อมใช้",IF(K59="ไม่อนุมัติ","⚠ ไม่อนุมัติ – ต้องเสนอใหม่"&amp;IF(ISNUMBER(I59),IF(I59&gt;='ตั้งค่า Setup'!$C$15," (เหลือ "&amp;(I59-'ตั้งค่า Setup'!$C$15)&amp;" วัน)"," (เลยกำหนด "&amp;('ตั้งค่า Setup'!$C$15-I59)&amp;" วัน)"),""),IF(NOT(ISNUMBER(I59)),"ติดตาม",IF(I59&lt;'ตั้งค่า Setup'!$C$15,"⚠ เลยกำหนดอนุมัติ "&amp;('ตั้งค่า Setup'!$C$15-I59)&amp;" วัน – กระทบแผนงาน",IF(I59-'ตั้งค่า Setup'!$C$15&lt;=14,"⚠ ต้องอนุมัติภายใน "&amp;(I59-'ตั้งค่า Setup'!$C$15)&amp;" วัน","ติดตาม (เหลือ "&amp;(I59-'ตั้งค่า Setup'!$C$15)&amp;" วัน)"))))))</f>
        <v/>
      </c>
      <c r="O59" s="32"/>
    </row>
    <row r="60" customFormat="false" ht="15" hidden="false" customHeight="false" outlineLevel="0" collapsed="false">
      <c r="A60" s="61" t="str">
        <f aca="false">IF(D60="","",COUNTA(D$9:D60))</f>
        <v/>
      </c>
      <c r="B60" s="20"/>
      <c r="C60" s="32"/>
      <c r="D60" s="32"/>
      <c r="E60" s="32"/>
      <c r="F60" s="22"/>
      <c r="G60" s="65" t="str">
        <f aca="false">IF(F60="","",IFERROR(INDEX('แผนงาน Schedule'!$AA$7:$AA$156,MATCH(F60&amp;"",'แผนงาน Schedule'!$A$7:$A$156,0)),"ไม่พบ WBS"))</f>
        <v/>
      </c>
      <c r="H60" s="20"/>
      <c r="I60" s="65" t="str">
        <f aca="false">IF(OR(D60="",NOT(ISNUMBER(G60))),"",G60-N(H60))</f>
        <v/>
      </c>
      <c r="J60" s="24"/>
      <c r="K60" s="20"/>
      <c r="L60" s="24"/>
      <c r="M60" s="32"/>
      <c r="N60" s="99" t="str">
        <f aca="false">IF(D60="","",IF(K60="อนุมัติ","✓ อนุมัติแล้ว พร้อมใช้",IF(K60="ไม่อนุมัติ","⚠ ไม่อนุมัติ – ต้องเสนอใหม่"&amp;IF(ISNUMBER(I60),IF(I60&gt;='ตั้งค่า Setup'!$C$15," (เหลือ "&amp;(I60-'ตั้งค่า Setup'!$C$15)&amp;" วัน)"," (เลยกำหนด "&amp;('ตั้งค่า Setup'!$C$15-I60)&amp;" วัน)"),""),IF(NOT(ISNUMBER(I60)),"ติดตาม",IF(I60&lt;'ตั้งค่า Setup'!$C$15,"⚠ เลยกำหนดอนุมัติ "&amp;('ตั้งค่า Setup'!$C$15-I60)&amp;" วัน – กระทบแผนงาน",IF(I60-'ตั้งค่า Setup'!$C$15&lt;=14,"⚠ ต้องอนุมัติภายใน "&amp;(I60-'ตั้งค่า Setup'!$C$15)&amp;" วัน","ติดตาม (เหลือ "&amp;(I60-'ตั้งค่า Setup'!$C$15)&amp;" วัน)"))))))</f>
        <v/>
      </c>
      <c r="O60" s="32"/>
    </row>
    <row r="61" customFormat="false" ht="15" hidden="false" customHeight="false" outlineLevel="0" collapsed="false">
      <c r="A61" s="61" t="str">
        <f aca="false">IF(D61="","",COUNTA(D$9:D61))</f>
        <v/>
      </c>
      <c r="B61" s="20"/>
      <c r="C61" s="32"/>
      <c r="D61" s="32"/>
      <c r="E61" s="32"/>
      <c r="F61" s="22"/>
      <c r="G61" s="65" t="str">
        <f aca="false">IF(F61="","",IFERROR(INDEX('แผนงาน Schedule'!$AA$7:$AA$156,MATCH(F61&amp;"",'แผนงาน Schedule'!$A$7:$A$156,0)),"ไม่พบ WBS"))</f>
        <v/>
      </c>
      <c r="H61" s="20"/>
      <c r="I61" s="65" t="str">
        <f aca="false">IF(OR(D61="",NOT(ISNUMBER(G61))),"",G61-N(H61))</f>
        <v/>
      </c>
      <c r="J61" s="24"/>
      <c r="K61" s="20"/>
      <c r="L61" s="24"/>
      <c r="M61" s="32"/>
      <c r="N61" s="99" t="str">
        <f aca="false">IF(D61="","",IF(K61="อนุมัติ","✓ อนุมัติแล้ว พร้อมใช้",IF(K61="ไม่อนุมัติ","⚠ ไม่อนุมัติ – ต้องเสนอใหม่"&amp;IF(ISNUMBER(I61),IF(I61&gt;='ตั้งค่า Setup'!$C$15," (เหลือ "&amp;(I61-'ตั้งค่า Setup'!$C$15)&amp;" วัน)"," (เลยกำหนด "&amp;('ตั้งค่า Setup'!$C$15-I61)&amp;" วัน)"),""),IF(NOT(ISNUMBER(I61)),"ติดตาม",IF(I61&lt;'ตั้งค่า Setup'!$C$15,"⚠ เลยกำหนดอนุมัติ "&amp;('ตั้งค่า Setup'!$C$15-I61)&amp;" วัน – กระทบแผนงาน",IF(I61-'ตั้งค่า Setup'!$C$15&lt;=14,"⚠ ต้องอนุมัติภายใน "&amp;(I61-'ตั้งค่า Setup'!$C$15)&amp;" วัน","ติดตาม (เหลือ "&amp;(I61-'ตั้งค่า Setup'!$C$15)&amp;" วัน)"))))))</f>
        <v/>
      </c>
      <c r="O61" s="32"/>
    </row>
    <row r="62" customFormat="false" ht="15" hidden="false" customHeight="false" outlineLevel="0" collapsed="false">
      <c r="A62" s="61" t="str">
        <f aca="false">IF(D62="","",COUNTA(D$9:D62))</f>
        <v/>
      </c>
      <c r="B62" s="20"/>
      <c r="C62" s="32"/>
      <c r="D62" s="32"/>
      <c r="E62" s="32"/>
      <c r="F62" s="22"/>
      <c r="G62" s="65" t="str">
        <f aca="false">IF(F62="","",IFERROR(INDEX('แผนงาน Schedule'!$AA$7:$AA$156,MATCH(F62&amp;"",'แผนงาน Schedule'!$A$7:$A$156,0)),"ไม่พบ WBS"))</f>
        <v/>
      </c>
      <c r="H62" s="20"/>
      <c r="I62" s="65" t="str">
        <f aca="false">IF(OR(D62="",NOT(ISNUMBER(G62))),"",G62-N(H62))</f>
        <v/>
      </c>
      <c r="J62" s="24"/>
      <c r="K62" s="20"/>
      <c r="L62" s="24"/>
      <c r="M62" s="32"/>
      <c r="N62" s="99" t="str">
        <f aca="false">IF(D62="","",IF(K62="อนุมัติ","✓ อนุมัติแล้ว พร้อมใช้",IF(K62="ไม่อนุมัติ","⚠ ไม่อนุมัติ – ต้องเสนอใหม่"&amp;IF(ISNUMBER(I62),IF(I62&gt;='ตั้งค่า Setup'!$C$15," (เหลือ "&amp;(I62-'ตั้งค่า Setup'!$C$15)&amp;" วัน)"," (เลยกำหนด "&amp;('ตั้งค่า Setup'!$C$15-I62)&amp;" วัน)"),""),IF(NOT(ISNUMBER(I62)),"ติดตาม",IF(I62&lt;'ตั้งค่า Setup'!$C$15,"⚠ เลยกำหนดอนุมัติ "&amp;('ตั้งค่า Setup'!$C$15-I62)&amp;" วัน – กระทบแผนงาน",IF(I62-'ตั้งค่า Setup'!$C$15&lt;=14,"⚠ ต้องอนุมัติภายใน "&amp;(I62-'ตั้งค่า Setup'!$C$15)&amp;" วัน","ติดตาม (เหลือ "&amp;(I62-'ตั้งค่า Setup'!$C$15)&amp;" วัน)"))))))</f>
        <v/>
      </c>
      <c r="O62" s="32"/>
    </row>
    <row r="63" customFormat="false" ht="15" hidden="false" customHeight="false" outlineLevel="0" collapsed="false">
      <c r="A63" s="61" t="str">
        <f aca="false">IF(D63="","",COUNTA(D$9:D63))</f>
        <v/>
      </c>
      <c r="B63" s="20"/>
      <c r="C63" s="32"/>
      <c r="D63" s="32"/>
      <c r="E63" s="32"/>
      <c r="F63" s="22"/>
      <c r="G63" s="65" t="str">
        <f aca="false">IF(F63="","",IFERROR(INDEX('แผนงาน Schedule'!$AA$7:$AA$156,MATCH(F63&amp;"",'แผนงาน Schedule'!$A$7:$A$156,0)),"ไม่พบ WBS"))</f>
        <v/>
      </c>
      <c r="H63" s="20"/>
      <c r="I63" s="65" t="str">
        <f aca="false">IF(OR(D63="",NOT(ISNUMBER(G63))),"",G63-N(H63))</f>
        <v/>
      </c>
      <c r="J63" s="24"/>
      <c r="K63" s="20"/>
      <c r="L63" s="24"/>
      <c r="M63" s="32"/>
      <c r="N63" s="99" t="str">
        <f aca="false">IF(D63="","",IF(K63="อนุมัติ","✓ อนุมัติแล้ว พร้อมใช้",IF(K63="ไม่อนุมัติ","⚠ ไม่อนุมัติ – ต้องเสนอใหม่"&amp;IF(ISNUMBER(I63),IF(I63&gt;='ตั้งค่า Setup'!$C$15," (เหลือ "&amp;(I63-'ตั้งค่า Setup'!$C$15)&amp;" วัน)"," (เลยกำหนด "&amp;('ตั้งค่า Setup'!$C$15-I63)&amp;" วัน)"),""),IF(NOT(ISNUMBER(I63)),"ติดตาม",IF(I63&lt;'ตั้งค่า Setup'!$C$15,"⚠ เลยกำหนดอนุมัติ "&amp;('ตั้งค่า Setup'!$C$15-I63)&amp;" วัน – กระทบแผนงาน",IF(I63-'ตั้งค่า Setup'!$C$15&lt;=14,"⚠ ต้องอนุมัติภายใน "&amp;(I63-'ตั้งค่า Setup'!$C$15)&amp;" วัน","ติดตาม (เหลือ "&amp;(I63-'ตั้งค่า Setup'!$C$15)&amp;" วัน)"))))))</f>
        <v/>
      </c>
      <c r="O63" s="32"/>
    </row>
    <row r="64" customFormat="false" ht="15" hidden="false" customHeight="false" outlineLevel="0" collapsed="false">
      <c r="A64" s="61" t="str">
        <f aca="false">IF(D64="","",COUNTA(D$9:D64))</f>
        <v/>
      </c>
      <c r="B64" s="20"/>
      <c r="C64" s="32"/>
      <c r="D64" s="32"/>
      <c r="E64" s="32"/>
      <c r="F64" s="22"/>
      <c r="G64" s="65" t="str">
        <f aca="false">IF(F64="","",IFERROR(INDEX('แผนงาน Schedule'!$AA$7:$AA$156,MATCH(F64&amp;"",'แผนงาน Schedule'!$A$7:$A$156,0)),"ไม่พบ WBS"))</f>
        <v/>
      </c>
      <c r="H64" s="20"/>
      <c r="I64" s="65" t="str">
        <f aca="false">IF(OR(D64="",NOT(ISNUMBER(G64))),"",G64-N(H64))</f>
        <v/>
      </c>
      <c r="J64" s="24"/>
      <c r="K64" s="20"/>
      <c r="L64" s="24"/>
      <c r="M64" s="32"/>
      <c r="N64" s="99" t="str">
        <f aca="false">IF(D64="","",IF(K64="อนุมัติ","✓ อนุมัติแล้ว พร้อมใช้",IF(K64="ไม่อนุมัติ","⚠ ไม่อนุมัติ – ต้องเสนอใหม่"&amp;IF(ISNUMBER(I64),IF(I64&gt;='ตั้งค่า Setup'!$C$15," (เหลือ "&amp;(I64-'ตั้งค่า Setup'!$C$15)&amp;" วัน)"," (เลยกำหนด "&amp;('ตั้งค่า Setup'!$C$15-I64)&amp;" วัน)"),""),IF(NOT(ISNUMBER(I64)),"ติดตาม",IF(I64&lt;'ตั้งค่า Setup'!$C$15,"⚠ เลยกำหนดอนุมัติ "&amp;('ตั้งค่า Setup'!$C$15-I64)&amp;" วัน – กระทบแผนงาน",IF(I64-'ตั้งค่า Setup'!$C$15&lt;=14,"⚠ ต้องอนุมัติภายใน "&amp;(I64-'ตั้งค่า Setup'!$C$15)&amp;" วัน","ติดตาม (เหลือ "&amp;(I64-'ตั้งค่า Setup'!$C$15)&amp;" วัน)"))))))</f>
        <v/>
      </c>
      <c r="O64" s="32"/>
    </row>
    <row r="65" customFormat="false" ht="15" hidden="false" customHeight="false" outlineLevel="0" collapsed="false">
      <c r="A65" s="61" t="str">
        <f aca="false">IF(D65="","",COUNTA(D$9:D65))</f>
        <v/>
      </c>
      <c r="B65" s="20"/>
      <c r="C65" s="32"/>
      <c r="D65" s="32"/>
      <c r="E65" s="32"/>
      <c r="F65" s="22"/>
      <c r="G65" s="65" t="str">
        <f aca="false">IF(F65="","",IFERROR(INDEX('แผนงาน Schedule'!$AA$7:$AA$156,MATCH(F65&amp;"",'แผนงาน Schedule'!$A$7:$A$156,0)),"ไม่พบ WBS"))</f>
        <v/>
      </c>
      <c r="H65" s="20"/>
      <c r="I65" s="65" t="str">
        <f aca="false">IF(OR(D65="",NOT(ISNUMBER(G65))),"",G65-N(H65))</f>
        <v/>
      </c>
      <c r="J65" s="24"/>
      <c r="K65" s="20"/>
      <c r="L65" s="24"/>
      <c r="M65" s="32"/>
      <c r="N65" s="99" t="str">
        <f aca="false">IF(D65="","",IF(K65="อนุมัติ","✓ อนุมัติแล้ว พร้อมใช้",IF(K65="ไม่อนุมัติ","⚠ ไม่อนุมัติ – ต้องเสนอใหม่"&amp;IF(ISNUMBER(I65),IF(I65&gt;='ตั้งค่า Setup'!$C$15," (เหลือ "&amp;(I65-'ตั้งค่า Setup'!$C$15)&amp;" วัน)"," (เลยกำหนด "&amp;('ตั้งค่า Setup'!$C$15-I65)&amp;" วัน)"),""),IF(NOT(ISNUMBER(I65)),"ติดตาม",IF(I65&lt;'ตั้งค่า Setup'!$C$15,"⚠ เลยกำหนดอนุมัติ "&amp;('ตั้งค่า Setup'!$C$15-I65)&amp;" วัน – กระทบแผนงาน",IF(I65-'ตั้งค่า Setup'!$C$15&lt;=14,"⚠ ต้องอนุมัติภายใน "&amp;(I65-'ตั้งค่า Setup'!$C$15)&amp;" วัน","ติดตาม (เหลือ "&amp;(I65-'ตั้งค่า Setup'!$C$15)&amp;" วัน)"))))))</f>
        <v/>
      </c>
      <c r="O65" s="32"/>
    </row>
    <row r="66" customFormat="false" ht="15" hidden="false" customHeight="false" outlineLevel="0" collapsed="false">
      <c r="A66" s="61" t="str">
        <f aca="false">IF(D66="","",COUNTA(D$9:D66))</f>
        <v/>
      </c>
      <c r="B66" s="20"/>
      <c r="C66" s="32"/>
      <c r="D66" s="32"/>
      <c r="E66" s="32"/>
      <c r="F66" s="22"/>
      <c r="G66" s="65" t="str">
        <f aca="false">IF(F66="","",IFERROR(INDEX('แผนงาน Schedule'!$AA$7:$AA$156,MATCH(F66&amp;"",'แผนงาน Schedule'!$A$7:$A$156,0)),"ไม่พบ WBS"))</f>
        <v/>
      </c>
      <c r="H66" s="20"/>
      <c r="I66" s="65" t="str">
        <f aca="false">IF(OR(D66="",NOT(ISNUMBER(G66))),"",G66-N(H66))</f>
        <v/>
      </c>
      <c r="J66" s="24"/>
      <c r="K66" s="20"/>
      <c r="L66" s="24"/>
      <c r="M66" s="32"/>
      <c r="N66" s="99" t="str">
        <f aca="false">IF(D66="","",IF(K66="อนุมัติ","✓ อนุมัติแล้ว พร้อมใช้",IF(K66="ไม่อนุมัติ","⚠ ไม่อนุมัติ – ต้องเสนอใหม่"&amp;IF(ISNUMBER(I66),IF(I66&gt;='ตั้งค่า Setup'!$C$15," (เหลือ "&amp;(I66-'ตั้งค่า Setup'!$C$15)&amp;" วัน)"," (เลยกำหนด "&amp;('ตั้งค่า Setup'!$C$15-I66)&amp;" วัน)"),""),IF(NOT(ISNUMBER(I66)),"ติดตาม",IF(I66&lt;'ตั้งค่า Setup'!$C$15,"⚠ เลยกำหนดอนุมัติ "&amp;('ตั้งค่า Setup'!$C$15-I66)&amp;" วัน – กระทบแผนงาน",IF(I66-'ตั้งค่า Setup'!$C$15&lt;=14,"⚠ ต้องอนุมัติภายใน "&amp;(I66-'ตั้งค่า Setup'!$C$15)&amp;" วัน","ติดตาม (เหลือ "&amp;(I66-'ตั้งค่า Setup'!$C$15)&amp;" วัน)"))))))</f>
        <v/>
      </c>
      <c r="O66" s="32"/>
    </row>
    <row r="67" customFormat="false" ht="15" hidden="false" customHeight="false" outlineLevel="0" collapsed="false">
      <c r="A67" s="61" t="str">
        <f aca="false">IF(D67="","",COUNTA(D$9:D67))</f>
        <v/>
      </c>
      <c r="B67" s="20"/>
      <c r="C67" s="32"/>
      <c r="D67" s="32"/>
      <c r="E67" s="32"/>
      <c r="F67" s="22"/>
      <c r="G67" s="65" t="str">
        <f aca="false">IF(F67="","",IFERROR(INDEX('แผนงาน Schedule'!$AA$7:$AA$156,MATCH(F67&amp;"",'แผนงาน Schedule'!$A$7:$A$156,0)),"ไม่พบ WBS"))</f>
        <v/>
      </c>
      <c r="H67" s="20"/>
      <c r="I67" s="65" t="str">
        <f aca="false">IF(OR(D67="",NOT(ISNUMBER(G67))),"",G67-N(H67))</f>
        <v/>
      </c>
      <c r="J67" s="24"/>
      <c r="K67" s="20"/>
      <c r="L67" s="24"/>
      <c r="M67" s="32"/>
      <c r="N67" s="99" t="str">
        <f aca="false">IF(D67="","",IF(K67="อนุมัติ","✓ อนุมัติแล้ว พร้อมใช้",IF(K67="ไม่อนุมัติ","⚠ ไม่อนุมัติ – ต้องเสนอใหม่"&amp;IF(ISNUMBER(I67),IF(I67&gt;='ตั้งค่า Setup'!$C$15," (เหลือ "&amp;(I67-'ตั้งค่า Setup'!$C$15)&amp;" วัน)"," (เลยกำหนด "&amp;('ตั้งค่า Setup'!$C$15-I67)&amp;" วัน)"),""),IF(NOT(ISNUMBER(I67)),"ติดตาม",IF(I67&lt;'ตั้งค่า Setup'!$C$15,"⚠ เลยกำหนดอนุมัติ "&amp;('ตั้งค่า Setup'!$C$15-I67)&amp;" วัน – กระทบแผนงาน",IF(I67-'ตั้งค่า Setup'!$C$15&lt;=14,"⚠ ต้องอนุมัติภายใน "&amp;(I67-'ตั้งค่า Setup'!$C$15)&amp;" วัน","ติดตาม (เหลือ "&amp;(I67-'ตั้งค่า Setup'!$C$15)&amp;" วัน)"))))))</f>
        <v/>
      </c>
      <c r="O67" s="32"/>
    </row>
    <row r="68" customFormat="false" ht="15" hidden="false" customHeight="false" outlineLevel="0" collapsed="false">
      <c r="A68" s="61" t="str">
        <f aca="false">IF(D68="","",COUNTA(D$9:D68))</f>
        <v/>
      </c>
      <c r="B68" s="20"/>
      <c r="C68" s="32"/>
      <c r="D68" s="32"/>
      <c r="E68" s="32"/>
      <c r="F68" s="22"/>
      <c r="G68" s="65" t="str">
        <f aca="false">IF(F68="","",IFERROR(INDEX('แผนงาน Schedule'!$AA$7:$AA$156,MATCH(F68&amp;"",'แผนงาน Schedule'!$A$7:$A$156,0)),"ไม่พบ WBS"))</f>
        <v/>
      </c>
      <c r="H68" s="20"/>
      <c r="I68" s="65" t="str">
        <f aca="false">IF(OR(D68="",NOT(ISNUMBER(G68))),"",G68-N(H68))</f>
        <v/>
      </c>
      <c r="J68" s="24"/>
      <c r="K68" s="20"/>
      <c r="L68" s="24"/>
      <c r="M68" s="32"/>
      <c r="N68" s="99" t="str">
        <f aca="false">IF(D68="","",IF(K68="อนุมัติ","✓ อนุมัติแล้ว พร้อมใช้",IF(K68="ไม่อนุมัติ","⚠ ไม่อนุมัติ – ต้องเสนอใหม่"&amp;IF(ISNUMBER(I68),IF(I68&gt;='ตั้งค่า Setup'!$C$15," (เหลือ "&amp;(I68-'ตั้งค่า Setup'!$C$15)&amp;" วัน)"," (เลยกำหนด "&amp;('ตั้งค่า Setup'!$C$15-I68)&amp;" วัน)"),""),IF(NOT(ISNUMBER(I68)),"ติดตาม",IF(I68&lt;'ตั้งค่า Setup'!$C$15,"⚠ เลยกำหนดอนุมัติ "&amp;('ตั้งค่า Setup'!$C$15-I68)&amp;" วัน – กระทบแผนงาน",IF(I68-'ตั้งค่า Setup'!$C$15&lt;=14,"⚠ ต้องอนุมัติภายใน "&amp;(I68-'ตั้งค่า Setup'!$C$15)&amp;" วัน","ติดตาม (เหลือ "&amp;(I68-'ตั้งค่า Setup'!$C$15)&amp;" วัน)"))))))</f>
        <v/>
      </c>
      <c r="O68" s="32"/>
    </row>
    <row r="69" customFormat="false" ht="15" hidden="false" customHeight="false" outlineLevel="0" collapsed="false">
      <c r="A69" s="61" t="str">
        <f aca="false">IF(D69="","",COUNTA(D$9:D69))</f>
        <v/>
      </c>
      <c r="B69" s="20"/>
      <c r="C69" s="32"/>
      <c r="D69" s="32"/>
      <c r="E69" s="32"/>
      <c r="F69" s="22"/>
      <c r="G69" s="65" t="str">
        <f aca="false">IF(F69="","",IFERROR(INDEX('แผนงาน Schedule'!$AA$7:$AA$156,MATCH(F69&amp;"",'แผนงาน Schedule'!$A$7:$A$156,0)),"ไม่พบ WBS"))</f>
        <v/>
      </c>
      <c r="H69" s="20"/>
      <c r="I69" s="65" t="str">
        <f aca="false">IF(OR(D69="",NOT(ISNUMBER(G69))),"",G69-N(H69))</f>
        <v/>
      </c>
      <c r="J69" s="24"/>
      <c r="K69" s="20"/>
      <c r="L69" s="24"/>
      <c r="M69" s="32"/>
      <c r="N69" s="99" t="str">
        <f aca="false">IF(D69="","",IF(K69="อนุมัติ","✓ อนุมัติแล้ว พร้อมใช้",IF(K69="ไม่อนุมัติ","⚠ ไม่อนุมัติ – ต้องเสนอใหม่"&amp;IF(ISNUMBER(I69),IF(I69&gt;='ตั้งค่า Setup'!$C$15," (เหลือ "&amp;(I69-'ตั้งค่า Setup'!$C$15)&amp;" วัน)"," (เลยกำหนด "&amp;('ตั้งค่า Setup'!$C$15-I69)&amp;" วัน)"),""),IF(NOT(ISNUMBER(I69)),"ติดตาม",IF(I69&lt;'ตั้งค่า Setup'!$C$15,"⚠ เลยกำหนดอนุมัติ "&amp;('ตั้งค่า Setup'!$C$15-I69)&amp;" วัน – กระทบแผนงาน",IF(I69-'ตั้งค่า Setup'!$C$15&lt;=14,"⚠ ต้องอนุมัติภายใน "&amp;(I69-'ตั้งค่า Setup'!$C$15)&amp;" วัน","ติดตาม (เหลือ "&amp;(I69-'ตั้งค่า Setup'!$C$15)&amp;" วัน)"))))))</f>
        <v/>
      </c>
      <c r="O69" s="32"/>
    </row>
    <row r="70" customFormat="false" ht="15" hidden="false" customHeight="false" outlineLevel="0" collapsed="false">
      <c r="A70" s="61" t="str">
        <f aca="false">IF(D70="","",COUNTA(D$9:D70))</f>
        <v/>
      </c>
      <c r="B70" s="20"/>
      <c r="C70" s="32"/>
      <c r="D70" s="32"/>
      <c r="E70" s="32"/>
      <c r="F70" s="22"/>
      <c r="G70" s="65" t="str">
        <f aca="false">IF(F70="","",IFERROR(INDEX('แผนงาน Schedule'!$AA$7:$AA$156,MATCH(F70&amp;"",'แผนงาน Schedule'!$A$7:$A$156,0)),"ไม่พบ WBS"))</f>
        <v/>
      </c>
      <c r="H70" s="20"/>
      <c r="I70" s="65" t="str">
        <f aca="false">IF(OR(D70="",NOT(ISNUMBER(G70))),"",G70-N(H70))</f>
        <v/>
      </c>
      <c r="J70" s="24"/>
      <c r="K70" s="20"/>
      <c r="L70" s="24"/>
      <c r="M70" s="32"/>
      <c r="N70" s="99" t="str">
        <f aca="false">IF(D70="","",IF(K70="อนุมัติ","✓ อนุมัติแล้ว พร้อมใช้",IF(K70="ไม่อนุมัติ","⚠ ไม่อนุมัติ – ต้องเสนอใหม่"&amp;IF(ISNUMBER(I70),IF(I70&gt;='ตั้งค่า Setup'!$C$15," (เหลือ "&amp;(I70-'ตั้งค่า Setup'!$C$15)&amp;" วัน)"," (เลยกำหนด "&amp;('ตั้งค่า Setup'!$C$15-I70)&amp;" วัน)"),""),IF(NOT(ISNUMBER(I70)),"ติดตาม",IF(I70&lt;'ตั้งค่า Setup'!$C$15,"⚠ เลยกำหนดอนุมัติ "&amp;('ตั้งค่า Setup'!$C$15-I70)&amp;" วัน – กระทบแผนงาน",IF(I70-'ตั้งค่า Setup'!$C$15&lt;=14,"⚠ ต้องอนุมัติภายใน "&amp;(I70-'ตั้งค่า Setup'!$C$15)&amp;" วัน","ติดตาม (เหลือ "&amp;(I70-'ตั้งค่า Setup'!$C$15)&amp;" วัน)"))))))</f>
        <v/>
      </c>
      <c r="O70" s="32"/>
    </row>
    <row r="71" customFormat="false" ht="15" hidden="false" customHeight="false" outlineLevel="0" collapsed="false">
      <c r="A71" s="61" t="str">
        <f aca="false">IF(D71="","",COUNTA(D$9:D71))</f>
        <v/>
      </c>
      <c r="B71" s="20"/>
      <c r="C71" s="32"/>
      <c r="D71" s="32"/>
      <c r="E71" s="32"/>
      <c r="F71" s="22"/>
      <c r="G71" s="65" t="str">
        <f aca="false">IF(F71="","",IFERROR(INDEX('แผนงาน Schedule'!$AA$7:$AA$156,MATCH(F71&amp;"",'แผนงาน Schedule'!$A$7:$A$156,0)),"ไม่พบ WBS"))</f>
        <v/>
      </c>
      <c r="H71" s="20"/>
      <c r="I71" s="65" t="str">
        <f aca="false">IF(OR(D71="",NOT(ISNUMBER(G71))),"",G71-N(H71))</f>
        <v/>
      </c>
      <c r="J71" s="24"/>
      <c r="K71" s="20"/>
      <c r="L71" s="24"/>
      <c r="M71" s="32"/>
      <c r="N71" s="99" t="str">
        <f aca="false">IF(D71="","",IF(K71="อนุมัติ","✓ อนุมัติแล้ว พร้อมใช้",IF(K71="ไม่อนุมัติ","⚠ ไม่อนุมัติ – ต้องเสนอใหม่"&amp;IF(ISNUMBER(I71),IF(I71&gt;='ตั้งค่า Setup'!$C$15," (เหลือ "&amp;(I71-'ตั้งค่า Setup'!$C$15)&amp;" วัน)"," (เลยกำหนด "&amp;('ตั้งค่า Setup'!$C$15-I71)&amp;" วัน)"),""),IF(NOT(ISNUMBER(I71)),"ติดตาม",IF(I71&lt;'ตั้งค่า Setup'!$C$15,"⚠ เลยกำหนดอนุมัติ "&amp;('ตั้งค่า Setup'!$C$15-I71)&amp;" วัน – กระทบแผนงาน",IF(I71-'ตั้งค่า Setup'!$C$15&lt;=14,"⚠ ต้องอนุมัติภายใน "&amp;(I71-'ตั้งค่า Setup'!$C$15)&amp;" วัน","ติดตาม (เหลือ "&amp;(I71-'ตั้งค่า Setup'!$C$15)&amp;" วัน)"))))))</f>
        <v/>
      </c>
      <c r="O71" s="32"/>
    </row>
    <row r="72" customFormat="false" ht="15" hidden="false" customHeight="false" outlineLevel="0" collapsed="false">
      <c r="A72" s="61" t="str">
        <f aca="false">IF(D72="","",COUNTA(D$9:D72))</f>
        <v/>
      </c>
      <c r="B72" s="20"/>
      <c r="C72" s="32"/>
      <c r="D72" s="32"/>
      <c r="E72" s="32"/>
      <c r="F72" s="22"/>
      <c r="G72" s="65" t="str">
        <f aca="false">IF(F72="","",IFERROR(INDEX('แผนงาน Schedule'!$AA$7:$AA$156,MATCH(F72&amp;"",'แผนงาน Schedule'!$A$7:$A$156,0)),"ไม่พบ WBS"))</f>
        <v/>
      </c>
      <c r="H72" s="20"/>
      <c r="I72" s="65" t="str">
        <f aca="false">IF(OR(D72="",NOT(ISNUMBER(G72))),"",G72-N(H72))</f>
        <v/>
      </c>
      <c r="J72" s="24"/>
      <c r="K72" s="20"/>
      <c r="L72" s="24"/>
      <c r="M72" s="32"/>
      <c r="N72" s="99" t="str">
        <f aca="false">IF(D72="","",IF(K72="อนุมัติ","✓ อนุมัติแล้ว พร้อมใช้",IF(K72="ไม่อนุมัติ","⚠ ไม่อนุมัติ – ต้องเสนอใหม่"&amp;IF(ISNUMBER(I72),IF(I72&gt;='ตั้งค่า Setup'!$C$15," (เหลือ "&amp;(I72-'ตั้งค่า Setup'!$C$15)&amp;" วัน)"," (เลยกำหนด "&amp;('ตั้งค่า Setup'!$C$15-I72)&amp;" วัน)"),""),IF(NOT(ISNUMBER(I72)),"ติดตาม",IF(I72&lt;'ตั้งค่า Setup'!$C$15,"⚠ เลยกำหนดอนุมัติ "&amp;('ตั้งค่า Setup'!$C$15-I72)&amp;" วัน – กระทบแผนงาน",IF(I72-'ตั้งค่า Setup'!$C$15&lt;=14,"⚠ ต้องอนุมัติภายใน "&amp;(I72-'ตั้งค่า Setup'!$C$15)&amp;" วัน","ติดตาม (เหลือ "&amp;(I72-'ตั้งค่า Setup'!$C$15)&amp;" วัน)"))))))</f>
        <v/>
      </c>
      <c r="O72" s="32"/>
    </row>
    <row r="73" customFormat="false" ht="15" hidden="false" customHeight="false" outlineLevel="0" collapsed="false">
      <c r="A73" s="61" t="str">
        <f aca="false">IF(D73="","",COUNTA(D$9:D73))</f>
        <v/>
      </c>
      <c r="B73" s="20"/>
      <c r="C73" s="32"/>
      <c r="D73" s="32"/>
      <c r="E73" s="32"/>
      <c r="F73" s="22"/>
      <c r="G73" s="65" t="str">
        <f aca="false">IF(F73="","",IFERROR(INDEX('แผนงาน Schedule'!$AA$7:$AA$156,MATCH(F73&amp;"",'แผนงาน Schedule'!$A$7:$A$156,0)),"ไม่พบ WBS"))</f>
        <v/>
      </c>
      <c r="H73" s="20"/>
      <c r="I73" s="65" t="str">
        <f aca="false">IF(OR(D73="",NOT(ISNUMBER(G73))),"",G73-N(H73))</f>
        <v/>
      </c>
      <c r="J73" s="24"/>
      <c r="K73" s="20"/>
      <c r="L73" s="24"/>
      <c r="M73" s="32"/>
      <c r="N73" s="99" t="str">
        <f aca="false">IF(D73="","",IF(K73="อนุมัติ","✓ อนุมัติแล้ว พร้อมใช้",IF(K73="ไม่อนุมัติ","⚠ ไม่อนุมัติ – ต้องเสนอใหม่"&amp;IF(ISNUMBER(I73),IF(I73&gt;='ตั้งค่า Setup'!$C$15," (เหลือ "&amp;(I73-'ตั้งค่า Setup'!$C$15)&amp;" วัน)"," (เลยกำหนด "&amp;('ตั้งค่า Setup'!$C$15-I73)&amp;" วัน)"),""),IF(NOT(ISNUMBER(I73)),"ติดตาม",IF(I73&lt;'ตั้งค่า Setup'!$C$15,"⚠ เลยกำหนดอนุมัติ "&amp;('ตั้งค่า Setup'!$C$15-I73)&amp;" วัน – กระทบแผนงาน",IF(I73-'ตั้งค่า Setup'!$C$15&lt;=14,"⚠ ต้องอนุมัติภายใน "&amp;(I73-'ตั้งค่า Setup'!$C$15)&amp;" วัน","ติดตาม (เหลือ "&amp;(I73-'ตั้งค่า Setup'!$C$15)&amp;" วัน)"))))))</f>
        <v/>
      </c>
      <c r="O73" s="32"/>
    </row>
    <row r="74" customFormat="false" ht="15" hidden="false" customHeight="false" outlineLevel="0" collapsed="false">
      <c r="A74" s="61" t="str">
        <f aca="false">IF(D74="","",COUNTA(D$9:D74))</f>
        <v/>
      </c>
      <c r="B74" s="20"/>
      <c r="C74" s="32"/>
      <c r="D74" s="32"/>
      <c r="E74" s="32"/>
      <c r="F74" s="22"/>
      <c r="G74" s="65" t="str">
        <f aca="false">IF(F74="","",IFERROR(INDEX('แผนงาน Schedule'!$AA$7:$AA$156,MATCH(F74&amp;"",'แผนงาน Schedule'!$A$7:$A$156,0)),"ไม่พบ WBS"))</f>
        <v/>
      </c>
      <c r="H74" s="20"/>
      <c r="I74" s="65" t="str">
        <f aca="false">IF(OR(D74="",NOT(ISNUMBER(G74))),"",G74-N(H74))</f>
        <v/>
      </c>
      <c r="J74" s="24"/>
      <c r="K74" s="20"/>
      <c r="L74" s="24"/>
      <c r="M74" s="32"/>
      <c r="N74" s="99" t="str">
        <f aca="false">IF(D74="","",IF(K74="อนุมัติ","✓ อนุมัติแล้ว พร้อมใช้",IF(K74="ไม่อนุมัติ","⚠ ไม่อนุมัติ – ต้องเสนอใหม่"&amp;IF(ISNUMBER(I74),IF(I74&gt;='ตั้งค่า Setup'!$C$15," (เหลือ "&amp;(I74-'ตั้งค่า Setup'!$C$15)&amp;" วัน)"," (เลยกำหนด "&amp;('ตั้งค่า Setup'!$C$15-I74)&amp;" วัน)"),""),IF(NOT(ISNUMBER(I74)),"ติดตาม",IF(I74&lt;'ตั้งค่า Setup'!$C$15,"⚠ เลยกำหนดอนุมัติ "&amp;('ตั้งค่า Setup'!$C$15-I74)&amp;" วัน – กระทบแผนงาน",IF(I74-'ตั้งค่า Setup'!$C$15&lt;=14,"⚠ ต้องอนุมัติภายใน "&amp;(I74-'ตั้งค่า Setup'!$C$15)&amp;" วัน","ติดตาม (เหลือ "&amp;(I74-'ตั้งค่า Setup'!$C$15)&amp;" วัน)"))))))</f>
        <v/>
      </c>
      <c r="O74" s="32"/>
    </row>
    <row r="75" customFormat="false" ht="15" hidden="false" customHeight="false" outlineLevel="0" collapsed="false">
      <c r="A75" s="61" t="str">
        <f aca="false">IF(D75="","",COUNTA(D$9:D75))</f>
        <v/>
      </c>
      <c r="B75" s="20"/>
      <c r="C75" s="32"/>
      <c r="D75" s="32"/>
      <c r="E75" s="32"/>
      <c r="F75" s="22"/>
      <c r="G75" s="65" t="str">
        <f aca="false">IF(F75="","",IFERROR(INDEX('แผนงาน Schedule'!$AA$7:$AA$156,MATCH(F75&amp;"",'แผนงาน Schedule'!$A$7:$A$156,0)),"ไม่พบ WBS"))</f>
        <v/>
      </c>
      <c r="H75" s="20"/>
      <c r="I75" s="65" t="str">
        <f aca="false">IF(OR(D75="",NOT(ISNUMBER(G75))),"",G75-N(H75))</f>
        <v/>
      </c>
      <c r="J75" s="24"/>
      <c r="K75" s="20"/>
      <c r="L75" s="24"/>
      <c r="M75" s="32"/>
      <c r="N75" s="99" t="str">
        <f aca="false">IF(D75="","",IF(K75="อนุมัติ","✓ อนุมัติแล้ว พร้อมใช้",IF(K75="ไม่อนุมัติ","⚠ ไม่อนุมัติ – ต้องเสนอใหม่"&amp;IF(ISNUMBER(I75),IF(I75&gt;='ตั้งค่า Setup'!$C$15," (เหลือ "&amp;(I75-'ตั้งค่า Setup'!$C$15)&amp;" วัน)"," (เลยกำหนด "&amp;('ตั้งค่า Setup'!$C$15-I75)&amp;" วัน)"),""),IF(NOT(ISNUMBER(I75)),"ติดตาม",IF(I75&lt;'ตั้งค่า Setup'!$C$15,"⚠ เลยกำหนดอนุมัติ "&amp;('ตั้งค่า Setup'!$C$15-I75)&amp;" วัน – กระทบแผนงาน",IF(I75-'ตั้งค่า Setup'!$C$15&lt;=14,"⚠ ต้องอนุมัติภายใน "&amp;(I75-'ตั้งค่า Setup'!$C$15)&amp;" วัน","ติดตาม (เหลือ "&amp;(I75-'ตั้งค่า Setup'!$C$15)&amp;" วัน)"))))))</f>
        <v/>
      </c>
      <c r="O75" s="32"/>
    </row>
    <row r="76" customFormat="false" ht="15" hidden="false" customHeight="false" outlineLevel="0" collapsed="false">
      <c r="A76" s="61" t="str">
        <f aca="false">IF(D76="","",COUNTA(D$9:D76))</f>
        <v/>
      </c>
      <c r="B76" s="20"/>
      <c r="C76" s="32"/>
      <c r="D76" s="32"/>
      <c r="E76" s="32"/>
      <c r="F76" s="22"/>
      <c r="G76" s="65" t="str">
        <f aca="false">IF(F76="","",IFERROR(INDEX('แผนงาน Schedule'!$AA$7:$AA$156,MATCH(F76&amp;"",'แผนงาน Schedule'!$A$7:$A$156,0)),"ไม่พบ WBS"))</f>
        <v/>
      </c>
      <c r="H76" s="20"/>
      <c r="I76" s="65" t="str">
        <f aca="false">IF(OR(D76="",NOT(ISNUMBER(G76))),"",G76-N(H76))</f>
        <v/>
      </c>
      <c r="J76" s="24"/>
      <c r="K76" s="20"/>
      <c r="L76" s="24"/>
      <c r="M76" s="32"/>
      <c r="N76" s="99" t="str">
        <f aca="false">IF(D76="","",IF(K76="อนุมัติ","✓ อนุมัติแล้ว พร้อมใช้",IF(K76="ไม่อนุมัติ","⚠ ไม่อนุมัติ – ต้องเสนอใหม่"&amp;IF(ISNUMBER(I76),IF(I76&gt;='ตั้งค่า Setup'!$C$15," (เหลือ "&amp;(I76-'ตั้งค่า Setup'!$C$15)&amp;" วัน)"," (เลยกำหนด "&amp;('ตั้งค่า Setup'!$C$15-I76)&amp;" วัน)"),""),IF(NOT(ISNUMBER(I76)),"ติดตาม",IF(I76&lt;'ตั้งค่า Setup'!$C$15,"⚠ เลยกำหนดอนุมัติ "&amp;('ตั้งค่า Setup'!$C$15-I76)&amp;" วัน – กระทบแผนงาน",IF(I76-'ตั้งค่า Setup'!$C$15&lt;=14,"⚠ ต้องอนุมัติภายใน "&amp;(I76-'ตั้งค่า Setup'!$C$15)&amp;" วัน","ติดตาม (เหลือ "&amp;(I76-'ตั้งค่า Setup'!$C$15)&amp;" วัน)"))))))</f>
        <v/>
      </c>
      <c r="O76" s="32"/>
    </row>
    <row r="77" customFormat="false" ht="15" hidden="false" customHeight="false" outlineLevel="0" collapsed="false">
      <c r="A77" s="61" t="str">
        <f aca="false">IF(D77="","",COUNTA(D$9:D77))</f>
        <v/>
      </c>
      <c r="B77" s="20"/>
      <c r="C77" s="32"/>
      <c r="D77" s="32"/>
      <c r="E77" s="32"/>
      <c r="F77" s="22"/>
      <c r="G77" s="65" t="str">
        <f aca="false">IF(F77="","",IFERROR(INDEX('แผนงาน Schedule'!$AA$7:$AA$156,MATCH(F77&amp;"",'แผนงาน Schedule'!$A$7:$A$156,0)),"ไม่พบ WBS"))</f>
        <v/>
      </c>
      <c r="H77" s="20"/>
      <c r="I77" s="65" t="str">
        <f aca="false">IF(OR(D77="",NOT(ISNUMBER(G77))),"",G77-N(H77))</f>
        <v/>
      </c>
      <c r="J77" s="24"/>
      <c r="K77" s="20"/>
      <c r="L77" s="24"/>
      <c r="M77" s="32"/>
      <c r="N77" s="99" t="str">
        <f aca="false">IF(D77="","",IF(K77="อนุมัติ","✓ อนุมัติแล้ว พร้อมใช้",IF(K77="ไม่อนุมัติ","⚠ ไม่อนุมัติ – ต้องเสนอใหม่"&amp;IF(ISNUMBER(I77),IF(I77&gt;='ตั้งค่า Setup'!$C$15," (เหลือ "&amp;(I77-'ตั้งค่า Setup'!$C$15)&amp;" วัน)"," (เลยกำหนด "&amp;('ตั้งค่า Setup'!$C$15-I77)&amp;" วัน)"),""),IF(NOT(ISNUMBER(I77)),"ติดตาม",IF(I77&lt;'ตั้งค่า Setup'!$C$15,"⚠ เลยกำหนดอนุมัติ "&amp;('ตั้งค่า Setup'!$C$15-I77)&amp;" วัน – กระทบแผนงาน",IF(I77-'ตั้งค่า Setup'!$C$15&lt;=14,"⚠ ต้องอนุมัติภายใน "&amp;(I77-'ตั้งค่า Setup'!$C$15)&amp;" วัน","ติดตาม (เหลือ "&amp;(I77-'ตั้งค่า Setup'!$C$15)&amp;" วัน)"))))))</f>
        <v/>
      </c>
      <c r="O77" s="32"/>
    </row>
    <row r="78" customFormat="false" ht="15" hidden="false" customHeight="false" outlineLevel="0" collapsed="false">
      <c r="A78" s="61" t="str">
        <f aca="false">IF(D78="","",COUNTA(D$9:D78))</f>
        <v/>
      </c>
      <c r="B78" s="20"/>
      <c r="C78" s="32"/>
      <c r="D78" s="32"/>
      <c r="E78" s="32"/>
      <c r="F78" s="22"/>
      <c r="G78" s="65" t="str">
        <f aca="false">IF(F78="","",IFERROR(INDEX('แผนงาน Schedule'!$AA$7:$AA$156,MATCH(F78&amp;"",'แผนงาน Schedule'!$A$7:$A$156,0)),"ไม่พบ WBS"))</f>
        <v/>
      </c>
      <c r="H78" s="20"/>
      <c r="I78" s="65" t="str">
        <f aca="false">IF(OR(D78="",NOT(ISNUMBER(G78))),"",G78-N(H78))</f>
        <v/>
      </c>
      <c r="J78" s="24"/>
      <c r="K78" s="20"/>
      <c r="L78" s="24"/>
      <c r="M78" s="32"/>
      <c r="N78" s="99" t="str">
        <f aca="false">IF(D78="","",IF(K78="อนุมัติ","✓ อนุมัติแล้ว พร้อมใช้",IF(K78="ไม่อนุมัติ","⚠ ไม่อนุมัติ – ต้องเสนอใหม่"&amp;IF(ISNUMBER(I78),IF(I78&gt;='ตั้งค่า Setup'!$C$15," (เหลือ "&amp;(I78-'ตั้งค่า Setup'!$C$15)&amp;" วัน)"," (เลยกำหนด "&amp;('ตั้งค่า Setup'!$C$15-I78)&amp;" วัน)"),""),IF(NOT(ISNUMBER(I78)),"ติดตาม",IF(I78&lt;'ตั้งค่า Setup'!$C$15,"⚠ เลยกำหนดอนุมัติ "&amp;('ตั้งค่า Setup'!$C$15-I78)&amp;" วัน – กระทบแผนงาน",IF(I78-'ตั้งค่า Setup'!$C$15&lt;=14,"⚠ ต้องอนุมัติภายใน "&amp;(I78-'ตั้งค่า Setup'!$C$15)&amp;" วัน","ติดตาม (เหลือ "&amp;(I78-'ตั้งค่า Setup'!$C$15)&amp;" วัน)"))))))</f>
        <v/>
      </c>
      <c r="O78" s="32"/>
    </row>
    <row r="79" customFormat="false" ht="15" hidden="false" customHeight="false" outlineLevel="0" collapsed="false">
      <c r="A79" s="61" t="str">
        <f aca="false">IF(D79="","",COUNTA(D$9:D79))</f>
        <v/>
      </c>
      <c r="B79" s="20"/>
      <c r="C79" s="32"/>
      <c r="D79" s="32"/>
      <c r="E79" s="32"/>
      <c r="F79" s="22"/>
      <c r="G79" s="65" t="str">
        <f aca="false">IF(F79="","",IFERROR(INDEX('แผนงาน Schedule'!$AA$7:$AA$156,MATCH(F79&amp;"",'แผนงาน Schedule'!$A$7:$A$156,0)),"ไม่พบ WBS"))</f>
        <v/>
      </c>
      <c r="H79" s="20"/>
      <c r="I79" s="65" t="str">
        <f aca="false">IF(OR(D79="",NOT(ISNUMBER(G79))),"",G79-N(H79))</f>
        <v/>
      </c>
      <c r="J79" s="24"/>
      <c r="K79" s="20"/>
      <c r="L79" s="24"/>
      <c r="M79" s="32"/>
      <c r="N79" s="99" t="str">
        <f aca="false">IF(D79="","",IF(K79="อนุมัติ","✓ อนุมัติแล้ว พร้อมใช้",IF(K79="ไม่อนุมัติ","⚠ ไม่อนุมัติ – ต้องเสนอใหม่"&amp;IF(ISNUMBER(I79),IF(I79&gt;='ตั้งค่า Setup'!$C$15," (เหลือ "&amp;(I79-'ตั้งค่า Setup'!$C$15)&amp;" วัน)"," (เลยกำหนด "&amp;('ตั้งค่า Setup'!$C$15-I79)&amp;" วัน)"),""),IF(NOT(ISNUMBER(I79)),"ติดตาม",IF(I79&lt;'ตั้งค่า Setup'!$C$15,"⚠ เลยกำหนดอนุมัติ "&amp;('ตั้งค่า Setup'!$C$15-I79)&amp;" วัน – กระทบแผนงาน",IF(I79-'ตั้งค่า Setup'!$C$15&lt;=14,"⚠ ต้องอนุมัติภายใน "&amp;(I79-'ตั้งค่า Setup'!$C$15)&amp;" วัน","ติดตาม (เหลือ "&amp;(I79-'ตั้งค่า Setup'!$C$15)&amp;" วัน)"))))))</f>
        <v/>
      </c>
      <c r="O79" s="32"/>
    </row>
    <row r="80" customFormat="false" ht="15" hidden="false" customHeight="false" outlineLevel="0" collapsed="false">
      <c r="A80" s="61" t="str">
        <f aca="false">IF(D80="","",COUNTA(D$9:D80))</f>
        <v/>
      </c>
      <c r="B80" s="20"/>
      <c r="C80" s="32"/>
      <c r="D80" s="32"/>
      <c r="E80" s="32"/>
      <c r="F80" s="22"/>
      <c r="G80" s="65" t="str">
        <f aca="false">IF(F80="","",IFERROR(INDEX('แผนงาน Schedule'!$AA$7:$AA$156,MATCH(F80&amp;"",'แผนงาน Schedule'!$A$7:$A$156,0)),"ไม่พบ WBS"))</f>
        <v/>
      </c>
      <c r="H80" s="20"/>
      <c r="I80" s="65" t="str">
        <f aca="false">IF(OR(D80="",NOT(ISNUMBER(G80))),"",G80-N(H80))</f>
        <v/>
      </c>
      <c r="J80" s="24"/>
      <c r="K80" s="20"/>
      <c r="L80" s="24"/>
      <c r="M80" s="32"/>
      <c r="N80" s="99" t="str">
        <f aca="false">IF(D80="","",IF(K80="อนุมัติ","✓ อนุมัติแล้ว พร้อมใช้",IF(K80="ไม่อนุมัติ","⚠ ไม่อนุมัติ – ต้องเสนอใหม่"&amp;IF(ISNUMBER(I80),IF(I80&gt;='ตั้งค่า Setup'!$C$15," (เหลือ "&amp;(I80-'ตั้งค่า Setup'!$C$15)&amp;" วัน)"," (เลยกำหนด "&amp;('ตั้งค่า Setup'!$C$15-I80)&amp;" วัน)"),""),IF(NOT(ISNUMBER(I80)),"ติดตาม",IF(I80&lt;'ตั้งค่า Setup'!$C$15,"⚠ เลยกำหนดอนุมัติ "&amp;('ตั้งค่า Setup'!$C$15-I80)&amp;" วัน – กระทบแผนงาน",IF(I80-'ตั้งค่า Setup'!$C$15&lt;=14,"⚠ ต้องอนุมัติภายใน "&amp;(I80-'ตั้งค่า Setup'!$C$15)&amp;" วัน","ติดตาม (เหลือ "&amp;(I80-'ตั้งค่า Setup'!$C$15)&amp;" วัน)"))))))</f>
        <v/>
      </c>
      <c r="O80" s="32"/>
    </row>
    <row r="81" customFormat="false" ht="15" hidden="false" customHeight="false" outlineLevel="0" collapsed="false">
      <c r="A81" s="61" t="str">
        <f aca="false">IF(D81="","",COUNTA(D$9:D81))</f>
        <v/>
      </c>
      <c r="B81" s="20"/>
      <c r="C81" s="32"/>
      <c r="D81" s="32"/>
      <c r="E81" s="32"/>
      <c r="F81" s="22"/>
      <c r="G81" s="65" t="str">
        <f aca="false">IF(F81="","",IFERROR(INDEX('แผนงาน Schedule'!$AA$7:$AA$156,MATCH(F81&amp;"",'แผนงาน Schedule'!$A$7:$A$156,0)),"ไม่พบ WBS"))</f>
        <v/>
      </c>
      <c r="H81" s="20"/>
      <c r="I81" s="65" t="str">
        <f aca="false">IF(OR(D81="",NOT(ISNUMBER(G81))),"",G81-N(H81))</f>
        <v/>
      </c>
      <c r="J81" s="24"/>
      <c r="K81" s="20"/>
      <c r="L81" s="24"/>
      <c r="M81" s="32"/>
      <c r="N81" s="99" t="str">
        <f aca="false">IF(D81="","",IF(K81="อนุมัติ","✓ อนุมัติแล้ว พร้อมใช้",IF(K81="ไม่อนุมัติ","⚠ ไม่อนุมัติ – ต้องเสนอใหม่"&amp;IF(ISNUMBER(I81),IF(I81&gt;='ตั้งค่า Setup'!$C$15," (เหลือ "&amp;(I81-'ตั้งค่า Setup'!$C$15)&amp;" วัน)"," (เลยกำหนด "&amp;('ตั้งค่า Setup'!$C$15-I81)&amp;" วัน)"),""),IF(NOT(ISNUMBER(I81)),"ติดตาม",IF(I81&lt;'ตั้งค่า Setup'!$C$15,"⚠ เลยกำหนดอนุมัติ "&amp;('ตั้งค่า Setup'!$C$15-I81)&amp;" วัน – กระทบแผนงาน",IF(I81-'ตั้งค่า Setup'!$C$15&lt;=14,"⚠ ต้องอนุมัติภายใน "&amp;(I81-'ตั้งค่า Setup'!$C$15)&amp;" วัน","ติดตาม (เหลือ "&amp;(I81-'ตั้งค่า Setup'!$C$15)&amp;" วัน)"))))))</f>
        <v/>
      </c>
      <c r="O81" s="32"/>
    </row>
    <row r="82" customFormat="false" ht="15" hidden="false" customHeight="false" outlineLevel="0" collapsed="false">
      <c r="A82" s="61" t="str">
        <f aca="false">IF(D82="","",COUNTA(D$9:D82))</f>
        <v/>
      </c>
      <c r="B82" s="20"/>
      <c r="C82" s="32"/>
      <c r="D82" s="32"/>
      <c r="E82" s="32"/>
      <c r="F82" s="22"/>
      <c r="G82" s="65" t="str">
        <f aca="false">IF(F82="","",IFERROR(INDEX('แผนงาน Schedule'!$AA$7:$AA$156,MATCH(F82&amp;"",'แผนงาน Schedule'!$A$7:$A$156,0)),"ไม่พบ WBS"))</f>
        <v/>
      </c>
      <c r="H82" s="20"/>
      <c r="I82" s="65" t="str">
        <f aca="false">IF(OR(D82="",NOT(ISNUMBER(G82))),"",G82-N(H82))</f>
        <v/>
      </c>
      <c r="J82" s="24"/>
      <c r="K82" s="20"/>
      <c r="L82" s="24"/>
      <c r="M82" s="32"/>
      <c r="N82" s="99" t="str">
        <f aca="false">IF(D82="","",IF(K82="อนุมัติ","✓ อนุมัติแล้ว พร้อมใช้",IF(K82="ไม่อนุมัติ","⚠ ไม่อนุมัติ – ต้องเสนอใหม่"&amp;IF(ISNUMBER(I82),IF(I82&gt;='ตั้งค่า Setup'!$C$15," (เหลือ "&amp;(I82-'ตั้งค่า Setup'!$C$15)&amp;" วัน)"," (เลยกำหนด "&amp;('ตั้งค่า Setup'!$C$15-I82)&amp;" วัน)"),""),IF(NOT(ISNUMBER(I82)),"ติดตาม",IF(I82&lt;'ตั้งค่า Setup'!$C$15,"⚠ เลยกำหนดอนุมัติ "&amp;('ตั้งค่า Setup'!$C$15-I82)&amp;" วัน – กระทบแผนงาน",IF(I82-'ตั้งค่า Setup'!$C$15&lt;=14,"⚠ ต้องอนุมัติภายใน "&amp;(I82-'ตั้งค่า Setup'!$C$15)&amp;" วัน","ติดตาม (เหลือ "&amp;(I82-'ตั้งค่า Setup'!$C$15)&amp;" วัน)"))))))</f>
        <v/>
      </c>
      <c r="O82" s="32"/>
    </row>
    <row r="83" customFormat="false" ht="15" hidden="false" customHeight="false" outlineLevel="0" collapsed="false">
      <c r="A83" s="61" t="str">
        <f aca="false">IF(D83="","",COUNTA(D$9:D83))</f>
        <v/>
      </c>
      <c r="B83" s="20"/>
      <c r="C83" s="32"/>
      <c r="D83" s="32"/>
      <c r="E83" s="32"/>
      <c r="F83" s="22"/>
      <c r="G83" s="65" t="str">
        <f aca="false">IF(F83="","",IFERROR(INDEX('แผนงาน Schedule'!$AA$7:$AA$156,MATCH(F83&amp;"",'แผนงาน Schedule'!$A$7:$A$156,0)),"ไม่พบ WBS"))</f>
        <v/>
      </c>
      <c r="H83" s="20"/>
      <c r="I83" s="65" t="str">
        <f aca="false">IF(OR(D83="",NOT(ISNUMBER(G83))),"",G83-N(H83))</f>
        <v/>
      </c>
      <c r="J83" s="24"/>
      <c r="K83" s="20"/>
      <c r="L83" s="24"/>
      <c r="M83" s="32"/>
      <c r="N83" s="99" t="str">
        <f aca="false">IF(D83="","",IF(K83="อนุมัติ","✓ อนุมัติแล้ว พร้อมใช้",IF(K83="ไม่อนุมัติ","⚠ ไม่อนุมัติ – ต้องเสนอใหม่"&amp;IF(ISNUMBER(I83),IF(I83&gt;='ตั้งค่า Setup'!$C$15," (เหลือ "&amp;(I83-'ตั้งค่า Setup'!$C$15)&amp;" วัน)"," (เลยกำหนด "&amp;('ตั้งค่า Setup'!$C$15-I83)&amp;" วัน)"),""),IF(NOT(ISNUMBER(I83)),"ติดตาม",IF(I83&lt;'ตั้งค่า Setup'!$C$15,"⚠ เลยกำหนดอนุมัติ "&amp;('ตั้งค่า Setup'!$C$15-I83)&amp;" วัน – กระทบแผนงาน",IF(I83-'ตั้งค่า Setup'!$C$15&lt;=14,"⚠ ต้องอนุมัติภายใน "&amp;(I83-'ตั้งค่า Setup'!$C$15)&amp;" วัน","ติดตาม (เหลือ "&amp;(I83-'ตั้งค่า Setup'!$C$15)&amp;" วัน)"))))))</f>
        <v/>
      </c>
      <c r="O83" s="32"/>
    </row>
    <row r="84" customFormat="false" ht="15" hidden="false" customHeight="false" outlineLevel="0" collapsed="false">
      <c r="A84" s="61" t="str">
        <f aca="false">IF(D84="","",COUNTA(D$9:D84))</f>
        <v/>
      </c>
      <c r="B84" s="20"/>
      <c r="C84" s="32"/>
      <c r="D84" s="32"/>
      <c r="E84" s="32"/>
      <c r="F84" s="22"/>
      <c r="G84" s="65" t="str">
        <f aca="false">IF(F84="","",IFERROR(INDEX('แผนงาน Schedule'!$AA$7:$AA$156,MATCH(F84&amp;"",'แผนงาน Schedule'!$A$7:$A$156,0)),"ไม่พบ WBS"))</f>
        <v/>
      </c>
      <c r="H84" s="20"/>
      <c r="I84" s="65" t="str">
        <f aca="false">IF(OR(D84="",NOT(ISNUMBER(G84))),"",G84-N(H84))</f>
        <v/>
      </c>
      <c r="J84" s="24"/>
      <c r="K84" s="20"/>
      <c r="L84" s="24"/>
      <c r="M84" s="32"/>
      <c r="N84" s="99" t="str">
        <f aca="false">IF(D84="","",IF(K84="อนุมัติ","✓ อนุมัติแล้ว พร้อมใช้",IF(K84="ไม่อนุมัติ","⚠ ไม่อนุมัติ – ต้องเสนอใหม่"&amp;IF(ISNUMBER(I84),IF(I84&gt;='ตั้งค่า Setup'!$C$15," (เหลือ "&amp;(I84-'ตั้งค่า Setup'!$C$15)&amp;" วัน)"," (เลยกำหนด "&amp;('ตั้งค่า Setup'!$C$15-I84)&amp;" วัน)"),""),IF(NOT(ISNUMBER(I84)),"ติดตาม",IF(I84&lt;'ตั้งค่า Setup'!$C$15,"⚠ เลยกำหนดอนุมัติ "&amp;('ตั้งค่า Setup'!$C$15-I84)&amp;" วัน – กระทบแผนงาน",IF(I84-'ตั้งค่า Setup'!$C$15&lt;=14,"⚠ ต้องอนุมัติภายใน "&amp;(I84-'ตั้งค่า Setup'!$C$15)&amp;" วัน","ติดตาม (เหลือ "&amp;(I84-'ตั้งค่า Setup'!$C$15)&amp;" วัน)"))))))</f>
        <v/>
      </c>
      <c r="O84" s="32"/>
    </row>
    <row r="85" customFormat="false" ht="15" hidden="false" customHeight="false" outlineLevel="0" collapsed="false">
      <c r="A85" s="61" t="str">
        <f aca="false">IF(D85="","",COUNTA(D$9:D85))</f>
        <v/>
      </c>
      <c r="B85" s="20"/>
      <c r="C85" s="32"/>
      <c r="D85" s="32"/>
      <c r="E85" s="32"/>
      <c r="F85" s="22"/>
      <c r="G85" s="65" t="str">
        <f aca="false">IF(F85="","",IFERROR(INDEX('แผนงาน Schedule'!$AA$7:$AA$156,MATCH(F85&amp;"",'แผนงาน Schedule'!$A$7:$A$156,0)),"ไม่พบ WBS"))</f>
        <v/>
      </c>
      <c r="H85" s="20"/>
      <c r="I85" s="65" t="str">
        <f aca="false">IF(OR(D85="",NOT(ISNUMBER(G85))),"",G85-N(H85))</f>
        <v/>
      </c>
      <c r="J85" s="24"/>
      <c r="K85" s="20"/>
      <c r="L85" s="24"/>
      <c r="M85" s="32"/>
      <c r="N85" s="99" t="str">
        <f aca="false">IF(D85="","",IF(K85="อนุมัติ","✓ อนุมัติแล้ว พร้อมใช้",IF(K85="ไม่อนุมัติ","⚠ ไม่อนุมัติ – ต้องเสนอใหม่"&amp;IF(ISNUMBER(I85),IF(I85&gt;='ตั้งค่า Setup'!$C$15," (เหลือ "&amp;(I85-'ตั้งค่า Setup'!$C$15)&amp;" วัน)"," (เลยกำหนด "&amp;('ตั้งค่า Setup'!$C$15-I85)&amp;" วัน)"),""),IF(NOT(ISNUMBER(I85)),"ติดตาม",IF(I85&lt;'ตั้งค่า Setup'!$C$15,"⚠ เลยกำหนดอนุมัติ "&amp;('ตั้งค่า Setup'!$C$15-I85)&amp;" วัน – กระทบแผนงาน",IF(I85-'ตั้งค่า Setup'!$C$15&lt;=14,"⚠ ต้องอนุมัติภายใน "&amp;(I85-'ตั้งค่า Setup'!$C$15)&amp;" วัน","ติดตาม (เหลือ "&amp;(I85-'ตั้งค่า Setup'!$C$15)&amp;" วัน)"))))))</f>
        <v/>
      </c>
      <c r="O85" s="32"/>
    </row>
    <row r="86" customFormat="false" ht="15" hidden="false" customHeight="false" outlineLevel="0" collapsed="false">
      <c r="A86" s="61" t="str">
        <f aca="false">IF(D86="","",COUNTA(D$9:D86))</f>
        <v/>
      </c>
      <c r="B86" s="20"/>
      <c r="C86" s="32"/>
      <c r="D86" s="32"/>
      <c r="E86" s="32"/>
      <c r="F86" s="22"/>
      <c r="G86" s="65" t="str">
        <f aca="false">IF(F86="","",IFERROR(INDEX('แผนงาน Schedule'!$AA$7:$AA$156,MATCH(F86&amp;"",'แผนงาน Schedule'!$A$7:$A$156,0)),"ไม่พบ WBS"))</f>
        <v/>
      </c>
      <c r="H86" s="20"/>
      <c r="I86" s="65" t="str">
        <f aca="false">IF(OR(D86="",NOT(ISNUMBER(G86))),"",G86-N(H86))</f>
        <v/>
      </c>
      <c r="J86" s="24"/>
      <c r="K86" s="20"/>
      <c r="L86" s="24"/>
      <c r="M86" s="32"/>
      <c r="N86" s="99" t="str">
        <f aca="false">IF(D86="","",IF(K86="อนุมัติ","✓ อนุมัติแล้ว พร้อมใช้",IF(K86="ไม่อนุมัติ","⚠ ไม่อนุมัติ – ต้องเสนอใหม่"&amp;IF(ISNUMBER(I86),IF(I86&gt;='ตั้งค่า Setup'!$C$15," (เหลือ "&amp;(I86-'ตั้งค่า Setup'!$C$15)&amp;" วัน)"," (เลยกำหนด "&amp;('ตั้งค่า Setup'!$C$15-I86)&amp;" วัน)"),""),IF(NOT(ISNUMBER(I86)),"ติดตาม",IF(I86&lt;'ตั้งค่า Setup'!$C$15,"⚠ เลยกำหนดอนุมัติ "&amp;('ตั้งค่า Setup'!$C$15-I86)&amp;" วัน – กระทบแผนงาน",IF(I86-'ตั้งค่า Setup'!$C$15&lt;=14,"⚠ ต้องอนุมัติภายใน "&amp;(I86-'ตั้งค่า Setup'!$C$15)&amp;" วัน","ติดตาม (เหลือ "&amp;(I86-'ตั้งค่า Setup'!$C$15)&amp;" วัน)"))))))</f>
        <v/>
      </c>
      <c r="O86" s="32"/>
    </row>
    <row r="87" customFormat="false" ht="15" hidden="false" customHeight="false" outlineLevel="0" collapsed="false">
      <c r="A87" s="61" t="str">
        <f aca="false">IF(D87="","",COUNTA(D$9:D87))</f>
        <v/>
      </c>
      <c r="B87" s="20"/>
      <c r="C87" s="32"/>
      <c r="D87" s="32"/>
      <c r="E87" s="32"/>
      <c r="F87" s="22"/>
      <c r="G87" s="65" t="str">
        <f aca="false">IF(F87="","",IFERROR(INDEX('แผนงาน Schedule'!$AA$7:$AA$156,MATCH(F87&amp;"",'แผนงาน Schedule'!$A$7:$A$156,0)),"ไม่พบ WBS"))</f>
        <v/>
      </c>
      <c r="H87" s="20"/>
      <c r="I87" s="65" t="str">
        <f aca="false">IF(OR(D87="",NOT(ISNUMBER(G87))),"",G87-N(H87))</f>
        <v/>
      </c>
      <c r="J87" s="24"/>
      <c r="K87" s="20"/>
      <c r="L87" s="24"/>
      <c r="M87" s="32"/>
      <c r="N87" s="99" t="str">
        <f aca="false">IF(D87="","",IF(K87="อนุมัติ","✓ อนุมัติแล้ว พร้อมใช้",IF(K87="ไม่อนุมัติ","⚠ ไม่อนุมัติ – ต้องเสนอใหม่"&amp;IF(ISNUMBER(I87),IF(I87&gt;='ตั้งค่า Setup'!$C$15," (เหลือ "&amp;(I87-'ตั้งค่า Setup'!$C$15)&amp;" วัน)"," (เลยกำหนด "&amp;('ตั้งค่า Setup'!$C$15-I87)&amp;" วัน)"),""),IF(NOT(ISNUMBER(I87)),"ติดตาม",IF(I87&lt;'ตั้งค่า Setup'!$C$15,"⚠ เลยกำหนดอนุมัติ "&amp;('ตั้งค่า Setup'!$C$15-I87)&amp;" วัน – กระทบแผนงาน",IF(I87-'ตั้งค่า Setup'!$C$15&lt;=14,"⚠ ต้องอนุมัติภายใน "&amp;(I87-'ตั้งค่า Setup'!$C$15)&amp;" วัน","ติดตาม (เหลือ "&amp;(I87-'ตั้งค่า Setup'!$C$15)&amp;" วัน)"))))))</f>
        <v/>
      </c>
      <c r="O87" s="32"/>
    </row>
    <row r="88" customFormat="false" ht="15" hidden="false" customHeight="false" outlineLevel="0" collapsed="false">
      <c r="A88" s="61" t="str">
        <f aca="false">IF(D88="","",COUNTA(D$9:D88))</f>
        <v/>
      </c>
      <c r="B88" s="20"/>
      <c r="C88" s="32"/>
      <c r="D88" s="32"/>
      <c r="E88" s="32"/>
      <c r="F88" s="22"/>
      <c r="G88" s="65" t="str">
        <f aca="false">IF(F88="","",IFERROR(INDEX('แผนงาน Schedule'!$AA$7:$AA$156,MATCH(F88&amp;"",'แผนงาน Schedule'!$A$7:$A$156,0)),"ไม่พบ WBS"))</f>
        <v/>
      </c>
      <c r="H88" s="20"/>
      <c r="I88" s="65" t="str">
        <f aca="false">IF(OR(D88="",NOT(ISNUMBER(G88))),"",G88-N(H88))</f>
        <v/>
      </c>
      <c r="J88" s="24"/>
      <c r="K88" s="20"/>
      <c r="L88" s="24"/>
      <c r="M88" s="32"/>
      <c r="N88" s="99" t="str">
        <f aca="false">IF(D88="","",IF(K88="อนุมัติ","✓ อนุมัติแล้ว พร้อมใช้",IF(K88="ไม่อนุมัติ","⚠ ไม่อนุมัติ – ต้องเสนอใหม่"&amp;IF(ISNUMBER(I88),IF(I88&gt;='ตั้งค่า Setup'!$C$15," (เหลือ "&amp;(I88-'ตั้งค่า Setup'!$C$15)&amp;" วัน)"," (เลยกำหนด "&amp;('ตั้งค่า Setup'!$C$15-I88)&amp;" วัน)"),""),IF(NOT(ISNUMBER(I88)),"ติดตาม",IF(I88&lt;'ตั้งค่า Setup'!$C$15,"⚠ เลยกำหนดอนุมัติ "&amp;('ตั้งค่า Setup'!$C$15-I88)&amp;" วัน – กระทบแผนงาน",IF(I88-'ตั้งค่า Setup'!$C$15&lt;=14,"⚠ ต้องอนุมัติภายใน "&amp;(I88-'ตั้งค่า Setup'!$C$15)&amp;" วัน","ติดตาม (เหลือ "&amp;(I88-'ตั้งค่า Setup'!$C$15)&amp;" วัน)"))))))</f>
        <v/>
      </c>
      <c r="O88" s="32"/>
    </row>
    <row r="89" customFormat="false" ht="15" hidden="false" customHeight="false" outlineLevel="0" collapsed="false">
      <c r="A89" s="61" t="str">
        <f aca="false">IF(D89="","",COUNTA(D$9:D89))</f>
        <v/>
      </c>
      <c r="B89" s="20"/>
      <c r="C89" s="32"/>
      <c r="D89" s="32"/>
      <c r="E89" s="32"/>
      <c r="F89" s="22"/>
      <c r="G89" s="65" t="str">
        <f aca="false">IF(F89="","",IFERROR(INDEX('แผนงาน Schedule'!$AA$7:$AA$156,MATCH(F89&amp;"",'แผนงาน Schedule'!$A$7:$A$156,0)),"ไม่พบ WBS"))</f>
        <v/>
      </c>
      <c r="H89" s="20"/>
      <c r="I89" s="65" t="str">
        <f aca="false">IF(OR(D89="",NOT(ISNUMBER(G89))),"",G89-N(H89))</f>
        <v/>
      </c>
      <c r="J89" s="24"/>
      <c r="K89" s="20"/>
      <c r="L89" s="24"/>
      <c r="M89" s="32"/>
      <c r="N89" s="99" t="str">
        <f aca="false">IF(D89="","",IF(K89="อนุมัติ","✓ อนุมัติแล้ว พร้อมใช้",IF(K89="ไม่อนุมัติ","⚠ ไม่อนุมัติ – ต้องเสนอใหม่"&amp;IF(ISNUMBER(I89),IF(I89&gt;='ตั้งค่า Setup'!$C$15," (เหลือ "&amp;(I89-'ตั้งค่า Setup'!$C$15)&amp;" วัน)"," (เลยกำหนด "&amp;('ตั้งค่า Setup'!$C$15-I89)&amp;" วัน)"),""),IF(NOT(ISNUMBER(I89)),"ติดตาม",IF(I89&lt;'ตั้งค่า Setup'!$C$15,"⚠ เลยกำหนดอนุมัติ "&amp;('ตั้งค่า Setup'!$C$15-I89)&amp;" วัน – กระทบแผนงาน",IF(I89-'ตั้งค่า Setup'!$C$15&lt;=14,"⚠ ต้องอนุมัติภายใน "&amp;(I89-'ตั้งค่า Setup'!$C$15)&amp;" วัน","ติดตาม (เหลือ "&amp;(I89-'ตั้งค่า Setup'!$C$15)&amp;" วัน)"))))))</f>
        <v/>
      </c>
      <c r="O89" s="32"/>
    </row>
    <row r="90" customFormat="false" ht="15" hidden="false" customHeight="false" outlineLevel="0" collapsed="false">
      <c r="A90" s="61" t="str">
        <f aca="false">IF(D90="","",COUNTA(D$9:D90))</f>
        <v/>
      </c>
      <c r="B90" s="20"/>
      <c r="C90" s="32"/>
      <c r="D90" s="32"/>
      <c r="E90" s="32"/>
      <c r="F90" s="22"/>
      <c r="G90" s="65" t="str">
        <f aca="false">IF(F90="","",IFERROR(INDEX('แผนงาน Schedule'!$AA$7:$AA$156,MATCH(F90&amp;"",'แผนงาน Schedule'!$A$7:$A$156,0)),"ไม่พบ WBS"))</f>
        <v/>
      </c>
      <c r="H90" s="20"/>
      <c r="I90" s="65" t="str">
        <f aca="false">IF(OR(D90="",NOT(ISNUMBER(G90))),"",G90-N(H90))</f>
        <v/>
      </c>
      <c r="J90" s="24"/>
      <c r="K90" s="20"/>
      <c r="L90" s="24"/>
      <c r="M90" s="32"/>
      <c r="N90" s="99" t="str">
        <f aca="false">IF(D90="","",IF(K90="อนุมัติ","✓ อนุมัติแล้ว พร้อมใช้",IF(K90="ไม่อนุมัติ","⚠ ไม่อนุมัติ – ต้องเสนอใหม่"&amp;IF(ISNUMBER(I90),IF(I90&gt;='ตั้งค่า Setup'!$C$15," (เหลือ "&amp;(I90-'ตั้งค่า Setup'!$C$15)&amp;" วัน)"," (เลยกำหนด "&amp;('ตั้งค่า Setup'!$C$15-I90)&amp;" วัน)"),""),IF(NOT(ISNUMBER(I90)),"ติดตาม",IF(I90&lt;'ตั้งค่า Setup'!$C$15,"⚠ เลยกำหนดอนุมัติ "&amp;('ตั้งค่า Setup'!$C$15-I90)&amp;" วัน – กระทบแผนงาน",IF(I90-'ตั้งค่า Setup'!$C$15&lt;=14,"⚠ ต้องอนุมัติภายใน "&amp;(I90-'ตั้งค่า Setup'!$C$15)&amp;" วัน","ติดตาม (เหลือ "&amp;(I90-'ตั้งค่า Setup'!$C$15)&amp;" วัน)"))))))</f>
        <v/>
      </c>
      <c r="O90" s="32"/>
    </row>
    <row r="91" customFormat="false" ht="15" hidden="false" customHeight="false" outlineLevel="0" collapsed="false">
      <c r="A91" s="61" t="str">
        <f aca="false">IF(D91="","",COUNTA(D$9:D91))</f>
        <v/>
      </c>
      <c r="B91" s="20"/>
      <c r="C91" s="32"/>
      <c r="D91" s="32"/>
      <c r="E91" s="32"/>
      <c r="F91" s="22"/>
      <c r="G91" s="65" t="str">
        <f aca="false">IF(F91="","",IFERROR(INDEX('แผนงาน Schedule'!$AA$7:$AA$156,MATCH(F91&amp;"",'แผนงาน Schedule'!$A$7:$A$156,0)),"ไม่พบ WBS"))</f>
        <v/>
      </c>
      <c r="H91" s="20"/>
      <c r="I91" s="65" t="str">
        <f aca="false">IF(OR(D91="",NOT(ISNUMBER(G91))),"",G91-N(H91))</f>
        <v/>
      </c>
      <c r="J91" s="24"/>
      <c r="K91" s="20"/>
      <c r="L91" s="24"/>
      <c r="M91" s="32"/>
      <c r="N91" s="99" t="str">
        <f aca="false">IF(D91="","",IF(K91="อนุมัติ","✓ อนุมัติแล้ว พร้อมใช้",IF(K91="ไม่อนุมัติ","⚠ ไม่อนุมัติ – ต้องเสนอใหม่"&amp;IF(ISNUMBER(I91),IF(I91&gt;='ตั้งค่า Setup'!$C$15," (เหลือ "&amp;(I91-'ตั้งค่า Setup'!$C$15)&amp;" วัน)"," (เลยกำหนด "&amp;('ตั้งค่า Setup'!$C$15-I91)&amp;" วัน)"),""),IF(NOT(ISNUMBER(I91)),"ติดตาม",IF(I91&lt;'ตั้งค่า Setup'!$C$15,"⚠ เลยกำหนดอนุมัติ "&amp;('ตั้งค่า Setup'!$C$15-I91)&amp;" วัน – กระทบแผนงาน",IF(I91-'ตั้งค่า Setup'!$C$15&lt;=14,"⚠ ต้องอนุมัติภายใน "&amp;(I91-'ตั้งค่า Setup'!$C$15)&amp;" วัน","ติดตาม (เหลือ "&amp;(I91-'ตั้งค่า Setup'!$C$15)&amp;" วัน)"))))))</f>
        <v/>
      </c>
      <c r="O91" s="32"/>
    </row>
    <row r="92" customFormat="false" ht="15" hidden="false" customHeight="false" outlineLevel="0" collapsed="false">
      <c r="A92" s="61" t="str">
        <f aca="false">IF(D92="","",COUNTA(D$9:D92))</f>
        <v/>
      </c>
      <c r="B92" s="20"/>
      <c r="C92" s="32"/>
      <c r="D92" s="32"/>
      <c r="E92" s="32"/>
      <c r="F92" s="22"/>
      <c r="G92" s="65" t="str">
        <f aca="false">IF(F92="","",IFERROR(INDEX('แผนงาน Schedule'!$AA$7:$AA$156,MATCH(F92&amp;"",'แผนงาน Schedule'!$A$7:$A$156,0)),"ไม่พบ WBS"))</f>
        <v/>
      </c>
      <c r="H92" s="20"/>
      <c r="I92" s="65" t="str">
        <f aca="false">IF(OR(D92="",NOT(ISNUMBER(G92))),"",G92-N(H92))</f>
        <v/>
      </c>
      <c r="J92" s="24"/>
      <c r="K92" s="20"/>
      <c r="L92" s="24"/>
      <c r="M92" s="32"/>
      <c r="N92" s="99" t="str">
        <f aca="false">IF(D92="","",IF(K92="อนุมัติ","✓ อนุมัติแล้ว พร้อมใช้",IF(K92="ไม่อนุมัติ","⚠ ไม่อนุมัติ – ต้องเสนอใหม่"&amp;IF(ISNUMBER(I92),IF(I92&gt;='ตั้งค่า Setup'!$C$15," (เหลือ "&amp;(I92-'ตั้งค่า Setup'!$C$15)&amp;" วัน)"," (เลยกำหนด "&amp;('ตั้งค่า Setup'!$C$15-I92)&amp;" วัน)"),""),IF(NOT(ISNUMBER(I92)),"ติดตาม",IF(I92&lt;'ตั้งค่า Setup'!$C$15,"⚠ เลยกำหนดอนุมัติ "&amp;('ตั้งค่า Setup'!$C$15-I92)&amp;" วัน – กระทบแผนงาน",IF(I92-'ตั้งค่า Setup'!$C$15&lt;=14,"⚠ ต้องอนุมัติภายใน "&amp;(I92-'ตั้งค่า Setup'!$C$15)&amp;" วัน","ติดตาม (เหลือ "&amp;(I92-'ตั้งค่า Setup'!$C$15)&amp;" วัน)"))))))</f>
        <v/>
      </c>
      <c r="O92" s="32"/>
    </row>
    <row r="93" customFormat="false" ht="15" hidden="false" customHeight="false" outlineLevel="0" collapsed="false">
      <c r="A93" s="61" t="str">
        <f aca="false">IF(D93="","",COUNTA(D$9:D93))</f>
        <v/>
      </c>
      <c r="B93" s="20"/>
      <c r="C93" s="32"/>
      <c r="D93" s="32"/>
      <c r="E93" s="32"/>
      <c r="F93" s="22"/>
      <c r="G93" s="65" t="str">
        <f aca="false">IF(F93="","",IFERROR(INDEX('แผนงาน Schedule'!$AA$7:$AA$156,MATCH(F93&amp;"",'แผนงาน Schedule'!$A$7:$A$156,0)),"ไม่พบ WBS"))</f>
        <v/>
      </c>
      <c r="H93" s="20"/>
      <c r="I93" s="65" t="str">
        <f aca="false">IF(OR(D93="",NOT(ISNUMBER(G93))),"",G93-N(H93))</f>
        <v/>
      </c>
      <c r="J93" s="24"/>
      <c r="K93" s="20"/>
      <c r="L93" s="24"/>
      <c r="M93" s="32"/>
      <c r="N93" s="99" t="str">
        <f aca="false">IF(D93="","",IF(K93="อนุมัติ","✓ อนุมัติแล้ว พร้อมใช้",IF(K93="ไม่อนุมัติ","⚠ ไม่อนุมัติ – ต้องเสนอใหม่"&amp;IF(ISNUMBER(I93),IF(I93&gt;='ตั้งค่า Setup'!$C$15," (เหลือ "&amp;(I93-'ตั้งค่า Setup'!$C$15)&amp;" วัน)"," (เลยกำหนด "&amp;('ตั้งค่า Setup'!$C$15-I93)&amp;" วัน)"),""),IF(NOT(ISNUMBER(I93)),"ติดตาม",IF(I93&lt;'ตั้งค่า Setup'!$C$15,"⚠ เลยกำหนดอนุมัติ "&amp;('ตั้งค่า Setup'!$C$15-I93)&amp;" วัน – กระทบแผนงาน",IF(I93-'ตั้งค่า Setup'!$C$15&lt;=14,"⚠ ต้องอนุมัติภายใน "&amp;(I93-'ตั้งค่า Setup'!$C$15)&amp;" วัน","ติดตาม (เหลือ "&amp;(I93-'ตั้งค่า Setup'!$C$15)&amp;" วัน)"))))))</f>
        <v/>
      </c>
      <c r="O93" s="32"/>
    </row>
    <row r="94" customFormat="false" ht="15" hidden="false" customHeight="false" outlineLevel="0" collapsed="false">
      <c r="A94" s="61" t="str">
        <f aca="false">IF(D94="","",COUNTA(D$9:D94))</f>
        <v/>
      </c>
      <c r="B94" s="20"/>
      <c r="C94" s="32"/>
      <c r="D94" s="32"/>
      <c r="E94" s="32"/>
      <c r="F94" s="22"/>
      <c r="G94" s="65" t="str">
        <f aca="false">IF(F94="","",IFERROR(INDEX('แผนงาน Schedule'!$AA$7:$AA$156,MATCH(F94&amp;"",'แผนงาน Schedule'!$A$7:$A$156,0)),"ไม่พบ WBS"))</f>
        <v/>
      </c>
      <c r="H94" s="20"/>
      <c r="I94" s="65" t="str">
        <f aca="false">IF(OR(D94="",NOT(ISNUMBER(G94))),"",G94-N(H94))</f>
        <v/>
      </c>
      <c r="J94" s="24"/>
      <c r="K94" s="20"/>
      <c r="L94" s="24"/>
      <c r="M94" s="32"/>
      <c r="N94" s="99" t="str">
        <f aca="false">IF(D94="","",IF(K94="อนุมัติ","✓ อนุมัติแล้ว พร้อมใช้",IF(K94="ไม่อนุมัติ","⚠ ไม่อนุมัติ – ต้องเสนอใหม่"&amp;IF(ISNUMBER(I94),IF(I94&gt;='ตั้งค่า Setup'!$C$15," (เหลือ "&amp;(I94-'ตั้งค่า Setup'!$C$15)&amp;" วัน)"," (เลยกำหนด "&amp;('ตั้งค่า Setup'!$C$15-I94)&amp;" วัน)"),""),IF(NOT(ISNUMBER(I94)),"ติดตาม",IF(I94&lt;'ตั้งค่า Setup'!$C$15,"⚠ เลยกำหนดอนุมัติ "&amp;('ตั้งค่า Setup'!$C$15-I94)&amp;" วัน – กระทบแผนงาน",IF(I94-'ตั้งค่า Setup'!$C$15&lt;=14,"⚠ ต้องอนุมัติภายใน "&amp;(I94-'ตั้งค่า Setup'!$C$15)&amp;" วัน","ติดตาม (เหลือ "&amp;(I94-'ตั้งค่า Setup'!$C$15)&amp;" วัน)"))))))</f>
        <v/>
      </c>
      <c r="O94" s="32"/>
    </row>
    <row r="95" customFormat="false" ht="15" hidden="false" customHeight="false" outlineLevel="0" collapsed="false">
      <c r="A95" s="61" t="str">
        <f aca="false">IF(D95="","",COUNTA(D$9:D95))</f>
        <v/>
      </c>
      <c r="B95" s="20"/>
      <c r="C95" s="32"/>
      <c r="D95" s="32"/>
      <c r="E95" s="32"/>
      <c r="F95" s="22"/>
      <c r="G95" s="65" t="str">
        <f aca="false">IF(F95="","",IFERROR(INDEX('แผนงาน Schedule'!$AA$7:$AA$156,MATCH(F95&amp;"",'แผนงาน Schedule'!$A$7:$A$156,0)),"ไม่พบ WBS"))</f>
        <v/>
      </c>
      <c r="H95" s="20"/>
      <c r="I95" s="65" t="str">
        <f aca="false">IF(OR(D95="",NOT(ISNUMBER(G95))),"",G95-N(H95))</f>
        <v/>
      </c>
      <c r="J95" s="24"/>
      <c r="K95" s="20"/>
      <c r="L95" s="24"/>
      <c r="M95" s="32"/>
      <c r="N95" s="99" t="str">
        <f aca="false">IF(D95="","",IF(K95="อนุมัติ","✓ อนุมัติแล้ว พร้อมใช้",IF(K95="ไม่อนุมัติ","⚠ ไม่อนุมัติ – ต้องเสนอใหม่"&amp;IF(ISNUMBER(I95),IF(I95&gt;='ตั้งค่า Setup'!$C$15," (เหลือ "&amp;(I95-'ตั้งค่า Setup'!$C$15)&amp;" วัน)"," (เลยกำหนด "&amp;('ตั้งค่า Setup'!$C$15-I95)&amp;" วัน)"),""),IF(NOT(ISNUMBER(I95)),"ติดตาม",IF(I95&lt;'ตั้งค่า Setup'!$C$15,"⚠ เลยกำหนดอนุมัติ "&amp;('ตั้งค่า Setup'!$C$15-I95)&amp;" วัน – กระทบแผนงาน",IF(I95-'ตั้งค่า Setup'!$C$15&lt;=14,"⚠ ต้องอนุมัติภายใน "&amp;(I95-'ตั้งค่า Setup'!$C$15)&amp;" วัน","ติดตาม (เหลือ "&amp;(I95-'ตั้งค่า Setup'!$C$15)&amp;" วัน)"))))))</f>
        <v/>
      </c>
      <c r="O95" s="32"/>
    </row>
    <row r="96" customFormat="false" ht="15" hidden="false" customHeight="false" outlineLevel="0" collapsed="false">
      <c r="A96" s="61" t="str">
        <f aca="false">IF(D96="","",COUNTA(D$9:D96))</f>
        <v/>
      </c>
      <c r="B96" s="20"/>
      <c r="C96" s="32"/>
      <c r="D96" s="32"/>
      <c r="E96" s="32"/>
      <c r="F96" s="22"/>
      <c r="G96" s="65" t="str">
        <f aca="false">IF(F96="","",IFERROR(INDEX('แผนงาน Schedule'!$AA$7:$AA$156,MATCH(F96&amp;"",'แผนงาน Schedule'!$A$7:$A$156,0)),"ไม่พบ WBS"))</f>
        <v/>
      </c>
      <c r="H96" s="20"/>
      <c r="I96" s="65" t="str">
        <f aca="false">IF(OR(D96="",NOT(ISNUMBER(G96))),"",G96-N(H96))</f>
        <v/>
      </c>
      <c r="J96" s="24"/>
      <c r="K96" s="20"/>
      <c r="L96" s="24"/>
      <c r="M96" s="32"/>
      <c r="N96" s="99" t="str">
        <f aca="false">IF(D96="","",IF(K96="อนุมัติ","✓ อนุมัติแล้ว พร้อมใช้",IF(K96="ไม่อนุมัติ","⚠ ไม่อนุมัติ – ต้องเสนอใหม่"&amp;IF(ISNUMBER(I96),IF(I96&gt;='ตั้งค่า Setup'!$C$15," (เหลือ "&amp;(I96-'ตั้งค่า Setup'!$C$15)&amp;" วัน)"," (เลยกำหนด "&amp;('ตั้งค่า Setup'!$C$15-I96)&amp;" วัน)"),""),IF(NOT(ISNUMBER(I96)),"ติดตาม",IF(I96&lt;'ตั้งค่า Setup'!$C$15,"⚠ เลยกำหนดอนุมัติ "&amp;('ตั้งค่า Setup'!$C$15-I96)&amp;" วัน – กระทบแผนงาน",IF(I96-'ตั้งค่า Setup'!$C$15&lt;=14,"⚠ ต้องอนุมัติภายใน "&amp;(I96-'ตั้งค่า Setup'!$C$15)&amp;" วัน","ติดตาม (เหลือ "&amp;(I96-'ตั้งค่า Setup'!$C$15)&amp;" วัน)"))))))</f>
        <v/>
      </c>
      <c r="O96" s="32"/>
    </row>
    <row r="97" customFormat="false" ht="15" hidden="false" customHeight="false" outlineLevel="0" collapsed="false">
      <c r="A97" s="61" t="str">
        <f aca="false">IF(D97="","",COUNTA(D$9:D97))</f>
        <v/>
      </c>
      <c r="B97" s="20"/>
      <c r="C97" s="32"/>
      <c r="D97" s="32"/>
      <c r="E97" s="32"/>
      <c r="F97" s="22"/>
      <c r="G97" s="65" t="str">
        <f aca="false">IF(F97="","",IFERROR(INDEX('แผนงาน Schedule'!$AA$7:$AA$156,MATCH(F97&amp;"",'แผนงาน Schedule'!$A$7:$A$156,0)),"ไม่พบ WBS"))</f>
        <v/>
      </c>
      <c r="H97" s="20"/>
      <c r="I97" s="65" t="str">
        <f aca="false">IF(OR(D97="",NOT(ISNUMBER(G97))),"",G97-N(H97))</f>
        <v/>
      </c>
      <c r="J97" s="24"/>
      <c r="K97" s="20"/>
      <c r="L97" s="24"/>
      <c r="M97" s="32"/>
      <c r="N97" s="99" t="str">
        <f aca="false">IF(D97="","",IF(K97="อนุมัติ","✓ อนุมัติแล้ว พร้อมใช้",IF(K97="ไม่อนุมัติ","⚠ ไม่อนุมัติ – ต้องเสนอใหม่"&amp;IF(ISNUMBER(I97),IF(I97&gt;='ตั้งค่า Setup'!$C$15," (เหลือ "&amp;(I97-'ตั้งค่า Setup'!$C$15)&amp;" วัน)"," (เลยกำหนด "&amp;('ตั้งค่า Setup'!$C$15-I97)&amp;" วัน)"),""),IF(NOT(ISNUMBER(I97)),"ติดตาม",IF(I97&lt;'ตั้งค่า Setup'!$C$15,"⚠ เลยกำหนดอนุมัติ "&amp;('ตั้งค่า Setup'!$C$15-I97)&amp;" วัน – กระทบแผนงาน",IF(I97-'ตั้งค่า Setup'!$C$15&lt;=14,"⚠ ต้องอนุมัติภายใน "&amp;(I97-'ตั้งค่า Setup'!$C$15)&amp;" วัน","ติดตาม (เหลือ "&amp;(I97-'ตั้งค่า Setup'!$C$15)&amp;" วัน)"))))))</f>
        <v/>
      </c>
      <c r="O97" s="32"/>
    </row>
    <row r="98" customFormat="false" ht="15" hidden="false" customHeight="false" outlineLevel="0" collapsed="false">
      <c r="A98" s="61" t="str">
        <f aca="false">IF(D98="","",COUNTA(D$9:D98))</f>
        <v/>
      </c>
      <c r="B98" s="20"/>
      <c r="C98" s="32"/>
      <c r="D98" s="32"/>
      <c r="E98" s="32"/>
      <c r="F98" s="22"/>
      <c r="G98" s="65" t="str">
        <f aca="false">IF(F98="","",IFERROR(INDEX('แผนงาน Schedule'!$AA$7:$AA$156,MATCH(F98&amp;"",'แผนงาน Schedule'!$A$7:$A$156,0)),"ไม่พบ WBS"))</f>
        <v/>
      </c>
      <c r="H98" s="20"/>
      <c r="I98" s="65" t="str">
        <f aca="false">IF(OR(D98="",NOT(ISNUMBER(G98))),"",G98-N(H98))</f>
        <v/>
      </c>
      <c r="J98" s="24"/>
      <c r="K98" s="20"/>
      <c r="L98" s="24"/>
      <c r="M98" s="32"/>
      <c r="N98" s="99" t="str">
        <f aca="false">IF(D98="","",IF(K98="อนุมัติ","✓ อนุมัติแล้ว พร้อมใช้",IF(K98="ไม่อนุมัติ","⚠ ไม่อนุมัติ – ต้องเสนอใหม่"&amp;IF(ISNUMBER(I98),IF(I98&gt;='ตั้งค่า Setup'!$C$15," (เหลือ "&amp;(I98-'ตั้งค่า Setup'!$C$15)&amp;" วัน)"," (เลยกำหนด "&amp;('ตั้งค่า Setup'!$C$15-I98)&amp;" วัน)"),""),IF(NOT(ISNUMBER(I98)),"ติดตาม",IF(I98&lt;'ตั้งค่า Setup'!$C$15,"⚠ เลยกำหนดอนุมัติ "&amp;('ตั้งค่า Setup'!$C$15-I98)&amp;" วัน – กระทบแผนงาน",IF(I98-'ตั้งค่า Setup'!$C$15&lt;=14,"⚠ ต้องอนุมัติภายใน "&amp;(I98-'ตั้งค่า Setup'!$C$15)&amp;" วัน","ติดตาม (เหลือ "&amp;(I98-'ตั้งค่า Setup'!$C$15)&amp;" วัน)"))))))</f>
        <v/>
      </c>
      <c r="O98" s="32"/>
    </row>
    <row r="99" customFormat="false" ht="15" hidden="false" customHeight="false" outlineLevel="0" collapsed="false">
      <c r="A99" s="61" t="str">
        <f aca="false">IF(D99="","",COUNTA(D$9:D99))</f>
        <v/>
      </c>
      <c r="B99" s="20"/>
      <c r="C99" s="32"/>
      <c r="D99" s="32"/>
      <c r="E99" s="32"/>
      <c r="F99" s="22"/>
      <c r="G99" s="65" t="str">
        <f aca="false">IF(F99="","",IFERROR(INDEX('แผนงาน Schedule'!$AA$7:$AA$156,MATCH(F99&amp;"",'แผนงาน Schedule'!$A$7:$A$156,0)),"ไม่พบ WBS"))</f>
        <v/>
      </c>
      <c r="H99" s="20"/>
      <c r="I99" s="65" t="str">
        <f aca="false">IF(OR(D99="",NOT(ISNUMBER(G99))),"",G99-N(H99))</f>
        <v/>
      </c>
      <c r="J99" s="24"/>
      <c r="K99" s="20"/>
      <c r="L99" s="24"/>
      <c r="M99" s="32"/>
      <c r="N99" s="99" t="str">
        <f aca="false">IF(D99="","",IF(K99="อนุมัติ","✓ อนุมัติแล้ว พร้อมใช้",IF(K99="ไม่อนุมัติ","⚠ ไม่อนุมัติ – ต้องเสนอใหม่"&amp;IF(ISNUMBER(I99),IF(I99&gt;='ตั้งค่า Setup'!$C$15," (เหลือ "&amp;(I99-'ตั้งค่า Setup'!$C$15)&amp;" วัน)"," (เลยกำหนด "&amp;('ตั้งค่า Setup'!$C$15-I99)&amp;" วัน)"),""),IF(NOT(ISNUMBER(I99)),"ติดตาม",IF(I99&lt;'ตั้งค่า Setup'!$C$15,"⚠ เลยกำหนดอนุมัติ "&amp;('ตั้งค่า Setup'!$C$15-I99)&amp;" วัน – กระทบแผนงาน",IF(I99-'ตั้งค่า Setup'!$C$15&lt;=14,"⚠ ต้องอนุมัติภายใน "&amp;(I99-'ตั้งค่า Setup'!$C$15)&amp;" วัน","ติดตาม (เหลือ "&amp;(I99-'ตั้งค่า Setup'!$C$15)&amp;" วัน)"))))))</f>
        <v/>
      </c>
      <c r="O99" s="32"/>
    </row>
    <row r="100" customFormat="false" ht="15" hidden="false" customHeight="false" outlineLevel="0" collapsed="false">
      <c r="A100" s="61" t="str">
        <f aca="false">IF(D100="","",COUNTA(D$9:D100))</f>
        <v/>
      </c>
      <c r="B100" s="20"/>
      <c r="C100" s="32"/>
      <c r="D100" s="32"/>
      <c r="E100" s="32"/>
      <c r="F100" s="22"/>
      <c r="G100" s="65" t="str">
        <f aca="false">IF(F100="","",IFERROR(INDEX('แผนงาน Schedule'!$AA$7:$AA$156,MATCH(F100&amp;"",'แผนงาน Schedule'!$A$7:$A$156,0)),"ไม่พบ WBS"))</f>
        <v/>
      </c>
      <c r="H100" s="20"/>
      <c r="I100" s="65" t="str">
        <f aca="false">IF(OR(D100="",NOT(ISNUMBER(G100))),"",G100-N(H100))</f>
        <v/>
      </c>
      <c r="J100" s="24"/>
      <c r="K100" s="20"/>
      <c r="L100" s="24"/>
      <c r="M100" s="32"/>
      <c r="N100" s="99" t="str">
        <f aca="false">IF(D100="","",IF(K100="อนุมัติ","✓ อนุมัติแล้ว พร้อมใช้",IF(K100="ไม่อนุมัติ","⚠ ไม่อนุมัติ – ต้องเสนอใหม่"&amp;IF(ISNUMBER(I100),IF(I100&gt;='ตั้งค่า Setup'!$C$15," (เหลือ "&amp;(I100-'ตั้งค่า Setup'!$C$15)&amp;" วัน)"," (เลยกำหนด "&amp;('ตั้งค่า Setup'!$C$15-I100)&amp;" วัน)"),""),IF(NOT(ISNUMBER(I100)),"ติดตาม",IF(I100&lt;'ตั้งค่า Setup'!$C$15,"⚠ เลยกำหนดอนุมัติ "&amp;('ตั้งค่า Setup'!$C$15-I100)&amp;" วัน – กระทบแผนงาน",IF(I100-'ตั้งค่า Setup'!$C$15&lt;=14,"⚠ ต้องอนุมัติภายใน "&amp;(I100-'ตั้งค่า Setup'!$C$15)&amp;" วัน","ติดตาม (เหลือ "&amp;(I100-'ตั้งค่า Setup'!$C$15)&amp;" วัน)"))))))</f>
        <v/>
      </c>
      <c r="O100" s="32"/>
    </row>
    <row r="101" customFormat="false" ht="15" hidden="false" customHeight="false" outlineLevel="0" collapsed="false">
      <c r="A101" s="61" t="str">
        <f aca="false">IF(D101="","",COUNTA(D$9:D101))</f>
        <v/>
      </c>
      <c r="B101" s="20"/>
      <c r="C101" s="32"/>
      <c r="D101" s="32"/>
      <c r="E101" s="32"/>
      <c r="F101" s="22"/>
      <c r="G101" s="65" t="str">
        <f aca="false">IF(F101="","",IFERROR(INDEX('แผนงาน Schedule'!$AA$7:$AA$156,MATCH(F101&amp;"",'แผนงาน Schedule'!$A$7:$A$156,0)),"ไม่พบ WBS"))</f>
        <v/>
      </c>
      <c r="H101" s="20"/>
      <c r="I101" s="65" t="str">
        <f aca="false">IF(OR(D101="",NOT(ISNUMBER(G101))),"",G101-N(H101))</f>
        <v/>
      </c>
      <c r="J101" s="24"/>
      <c r="K101" s="20"/>
      <c r="L101" s="24"/>
      <c r="M101" s="32"/>
      <c r="N101" s="99" t="str">
        <f aca="false">IF(D101="","",IF(K101="อนุมัติ","✓ อนุมัติแล้ว พร้อมใช้",IF(K101="ไม่อนุมัติ","⚠ ไม่อนุมัติ – ต้องเสนอใหม่"&amp;IF(ISNUMBER(I101),IF(I101&gt;='ตั้งค่า Setup'!$C$15," (เหลือ "&amp;(I101-'ตั้งค่า Setup'!$C$15)&amp;" วัน)"," (เลยกำหนด "&amp;('ตั้งค่า Setup'!$C$15-I101)&amp;" วัน)"),""),IF(NOT(ISNUMBER(I101)),"ติดตาม",IF(I101&lt;'ตั้งค่า Setup'!$C$15,"⚠ เลยกำหนดอนุมัติ "&amp;('ตั้งค่า Setup'!$C$15-I101)&amp;" วัน – กระทบแผนงาน",IF(I101-'ตั้งค่า Setup'!$C$15&lt;=14,"⚠ ต้องอนุมัติภายใน "&amp;(I101-'ตั้งค่า Setup'!$C$15)&amp;" วัน","ติดตาม (เหลือ "&amp;(I101-'ตั้งค่า Setup'!$C$15)&amp;" วัน)"))))))</f>
        <v/>
      </c>
      <c r="O101" s="32"/>
    </row>
    <row r="102" customFormat="false" ht="15" hidden="false" customHeight="false" outlineLevel="0" collapsed="false">
      <c r="A102" s="61" t="str">
        <f aca="false">IF(D102="","",COUNTA(D$9:D102))</f>
        <v/>
      </c>
      <c r="B102" s="20"/>
      <c r="C102" s="32"/>
      <c r="D102" s="32"/>
      <c r="E102" s="32"/>
      <c r="F102" s="22"/>
      <c r="G102" s="65" t="str">
        <f aca="false">IF(F102="","",IFERROR(INDEX('แผนงาน Schedule'!$AA$7:$AA$156,MATCH(F102&amp;"",'แผนงาน Schedule'!$A$7:$A$156,0)),"ไม่พบ WBS"))</f>
        <v/>
      </c>
      <c r="H102" s="20"/>
      <c r="I102" s="65" t="str">
        <f aca="false">IF(OR(D102="",NOT(ISNUMBER(G102))),"",G102-N(H102))</f>
        <v/>
      </c>
      <c r="J102" s="24"/>
      <c r="K102" s="20"/>
      <c r="L102" s="24"/>
      <c r="M102" s="32"/>
      <c r="N102" s="99" t="str">
        <f aca="false">IF(D102="","",IF(K102="อนุมัติ","✓ อนุมัติแล้ว พร้อมใช้",IF(K102="ไม่อนุมัติ","⚠ ไม่อนุมัติ – ต้องเสนอใหม่"&amp;IF(ISNUMBER(I102),IF(I102&gt;='ตั้งค่า Setup'!$C$15," (เหลือ "&amp;(I102-'ตั้งค่า Setup'!$C$15)&amp;" วัน)"," (เลยกำหนด "&amp;('ตั้งค่า Setup'!$C$15-I102)&amp;" วัน)"),""),IF(NOT(ISNUMBER(I102)),"ติดตาม",IF(I102&lt;'ตั้งค่า Setup'!$C$15,"⚠ เลยกำหนดอนุมัติ "&amp;('ตั้งค่า Setup'!$C$15-I102)&amp;" วัน – กระทบแผนงาน",IF(I102-'ตั้งค่า Setup'!$C$15&lt;=14,"⚠ ต้องอนุมัติภายใน "&amp;(I102-'ตั้งค่า Setup'!$C$15)&amp;" วัน","ติดตาม (เหลือ "&amp;(I102-'ตั้งค่า Setup'!$C$15)&amp;" วัน)"))))))</f>
        <v/>
      </c>
      <c r="O102" s="32"/>
    </row>
    <row r="103" customFormat="false" ht="15" hidden="false" customHeight="false" outlineLevel="0" collapsed="false">
      <c r="A103" s="61" t="str">
        <f aca="false">IF(D103="","",COUNTA(D$9:D103))</f>
        <v/>
      </c>
      <c r="B103" s="20"/>
      <c r="C103" s="32"/>
      <c r="D103" s="32"/>
      <c r="E103" s="32"/>
      <c r="F103" s="22"/>
      <c r="G103" s="65" t="str">
        <f aca="false">IF(F103="","",IFERROR(INDEX('แผนงาน Schedule'!$AA$7:$AA$156,MATCH(F103&amp;"",'แผนงาน Schedule'!$A$7:$A$156,0)),"ไม่พบ WBS"))</f>
        <v/>
      </c>
      <c r="H103" s="20"/>
      <c r="I103" s="65" t="str">
        <f aca="false">IF(OR(D103="",NOT(ISNUMBER(G103))),"",G103-N(H103))</f>
        <v/>
      </c>
      <c r="J103" s="24"/>
      <c r="K103" s="20"/>
      <c r="L103" s="24"/>
      <c r="M103" s="32"/>
      <c r="N103" s="99" t="str">
        <f aca="false">IF(D103="","",IF(K103="อนุมัติ","✓ อนุมัติแล้ว พร้อมใช้",IF(K103="ไม่อนุมัติ","⚠ ไม่อนุมัติ – ต้องเสนอใหม่"&amp;IF(ISNUMBER(I103),IF(I103&gt;='ตั้งค่า Setup'!$C$15," (เหลือ "&amp;(I103-'ตั้งค่า Setup'!$C$15)&amp;" วัน)"," (เลยกำหนด "&amp;('ตั้งค่า Setup'!$C$15-I103)&amp;" วัน)"),""),IF(NOT(ISNUMBER(I103)),"ติดตาม",IF(I103&lt;'ตั้งค่า Setup'!$C$15,"⚠ เลยกำหนดอนุมัติ "&amp;('ตั้งค่า Setup'!$C$15-I103)&amp;" วัน – กระทบแผนงาน",IF(I103-'ตั้งค่า Setup'!$C$15&lt;=14,"⚠ ต้องอนุมัติภายใน "&amp;(I103-'ตั้งค่า Setup'!$C$15)&amp;" วัน","ติดตาม (เหลือ "&amp;(I103-'ตั้งค่า Setup'!$C$15)&amp;" วัน)"))))))</f>
        <v/>
      </c>
      <c r="O103" s="32"/>
    </row>
    <row r="104" customFormat="false" ht="15" hidden="false" customHeight="false" outlineLevel="0" collapsed="false">
      <c r="A104" s="61" t="str">
        <f aca="false">IF(D104="","",COUNTA(D$9:D104))</f>
        <v/>
      </c>
      <c r="B104" s="20"/>
      <c r="C104" s="32"/>
      <c r="D104" s="32"/>
      <c r="E104" s="32"/>
      <c r="F104" s="22"/>
      <c r="G104" s="65" t="str">
        <f aca="false">IF(F104="","",IFERROR(INDEX('แผนงาน Schedule'!$AA$7:$AA$156,MATCH(F104&amp;"",'แผนงาน Schedule'!$A$7:$A$156,0)),"ไม่พบ WBS"))</f>
        <v/>
      </c>
      <c r="H104" s="20"/>
      <c r="I104" s="65" t="str">
        <f aca="false">IF(OR(D104="",NOT(ISNUMBER(G104))),"",G104-N(H104))</f>
        <v/>
      </c>
      <c r="J104" s="24"/>
      <c r="K104" s="20"/>
      <c r="L104" s="24"/>
      <c r="M104" s="32"/>
      <c r="N104" s="99" t="str">
        <f aca="false">IF(D104="","",IF(K104="อนุมัติ","✓ อนุมัติแล้ว พร้อมใช้",IF(K104="ไม่อนุมัติ","⚠ ไม่อนุมัติ – ต้องเสนอใหม่"&amp;IF(ISNUMBER(I104),IF(I104&gt;='ตั้งค่า Setup'!$C$15," (เหลือ "&amp;(I104-'ตั้งค่า Setup'!$C$15)&amp;" วัน)"," (เลยกำหนด "&amp;('ตั้งค่า Setup'!$C$15-I104)&amp;" วัน)"),""),IF(NOT(ISNUMBER(I104)),"ติดตาม",IF(I104&lt;'ตั้งค่า Setup'!$C$15,"⚠ เลยกำหนดอนุมัติ "&amp;('ตั้งค่า Setup'!$C$15-I104)&amp;" วัน – กระทบแผนงาน",IF(I104-'ตั้งค่า Setup'!$C$15&lt;=14,"⚠ ต้องอนุมัติภายใน "&amp;(I104-'ตั้งค่า Setup'!$C$15)&amp;" วัน","ติดตาม (เหลือ "&amp;(I104-'ตั้งค่า Setup'!$C$15)&amp;" วัน)"))))))</f>
        <v/>
      </c>
      <c r="O104" s="32"/>
    </row>
    <row r="105" customFormat="false" ht="15" hidden="false" customHeight="false" outlineLevel="0" collapsed="false">
      <c r="A105" s="61" t="str">
        <f aca="false">IF(D105="","",COUNTA(D$9:D105))</f>
        <v/>
      </c>
      <c r="B105" s="20"/>
      <c r="C105" s="32"/>
      <c r="D105" s="32"/>
      <c r="E105" s="32"/>
      <c r="F105" s="22"/>
      <c r="G105" s="65" t="str">
        <f aca="false">IF(F105="","",IFERROR(INDEX('แผนงาน Schedule'!$AA$7:$AA$156,MATCH(F105&amp;"",'แผนงาน Schedule'!$A$7:$A$156,0)),"ไม่พบ WBS"))</f>
        <v/>
      </c>
      <c r="H105" s="20"/>
      <c r="I105" s="65" t="str">
        <f aca="false">IF(OR(D105="",NOT(ISNUMBER(G105))),"",G105-N(H105))</f>
        <v/>
      </c>
      <c r="J105" s="24"/>
      <c r="K105" s="20"/>
      <c r="L105" s="24"/>
      <c r="M105" s="32"/>
      <c r="N105" s="99" t="str">
        <f aca="false">IF(D105="","",IF(K105="อนุมัติ","✓ อนุมัติแล้ว พร้อมใช้",IF(K105="ไม่อนุมัติ","⚠ ไม่อนุมัติ – ต้องเสนอใหม่"&amp;IF(ISNUMBER(I105),IF(I105&gt;='ตั้งค่า Setup'!$C$15," (เหลือ "&amp;(I105-'ตั้งค่า Setup'!$C$15)&amp;" วัน)"," (เลยกำหนด "&amp;('ตั้งค่า Setup'!$C$15-I105)&amp;" วัน)"),""),IF(NOT(ISNUMBER(I105)),"ติดตาม",IF(I105&lt;'ตั้งค่า Setup'!$C$15,"⚠ เลยกำหนดอนุมัติ "&amp;('ตั้งค่า Setup'!$C$15-I105)&amp;" วัน – กระทบแผนงาน",IF(I105-'ตั้งค่า Setup'!$C$15&lt;=14,"⚠ ต้องอนุมัติภายใน "&amp;(I105-'ตั้งค่า Setup'!$C$15)&amp;" วัน","ติดตาม (เหลือ "&amp;(I105-'ตั้งค่า Setup'!$C$15)&amp;" วัน)"))))))</f>
        <v/>
      </c>
      <c r="O105" s="32"/>
    </row>
    <row r="106" customFormat="false" ht="15" hidden="false" customHeight="false" outlineLevel="0" collapsed="false">
      <c r="A106" s="61" t="str">
        <f aca="false">IF(D106="","",COUNTA(D$9:D106))</f>
        <v/>
      </c>
      <c r="B106" s="20"/>
      <c r="C106" s="32"/>
      <c r="D106" s="32"/>
      <c r="E106" s="32"/>
      <c r="F106" s="22"/>
      <c r="G106" s="65" t="str">
        <f aca="false">IF(F106="","",IFERROR(INDEX('แผนงาน Schedule'!$AA$7:$AA$156,MATCH(F106&amp;"",'แผนงาน Schedule'!$A$7:$A$156,0)),"ไม่พบ WBS"))</f>
        <v/>
      </c>
      <c r="H106" s="20"/>
      <c r="I106" s="65" t="str">
        <f aca="false">IF(OR(D106="",NOT(ISNUMBER(G106))),"",G106-N(H106))</f>
        <v/>
      </c>
      <c r="J106" s="24"/>
      <c r="K106" s="20"/>
      <c r="L106" s="24"/>
      <c r="M106" s="32"/>
      <c r="N106" s="99" t="str">
        <f aca="false">IF(D106="","",IF(K106="อนุมัติ","✓ อนุมัติแล้ว พร้อมใช้",IF(K106="ไม่อนุมัติ","⚠ ไม่อนุมัติ – ต้องเสนอใหม่"&amp;IF(ISNUMBER(I106),IF(I106&gt;='ตั้งค่า Setup'!$C$15," (เหลือ "&amp;(I106-'ตั้งค่า Setup'!$C$15)&amp;" วัน)"," (เลยกำหนด "&amp;('ตั้งค่า Setup'!$C$15-I106)&amp;" วัน)"),""),IF(NOT(ISNUMBER(I106)),"ติดตาม",IF(I106&lt;'ตั้งค่า Setup'!$C$15,"⚠ เลยกำหนดอนุมัติ "&amp;('ตั้งค่า Setup'!$C$15-I106)&amp;" วัน – กระทบแผนงาน",IF(I106-'ตั้งค่า Setup'!$C$15&lt;=14,"⚠ ต้องอนุมัติภายใน "&amp;(I106-'ตั้งค่า Setup'!$C$15)&amp;" วัน","ติดตาม (เหลือ "&amp;(I106-'ตั้งค่า Setup'!$C$15)&amp;" วัน)"))))))</f>
        <v/>
      </c>
      <c r="O106" s="32"/>
    </row>
    <row r="107" customFormat="false" ht="15" hidden="false" customHeight="false" outlineLevel="0" collapsed="false">
      <c r="A107" s="61" t="str">
        <f aca="false">IF(D107="","",COUNTA(D$9:D107))</f>
        <v/>
      </c>
      <c r="B107" s="20"/>
      <c r="C107" s="32"/>
      <c r="D107" s="32"/>
      <c r="E107" s="32"/>
      <c r="F107" s="22"/>
      <c r="G107" s="65" t="str">
        <f aca="false">IF(F107="","",IFERROR(INDEX('แผนงาน Schedule'!$AA$7:$AA$156,MATCH(F107&amp;"",'แผนงาน Schedule'!$A$7:$A$156,0)),"ไม่พบ WBS"))</f>
        <v/>
      </c>
      <c r="H107" s="20"/>
      <c r="I107" s="65" t="str">
        <f aca="false">IF(OR(D107="",NOT(ISNUMBER(G107))),"",G107-N(H107))</f>
        <v/>
      </c>
      <c r="J107" s="24"/>
      <c r="K107" s="20"/>
      <c r="L107" s="24"/>
      <c r="M107" s="32"/>
      <c r="N107" s="99" t="str">
        <f aca="false">IF(D107="","",IF(K107="อนุมัติ","✓ อนุมัติแล้ว พร้อมใช้",IF(K107="ไม่อนุมัติ","⚠ ไม่อนุมัติ – ต้องเสนอใหม่"&amp;IF(ISNUMBER(I107),IF(I107&gt;='ตั้งค่า Setup'!$C$15," (เหลือ "&amp;(I107-'ตั้งค่า Setup'!$C$15)&amp;" วัน)"," (เลยกำหนด "&amp;('ตั้งค่า Setup'!$C$15-I107)&amp;" วัน)"),""),IF(NOT(ISNUMBER(I107)),"ติดตาม",IF(I107&lt;'ตั้งค่า Setup'!$C$15,"⚠ เลยกำหนดอนุมัติ "&amp;('ตั้งค่า Setup'!$C$15-I107)&amp;" วัน – กระทบแผนงาน",IF(I107-'ตั้งค่า Setup'!$C$15&lt;=14,"⚠ ต้องอนุมัติภายใน "&amp;(I107-'ตั้งค่า Setup'!$C$15)&amp;" วัน","ติดตาม (เหลือ "&amp;(I107-'ตั้งค่า Setup'!$C$15)&amp;" วัน)"))))))</f>
        <v/>
      </c>
      <c r="O107" s="32"/>
    </row>
    <row r="108" customFormat="false" ht="15" hidden="false" customHeight="false" outlineLevel="0" collapsed="false">
      <c r="A108" s="61" t="str">
        <f aca="false">IF(D108="","",COUNTA(D$9:D108))</f>
        <v/>
      </c>
      <c r="B108" s="20"/>
      <c r="C108" s="32"/>
      <c r="D108" s="32"/>
      <c r="E108" s="32"/>
      <c r="F108" s="22"/>
      <c r="G108" s="65" t="str">
        <f aca="false">IF(F108="","",IFERROR(INDEX('แผนงาน Schedule'!$AA$7:$AA$156,MATCH(F108&amp;"",'แผนงาน Schedule'!$A$7:$A$156,0)),"ไม่พบ WBS"))</f>
        <v/>
      </c>
      <c r="H108" s="20"/>
      <c r="I108" s="65" t="str">
        <f aca="false">IF(OR(D108="",NOT(ISNUMBER(G108))),"",G108-N(H108))</f>
        <v/>
      </c>
      <c r="J108" s="24"/>
      <c r="K108" s="20"/>
      <c r="L108" s="24"/>
      <c r="M108" s="32"/>
      <c r="N108" s="99" t="str">
        <f aca="false">IF(D108="","",IF(K108="อนุมัติ","✓ อนุมัติแล้ว พร้อมใช้",IF(K108="ไม่อนุมัติ","⚠ ไม่อนุมัติ – ต้องเสนอใหม่"&amp;IF(ISNUMBER(I108),IF(I108&gt;='ตั้งค่า Setup'!$C$15," (เหลือ "&amp;(I108-'ตั้งค่า Setup'!$C$15)&amp;" วัน)"," (เลยกำหนด "&amp;('ตั้งค่า Setup'!$C$15-I108)&amp;" วัน)"),""),IF(NOT(ISNUMBER(I108)),"ติดตาม",IF(I108&lt;'ตั้งค่า Setup'!$C$15,"⚠ เลยกำหนดอนุมัติ "&amp;('ตั้งค่า Setup'!$C$15-I108)&amp;" วัน – กระทบแผนงาน",IF(I108-'ตั้งค่า Setup'!$C$15&lt;=14,"⚠ ต้องอนุมัติภายใน "&amp;(I108-'ตั้งค่า Setup'!$C$15)&amp;" วัน","ติดตาม (เหลือ "&amp;(I108-'ตั้งค่า Setup'!$C$15)&amp;" วัน)"))))))</f>
        <v/>
      </c>
      <c r="O108" s="32"/>
    </row>
  </sheetData>
  <sheetProtection sheet="true" formatCells="false" formatColumns="false" formatRows="false"/>
  <conditionalFormatting sqref="N9:N108">
    <cfRule type="expression" priority="2" aboveAverage="0" equalAverage="0" bottom="0" percent="0" rank="0" text="" dxfId="5">
      <formula>LEFT(N9,1)="⚠"</formula>
    </cfRule>
    <cfRule type="expression" priority="3" aboveAverage="0" equalAverage="0" bottom="0" percent="0" rank="0" text="" dxfId="2">
      <formula>LEFT(N9,1)="✓"</formula>
    </cfRule>
  </conditionalFormatting>
  <conditionalFormatting sqref="K9:K108">
    <cfRule type="expression" priority="4" aboveAverage="0" equalAverage="0" bottom="0" percent="0" rank="0" text="" dxfId="10">
      <formula>OR(K9="รอพิจารณา",K9="ขอเอกสารเพิ่มเติม")</formula>
    </cfRule>
  </conditionalFormatting>
  <conditionalFormatting sqref="G9:G108">
    <cfRule type="expression" priority="5" aboveAverage="0" equalAverage="0" bottom="0" percent="0" rank="0" text="" dxfId="4">
      <formula>G9="ไม่พบ WBS"</formula>
    </cfRule>
  </conditionalFormatting>
  <dataValidations count="3">
    <dataValidation allowBlank="true" errorStyle="stop" operator="between" showDropDown="false" showErrorMessage="false" showInputMessage="false" sqref="F9:F108" type="list">
      <formula1>'แผนงาน Schedule'!$A$7:$A$156</formula1>
      <formula2>0</formula2>
    </dataValidation>
    <dataValidation allowBlank="false" errorStyle="stop" operator="between" showDropDown="false" showErrorMessage="false" showInputMessage="false" sqref="K9:K108" type="list">
      <formula1>"รอพิจารณา,ขอเอกสารเพิ่มเติม,อนุมัติ,ไม่อนุมัติ"</formula1>
      <formula2>0</formula2>
    </dataValidation>
    <dataValidation allowBlank="false" errorStyle="stop" operator="between" showDropDown="false" showErrorMessage="false" showInputMessage="false" sqref="M9:M108" type="list">
      <formula1>"ผ่าน,ขอเอกสารเพิ่มเติม,ไม่ผ่าน,ยังไม่ตรวจ"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H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40"/>
    <col collapsed="false" customWidth="true" hidden="false" outlineLevel="0" max="5" min="5" style="1" width="13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13"/>
    <col collapsed="false" customWidth="true" hidden="false" outlineLevel="0" max="10" min="9" style="1" width="10.51"/>
    <col collapsed="false" customWidth="true" hidden="false" outlineLevel="0" max="11" min="11" style="1" width="6"/>
    <col collapsed="false" customWidth="true" hidden="false" outlineLevel="0" max="15" min="12" style="1" width="10.51"/>
    <col collapsed="false" customWidth="true" hidden="false" outlineLevel="0" max="18" min="16" style="1" width="9"/>
    <col collapsed="false" customWidth="true" hidden="false" outlineLevel="0" max="21" min="19" style="1" width="12"/>
    <col collapsed="false" customWidth="true" hidden="false" outlineLevel="0" max="22" min="22" style="1" width="6"/>
    <col collapsed="false" customWidth="true" hidden="false" outlineLevel="0" max="23" min="23" style="1" width="11"/>
    <col collapsed="false" customWidth="true" hidden="false" outlineLevel="0" max="24" min="24" style="1" width="8"/>
    <col collapsed="false" customWidth="true" hidden="false" outlineLevel="0" max="25" min="25" style="1" width="16"/>
    <col collapsed="false" customWidth="true" hidden="false" outlineLevel="0" max="26" min="26" style="1" width="28"/>
    <col collapsed="false" customWidth="true" hidden="true" outlineLevel="0" max="31" min="27" style="1" width="4"/>
    <col collapsed="false" customWidth="true" hidden="false" outlineLevel="0" max="32" min="32" style="1" width="2"/>
    <col collapsed="false" customWidth="true" hidden="false" outlineLevel="0" max="112" min="33" style="1" width="3"/>
  </cols>
  <sheetData>
    <row r="1" customFormat="false" ht="20.1" hidden="false" customHeight="false" outlineLevel="0" collapsed="false">
      <c r="A1" s="2" t="s">
        <v>715</v>
      </c>
    </row>
    <row r="2" customFormat="false" ht="15" hidden="false" customHeight="false" outlineLevel="0" collapsed="false">
      <c r="A2" s="175" t="s">
        <v>716</v>
      </c>
    </row>
    <row r="3" customFormat="false" ht="15" hidden="false" customHeight="false" outlineLevel="0" collapsed="false">
      <c r="A3" s="176" t="s">
        <v>717</v>
      </c>
      <c r="C3" s="56" t="n">
        <f aca="false">'ตั้งค่า Setup'!$C$15</f>
        <v>46293</v>
      </c>
    </row>
    <row r="5" customFormat="false" ht="15" hidden="false" customHeight="true" outlineLevel="0" collapsed="false">
      <c r="A5" s="57" t="s">
        <v>718</v>
      </c>
      <c r="B5" s="57"/>
      <c r="C5" s="57"/>
      <c r="D5" s="57"/>
      <c r="E5" s="57"/>
      <c r="F5" s="57" t="s">
        <v>719</v>
      </c>
      <c r="G5" s="57"/>
      <c r="H5" s="57"/>
      <c r="I5" s="177" t="s">
        <v>720</v>
      </c>
      <c r="J5" s="177"/>
      <c r="K5" s="177"/>
      <c r="L5" s="178" t="s">
        <v>721</v>
      </c>
      <c r="M5" s="178"/>
      <c r="N5" s="179" t="s">
        <v>722</v>
      </c>
      <c r="O5" s="179"/>
      <c r="P5" s="179"/>
      <c r="Q5" s="180" t="s">
        <v>723</v>
      </c>
      <c r="R5" s="180"/>
      <c r="S5" s="180"/>
      <c r="T5" s="180"/>
      <c r="U5" s="180"/>
      <c r="V5" s="180"/>
      <c r="W5" s="180"/>
      <c r="X5" s="180"/>
      <c r="Y5" s="180"/>
      <c r="Z5" s="180"/>
      <c r="AG5" s="58" t="n">
        <f aca="false">INDEX('S-Curve'!$B$7:$B$86,1)</f>
        <v>46174</v>
      </c>
      <c r="AH5" s="58" t="n">
        <f aca="false">INDEX('S-Curve'!$B$7:$B$86,2)</f>
        <v>46184</v>
      </c>
      <c r="AI5" s="58" t="n">
        <f aca="false">INDEX('S-Curve'!$B$7:$B$86,3)</f>
        <v>46194</v>
      </c>
      <c r="AJ5" s="58" t="n">
        <f aca="false">INDEX('S-Curve'!$B$7:$B$86,4)</f>
        <v>46204</v>
      </c>
      <c r="AK5" s="58" t="n">
        <f aca="false">INDEX('S-Curve'!$B$7:$B$86,5)</f>
        <v>46214</v>
      </c>
      <c r="AL5" s="58" t="n">
        <f aca="false">INDEX('S-Curve'!$B$7:$B$86,6)</f>
        <v>46224</v>
      </c>
      <c r="AM5" s="58" t="n">
        <f aca="false">INDEX('S-Curve'!$B$7:$B$86,7)</f>
        <v>46235</v>
      </c>
      <c r="AN5" s="58" t="n">
        <f aca="false">INDEX('S-Curve'!$B$7:$B$86,8)</f>
        <v>46245</v>
      </c>
      <c r="AO5" s="58" t="n">
        <f aca="false">INDEX('S-Curve'!$B$7:$B$86,9)</f>
        <v>46255</v>
      </c>
      <c r="AP5" s="58" t="n">
        <f aca="false">INDEX('S-Curve'!$B$7:$B$86,10)</f>
        <v>46266</v>
      </c>
      <c r="AQ5" s="58" t="n">
        <f aca="false">INDEX('S-Curve'!$B$7:$B$86,11)</f>
        <v>46276</v>
      </c>
      <c r="AR5" s="58" t="n">
        <f aca="false">INDEX('S-Curve'!$B$7:$B$86,12)</f>
        <v>46286</v>
      </c>
      <c r="AS5" s="58" t="n">
        <f aca="false">INDEX('S-Curve'!$B$7:$B$86,13)</f>
        <v>46296</v>
      </c>
      <c r="AT5" s="58" t="n">
        <f aca="false">INDEX('S-Curve'!$B$7:$B$86,14)</f>
        <v>46306</v>
      </c>
      <c r="AU5" s="58" t="n">
        <f aca="false">INDEX('S-Curve'!$B$7:$B$86,15)</f>
        <v>46316</v>
      </c>
      <c r="AV5" s="58" t="n">
        <f aca="false">INDEX('S-Curve'!$B$7:$B$86,16)</f>
        <v>46327</v>
      </c>
      <c r="AW5" s="58" t="n">
        <f aca="false">INDEX('S-Curve'!$B$7:$B$86,17)</f>
        <v>46337</v>
      </c>
      <c r="AX5" s="58" t="n">
        <f aca="false">INDEX('S-Curve'!$B$7:$B$86,18)</f>
        <v>46347</v>
      </c>
      <c r="AY5" s="58" t="n">
        <f aca="false">INDEX('S-Curve'!$B$7:$B$86,19)</f>
        <v>46357</v>
      </c>
      <c r="AZ5" s="58" t="n">
        <f aca="false">INDEX('S-Curve'!$B$7:$B$86,20)</f>
        <v>46367</v>
      </c>
      <c r="BA5" s="58" t="n">
        <f aca="false">INDEX('S-Curve'!$B$7:$B$86,21)</f>
        <v>46377</v>
      </c>
      <c r="BB5" s="58" t="n">
        <f aca="false">INDEX('S-Curve'!$B$7:$B$86,22)</f>
        <v>46388</v>
      </c>
      <c r="BC5" s="58" t="n">
        <f aca="false">INDEX('S-Curve'!$B$7:$B$86,23)</f>
        <v>46398</v>
      </c>
      <c r="BD5" s="58" t="n">
        <f aca="false">INDEX('S-Curve'!$B$7:$B$86,24)</f>
        <v>46408</v>
      </c>
      <c r="BE5" s="58" t="n">
        <f aca="false">INDEX('S-Curve'!$B$7:$B$86,25)</f>
        <v>46419</v>
      </c>
      <c r="BF5" s="58" t="n">
        <f aca="false">INDEX('S-Curve'!$B$7:$B$86,26)</f>
        <v>46429</v>
      </c>
      <c r="BG5" s="58" t="n">
        <f aca="false">INDEX('S-Curve'!$B$7:$B$86,27)</f>
        <v>46439</v>
      </c>
      <c r="BH5" s="58" t="n">
        <f aca="false">INDEX('S-Curve'!$B$7:$B$86,28)</f>
        <v>46447</v>
      </c>
      <c r="BI5" s="58" t="n">
        <f aca="false">INDEX('S-Curve'!$B$7:$B$86,29)</f>
        <v>46457</v>
      </c>
      <c r="BJ5" s="58" t="n">
        <f aca="false">INDEX('S-Curve'!$B$7:$B$86,30)</f>
        <v>46467</v>
      </c>
      <c r="BK5" s="58" t="n">
        <f aca="false">INDEX('S-Curve'!$B$7:$B$86,31)</f>
        <v>46478</v>
      </c>
      <c r="BL5" s="58" t="str">
        <f aca="false">INDEX('S-Curve'!$B$7:$B$86,32)</f>
        <v/>
      </c>
      <c r="BM5" s="58" t="str">
        <f aca="false">INDEX('S-Curve'!$B$7:$B$86,33)</f>
        <v/>
      </c>
      <c r="BN5" s="58" t="str">
        <f aca="false">INDEX('S-Curve'!$B$7:$B$86,34)</f>
        <v/>
      </c>
      <c r="BO5" s="58" t="str">
        <f aca="false">INDEX('S-Curve'!$B$7:$B$86,35)</f>
        <v/>
      </c>
      <c r="BP5" s="58" t="str">
        <f aca="false">INDEX('S-Curve'!$B$7:$B$86,36)</f>
        <v/>
      </c>
      <c r="BQ5" s="58" t="str">
        <f aca="false">INDEX('S-Curve'!$B$7:$B$86,37)</f>
        <v/>
      </c>
      <c r="BR5" s="58" t="str">
        <f aca="false">INDEX('S-Curve'!$B$7:$B$86,38)</f>
        <v/>
      </c>
      <c r="BS5" s="58" t="str">
        <f aca="false">INDEX('S-Curve'!$B$7:$B$86,39)</f>
        <v/>
      </c>
      <c r="BT5" s="58" t="str">
        <f aca="false">INDEX('S-Curve'!$B$7:$B$86,40)</f>
        <v/>
      </c>
      <c r="BU5" s="58" t="str">
        <f aca="false">INDEX('S-Curve'!$B$7:$B$86,41)</f>
        <v/>
      </c>
      <c r="BV5" s="58" t="str">
        <f aca="false">INDEX('S-Curve'!$B$7:$B$86,42)</f>
        <v/>
      </c>
      <c r="BW5" s="58" t="str">
        <f aca="false">INDEX('S-Curve'!$B$7:$B$86,43)</f>
        <v/>
      </c>
      <c r="BX5" s="58" t="str">
        <f aca="false">INDEX('S-Curve'!$B$7:$B$86,44)</f>
        <v/>
      </c>
      <c r="BY5" s="58" t="str">
        <f aca="false">INDEX('S-Curve'!$B$7:$B$86,45)</f>
        <v/>
      </c>
      <c r="BZ5" s="58" t="str">
        <f aca="false">INDEX('S-Curve'!$B$7:$B$86,46)</f>
        <v/>
      </c>
      <c r="CA5" s="58" t="str">
        <f aca="false">INDEX('S-Curve'!$B$7:$B$86,47)</f>
        <v/>
      </c>
      <c r="CB5" s="58" t="str">
        <f aca="false">INDEX('S-Curve'!$B$7:$B$86,48)</f>
        <v/>
      </c>
      <c r="CC5" s="58" t="str">
        <f aca="false">INDEX('S-Curve'!$B$7:$B$86,49)</f>
        <v/>
      </c>
      <c r="CD5" s="58" t="str">
        <f aca="false">INDEX('S-Curve'!$B$7:$B$86,50)</f>
        <v/>
      </c>
      <c r="CE5" s="58" t="str">
        <f aca="false">INDEX('S-Curve'!$B$7:$B$86,51)</f>
        <v/>
      </c>
      <c r="CF5" s="58" t="str">
        <f aca="false">INDEX('S-Curve'!$B$7:$B$86,52)</f>
        <v/>
      </c>
      <c r="CG5" s="58" t="str">
        <f aca="false">INDEX('S-Curve'!$B$7:$B$86,53)</f>
        <v/>
      </c>
      <c r="CH5" s="58" t="str">
        <f aca="false">INDEX('S-Curve'!$B$7:$B$86,54)</f>
        <v/>
      </c>
      <c r="CI5" s="58" t="str">
        <f aca="false">INDEX('S-Curve'!$B$7:$B$86,55)</f>
        <v/>
      </c>
      <c r="CJ5" s="58" t="str">
        <f aca="false">INDEX('S-Curve'!$B$7:$B$86,56)</f>
        <v/>
      </c>
      <c r="CK5" s="58" t="str">
        <f aca="false">INDEX('S-Curve'!$B$7:$B$86,57)</f>
        <v/>
      </c>
      <c r="CL5" s="58" t="str">
        <f aca="false">INDEX('S-Curve'!$B$7:$B$86,58)</f>
        <v/>
      </c>
      <c r="CM5" s="58" t="str">
        <f aca="false">INDEX('S-Curve'!$B$7:$B$86,59)</f>
        <v/>
      </c>
      <c r="CN5" s="58" t="str">
        <f aca="false">INDEX('S-Curve'!$B$7:$B$86,60)</f>
        <v/>
      </c>
      <c r="CO5" s="58" t="str">
        <f aca="false">INDEX('S-Curve'!$B$7:$B$86,61)</f>
        <v/>
      </c>
      <c r="CP5" s="58" t="str">
        <f aca="false">INDEX('S-Curve'!$B$7:$B$86,62)</f>
        <v/>
      </c>
      <c r="CQ5" s="58" t="str">
        <f aca="false">INDEX('S-Curve'!$B$7:$B$86,63)</f>
        <v/>
      </c>
      <c r="CR5" s="58" t="str">
        <f aca="false">INDEX('S-Curve'!$B$7:$B$86,64)</f>
        <v/>
      </c>
      <c r="CS5" s="58" t="str">
        <f aca="false">INDEX('S-Curve'!$B$7:$B$86,65)</f>
        <v/>
      </c>
      <c r="CT5" s="58" t="str">
        <f aca="false">INDEX('S-Curve'!$B$7:$B$86,66)</f>
        <v/>
      </c>
      <c r="CU5" s="58" t="str">
        <f aca="false">INDEX('S-Curve'!$B$7:$B$86,67)</f>
        <v/>
      </c>
      <c r="CV5" s="58" t="str">
        <f aca="false">INDEX('S-Curve'!$B$7:$B$86,68)</f>
        <v/>
      </c>
      <c r="CW5" s="58" t="str">
        <f aca="false">INDEX('S-Curve'!$B$7:$B$86,69)</f>
        <v/>
      </c>
      <c r="CX5" s="58" t="str">
        <f aca="false">INDEX('S-Curve'!$B$7:$B$86,70)</f>
        <v/>
      </c>
      <c r="CY5" s="58" t="str">
        <f aca="false">INDEX('S-Curve'!$B$7:$B$86,71)</f>
        <v/>
      </c>
      <c r="CZ5" s="58" t="str">
        <f aca="false">INDEX('S-Curve'!$B$7:$B$86,72)</f>
        <v/>
      </c>
      <c r="DA5" s="58" t="str">
        <f aca="false">INDEX('S-Curve'!$B$7:$B$86,73)</f>
        <v/>
      </c>
      <c r="DB5" s="58" t="str">
        <f aca="false">INDEX('S-Curve'!$B$7:$B$86,74)</f>
        <v/>
      </c>
      <c r="DC5" s="58" t="str">
        <f aca="false">INDEX('S-Curve'!$B$7:$B$86,75)</f>
        <v/>
      </c>
      <c r="DD5" s="58" t="str">
        <f aca="false">INDEX('S-Curve'!$B$7:$B$86,76)</f>
        <v/>
      </c>
      <c r="DE5" s="58" t="str">
        <f aca="false">INDEX('S-Curve'!$B$7:$B$86,77)</f>
        <v/>
      </c>
      <c r="DF5" s="58" t="str">
        <f aca="false">INDEX('S-Curve'!$B$7:$B$86,78)</f>
        <v/>
      </c>
      <c r="DG5" s="58" t="str">
        <f aca="false">INDEX('S-Curve'!$B$7:$B$86,79)</f>
        <v/>
      </c>
      <c r="DH5" s="58" t="str">
        <f aca="false">INDEX('S-Curve'!$B$7:$B$86,80)</f>
        <v/>
      </c>
    </row>
    <row r="6" customFormat="false" ht="43.5" hidden="false" customHeight="true" outlineLevel="0" collapsed="false">
      <c r="A6" s="59" t="s">
        <v>724</v>
      </c>
      <c r="B6" s="18" t="s">
        <v>725</v>
      </c>
      <c r="C6" s="18" t="s">
        <v>726</v>
      </c>
      <c r="D6" s="18" t="s">
        <v>727</v>
      </c>
      <c r="E6" s="18" t="s">
        <v>728</v>
      </c>
      <c r="F6" s="18" t="s">
        <v>729</v>
      </c>
      <c r="G6" s="18" t="s">
        <v>730</v>
      </c>
      <c r="H6" s="18" t="s">
        <v>731</v>
      </c>
      <c r="I6" s="18" t="s">
        <v>732</v>
      </c>
      <c r="J6" s="18" t="s">
        <v>733</v>
      </c>
      <c r="K6" s="18" t="s">
        <v>734</v>
      </c>
      <c r="L6" s="18" t="s">
        <v>732</v>
      </c>
      <c r="M6" s="18" t="s">
        <v>733</v>
      </c>
      <c r="N6" s="18" t="s">
        <v>732</v>
      </c>
      <c r="O6" s="18" t="s">
        <v>733</v>
      </c>
      <c r="P6" s="59" t="s">
        <v>735</v>
      </c>
      <c r="Q6" s="59" t="s">
        <v>736</v>
      </c>
      <c r="R6" s="59" t="s">
        <v>737</v>
      </c>
      <c r="S6" s="59" t="s">
        <v>738</v>
      </c>
      <c r="T6" s="59" t="s">
        <v>739</v>
      </c>
      <c r="U6" s="59" t="s">
        <v>740</v>
      </c>
      <c r="V6" s="59" t="s">
        <v>101</v>
      </c>
      <c r="W6" s="18" t="s">
        <v>741</v>
      </c>
      <c r="X6" s="18" t="s">
        <v>742</v>
      </c>
      <c r="Y6" s="18" t="s">
        <v>408</v>
      </c>
      <c r="Z6" s="18" t="s">
        <v>743</v>
      </c>
      <c r="AA6" s="59" t="s">
        <v>744</v>
      </c>
      <c r="AB6" s="59" t="s">
        <v>745</v>
      </c>
      <c r="AC6" s="59" t="s">
        <v>746</v>
      </c>
      <c r="AD6" s="59" t="s">
        <v>747</v>
      </c>
      <c r="AE6" s="59" t="s">
        <v>748</v>
      </c>
      <c r="AG6" s="60" t="n">
        <f aca="false">INDEX('S-Curve'!$C$7:$C$86,1)</f>
        <v>46183</v>
      </c>
      <c r="AH6" s="60" t="n">
        <f aca="false">INDEX('S-Curve'!$C$7:$C$86,2)</f>
        <v>46193</v>
      </c>
      <c r="AI6" s="60" t="n">
        <f aca="false">INDEX('S-Curve'!$C$7:$C$86,3)</f>
        <v>46203</v>
      </c>
      <c r="AJ6" s="60" t="n">
        <f aca="false">INDEX('S-Curve'!$C$7:$C$86,4)</f>
        <v>46213</v>
      </c>
      <c r="AK6" s="60" t="n">
        <f aca="false">INDEX('S-Curve'!$C$7:$C$86,5)</f>
        <v>46223</v>
      </c>
      <c r="AL6" s="60" t="n">
        <f aca="false">INDEX('S-Curve'!$C$7:$C$86,6)</f>
        <v>46234</v>
      </c>
      <c r="AM6" s="60" t="n">
        <f aca="false">INDEX('S-Curve'!$C$7:$C$86,7)</f>
        <v>46244</v>
      </c>
      <c r="AN6" s="60" t="n">
        <f aca="false">INDEX('S-Curve'!$C$7:$C$86,8)</f>
        <v>46254</v>
      </c>
      <c r="AO6" s="60" t="n">
        <f aca="false">INDEX('S-Curve'!$C$7:$C$86,9)</f>
        <v>46265</v>
      </c>
      <c r="AP6" s="60" t="n">
        <f aca="false">INDEX('S-Curve'!$C$7:$C$86,10)</f>
        <v>46275</v>
      </c>
      <c r="AQ6" s="60" t="n">
        <f aca="false">INDEX('S-Curve'!$C$7:$C$86,11)</f>
        <v>46285</v>
      </c>
      <c r="AR6" s="60" t="n">
        <f aca="false">INDEX('S-Curve'!$C$7:$C$86,12)</f>
        <v>46295</v>
      </c>
      <c r="AS6" s="60" t="n">
        <f aca="false">INDEX('S-Curve'!$C$7:$C$86,13)</f>
        <v>46305</v>
      </c>
      <c r="AT6" s="60" t="n">
        <f aca="false">INDEX('S-Curve'!$C$7:$C$86,14)</f>
        <v>46315</v>
      </c>
      <c r="AU6" s="60" t="n">
        <f aca="false">INDEX('S-Curve'!$C$7:$C$86,15)</f>
        <v>46326</v>
      </c>
      <c r="AV6" s="60" t="n">
        <f aca="false">INDEX('S-Curve'!$C$7:$C$86,16)</f>
        <v>46336</v>
      </c>
      <c r="AW6" s="60" t="n">
        <f aca="false">INDEX('S-Curve'!$C$7:$C$86,17)</f>
        <v>46346</v>
      </c>
      <c r="AX6" s="60" t="n">
        <f aca="false">INDEX('S-Curve'!$C$7:$C$86,18)</f>
        <v>46356</v>
      </c>
      <c r="AY6" s="60" t="n">
        <f aca="false">INDEX('S-Curve'!$C$7:$C$86,19)</f>
        <v>46366</v>
      </c>
      <c r="AZ6" s="60" t="n">
        <f aca="false">INDEX('S-Curve'!$C$7:$C$86,20)</f>
        <v>46376</v>
      </c>
      <c r="BA6" s="60" t="n">
        <f aca="false">INDEX('S-Curve'!$C$7:$C$86,21)</f>
        <v>46387</v>
      </c>
      <c r="BB6" s="60" t="n">
        <f aca="false">INDEX('S-Curve'!$C$7:$C$86,22)</f>
        <v>46397</v>
      </c>
      <c r="BC6" s="60" t="n">
        <f aca="false">INDEX('S-Curve'!$C$7:$C$86,23)</f>
        <v>46407</v>
      </c>
      <c r="BD6" s="60" t="n">
        <f aca="false">INDEX('S-Curve'!$C$7:$C$86,24)</f>
        <v>46418</v>
      </c>
      <c r="BE6" s="60" t="n">
        <f aca="false">INDEX('S-Curve'!$C$7:$C$86,25)</f>
        <v>46428</v>
      </c>
      <c r="BF6" s="60" t="n">
        <f aca="false">INDEX('S-Curve'!$C$7:$C$86,26)</f>
        <v>46438</v>
      </c>
      <c r="BG6" s="60" t="n">
        <f aca="false">INDEX('S-Curve'!$C$7:$C$86,27)</f>
        <v>46446</v>
      </c>
      <c r="BH6" s="60" t="n">
        <f aca="false">INDEX('S-Curve'!$C$7:$C$86,28)</f>
        <v>46456</v>
      </c>
      <c r="BI6" s="60" t="n">
        <f aca="false">INDEX('S-Curve'!$C$7:$C$86,29)</f>
        <v>46466</v>
      </c>
      <c r="BJ6" s="60" t="n">
        <f aca="false">INDEX('S-Curve'!$C$7:$C$86,30)</f>
        <v>46477</v>
      </c>
      <c r="BK6" s="60" t="n">
        <f aca="false">INDEX('S-Curve'!$C$7:$C$86,31)</f>
        <v>46487</v>
      </c>
      <c r="BL6" s="60" t="str">
        <f aca="false">INDEX('S-Curve'!$C$7:$C$86,32)</f>
        <v/>
      </c>
      <c r="BM6" s="60" t="str">
        <f aca="false">INDEX('S-Curve'!$C$7:$C$86,33)</f>
        <v/>
      </c>
      <c r="BN6" s="60" t="str">
        <f aca="false">INDEX('S-Curve'!$C$7:$C$86,34)</f>
        <v/>
      </c>
      <c r="BO6" s="60" t="str">
        <f aca="false">INDEX('S-Curve'!$C$7:$C$86,35)</f>
        <v/>
      </c>
      <c r="BP6" s="60" t="str">
        <f aca="false">INDEX('S-Curve'!$C$7:$C$86,36)</f>
        <v/>
      </c>
      <c r="BQ6" s="60" t="str">
        <f aca="false">INDEX('S-Curve'!$C$7:$C$86,37)</f>
        <v/>
      </c>
      <c r="BR6" s="60" t="str">
        <f aca="false">INDEX('S-Curve'!$C$7:$C$86,38)</f>
        <v/>
      </c>
      <c r="BS6" s="60" t="str">
        <f aca="false">INDEX('S-Curve'!$C$7:$C$86,39)</f>
        <v/>
      </c>
      <c r="BT6" s="60" t="str">
        <f aca="false">INDEX('S-Curve'!$C$7:$C$86,40)</f>
        <v/>
      </c>
      <c r="BU6" s="60" t="str">
        <f aca="false">INDEX('S-Curve'!$C$7:$C$86,41)</f>
        <v/>
      </c>
      <c r="BV6" s="60" t="str">
        <f aca="false">INDEX('S-Curve'!$C$7:$C$86,42)</f>
        <v/>
      </c>
      <c r="BW6" s="60" t="str">
        <f aca="false">INDEX('S-Curve'!$C$7:$C$86,43)</f>
        <v/>
      </c>
      <c r="BX6" s="60" t="str">
        <f aca="false">INDEX('S-Curve'!$C$7:$C$86,44)</f>
        <v/>
      </c>
      <c r="BY6" s="60" t="str">
        <f aca="false">INDEX('S-Curve'!$C$7:$C$86,45)</f>
        <v/>
      </c>
      <c r="BZ6" s="60" t="str">
        <f aca="false">INDEX('S-Curve'!$C$7:$C$86,46)</f>
        <v/>
      </c>
      <c r="CA6" s="60" t="str">
        <f aca="false">INDEX('S-Curve'!$C$7:$C$86,47)</f>
        <v/>
      </c>
      <c r="CB6" s="60" t="str">
        <f aca="false">INDEX('S-Curve'!$C$7:$C$86,48)</f>
        <v/>
      </c>
      <c r="CC6" s="60" t="str">
        <f aca="false">INDEX('S-Curve'!$C$7:$C$86,49)</f>
        <v/>
      </c>
      <c r="CD6" s="60" t="str">
        <f aca="false">INDEX('S-Curve'!$C$7:$C$86,50)</f>
        <v/>
      </c>
      <c r="CE6" s="60" t="str">
        <f aca="false">INDEX('S-Curve'!$C$7:$C$86,51)</f>
        <v/>
      </c>
      <c r="CF6" s="60" t="str">
        <f aca="false">INDEX('S-Curve'!$C$7:$C$86,52)</f>
        <v/>
      </c>
      <c r="CG6" s="60" t="str">
        <f aca="false">INDEX('S-Curve'!$C$7:$C$86,53)</f>
        <v/>
      </c>
      <c r="CH6" s="60" t="str">
        <f aca="false">INDEX('S-Curve'!$C$7:$C$86,54)</f>
        <v/>
      </c>
      <c r="CI6" s="60" t="str">
        <f aca="false">INDEX('S-Curve'!$C$7:$C$86,55)</f>
        <v/>
      </c>
      <c r="CJ6" s="60" t="str">
        <f aca="false">INDEX('S-Curve'!$C$7:$C$86,56)</f>
        <v/>
      </c>
      <c r="CK6" s="60" t="str">
        <f aca="false">INDEX('S-Curve'!$C$7:$C$86,57)</f>
        <v/>
      </c>
      <c r="CL6" s="60" t="str">
        <f aca="false">INDEX('S-Curve'!$C$7:$C$86,58)</f>
        <v/>
      </c>
      <c r="CM6" s="60" t="str">
        <f aca="false">INDEX('S-Curve'!$C$7:$C$86,59)</f>
        <v/>
      </c>
      <c r="CN6" s="60" t="str">
        <f aca="false">INDEX('S-Curve'!$C$7:$C$86,60)</f>
        <v/>
      </c>
      <c r="CO6" s="60" t="str">
        <f aca="false">INDEX('S-Curve'!$C$7:$C$86,61)</f>
        <v/>
      </c>
      <c r="CP6" s="60" t="str">
        <f aca="false">INDEX('S-Curve'!$C$7:$C$86,62)</f>
        <v/>
      </c>
      <c r="CQ6" s="60" t="str">
        <f aca="false">INDEX('S-Curve'!$C$7:$C$86,63)</f>
        <v/>
      </c>
      <c r="CR6" s="60" t="str">
        <f aca="false">INDEX('S-Curve'!$C$7:$C$86,64)</f>
        <v/>
      </c>
      <c r="CS6" s="60" t="str">
        <f aca="false">INDEX('S-Curve'!$C$7:$C$86,65)</f>
        <v/>
      </c>
      <c r="CT6" s="60" t="str">
        <f aca="false">INDEX('S-Curve'!$C$7:$C$86,66)</f>
        <v/>
      </c>
      <c r="CU6" s="60" t="str">
        <f aca="false">INDEX('S-Curve'!$C$7:$C$86,67)</f>
        <v/>
      </c>
      <c r="CV6" s="60" t="str">
        <f aca="false">INDEX('S-Curve'!$C$7:$C$86,68)</f>
        <v/>
      </c>
      <c r="CW6" s="60" t="str">
        <f aca="false">INDEX('S-Curve'!$C$7:$C$86,69)</f>
        <v/>
      </c>
      <c r="CX6" s="60" t="str">
        <f aca="false">INDEX('S-Curve'!$C$7:$C$86,70)</f>
        <v/>
      </c>
      <c r="CY6" s="60" t="str">
        <f aca="false">INDEX('S-Curve'!$C$7:$C$86,71)</f>
        <v/>
      </c>
      <c r="CZ6" s="60" t="str">
        <f aca="false">INDEX('S-Curve'!$C$7:$C$86,72)</f>
        <v/>
      </c>
      <c r="DA6" s="60" t="str">
        <f aca="false">INDEX('S-Curve'!$C$7:$C$86,73)</f>
        <v/>
      </c>
      <c r="DB6" s="60" t="str">
        <f aca="false">INDEX('S-Curve'!$C$7:$C$86,74)</f>
        <v/>
      </c>
      <c r="DC6" s="60" t="str">
        <f aca="false">INDEX('S-Curve'!$C$7:$C$86,75)</f>
        <v/>
      </c>
      <c r="DD6" s="60" t="str">
        <f aca="false">INDEX('S-Curve'!$C$7:$C$86,76)</f>
        <v/>
      </c>
      <c r="DE6" s="60" t="str">
        <f aca="false">INDEX('S-Curve'!$C$7:$C$86,77)</f>
        <v/>
      </c>
      <c r="DF6" s="60" t="str">
        <f aca="false">INDEX('S-Curve'!$C$7:$C$86,78)</f>
        <v/>
      </c>
      <c r="DG6" s="60" t="str">
        <f aca="false">INDEX('S-Curve'!$C$7:$C$86,79)</f>
        <v/>
      </c>
      <c r="DH6" s="60" t="str">
        <f aca="false">INDEX('S-Curve'!$C$7:$C$86,80)</f>
        <v/>
      </c>
    </row>
    <row r="7" customFormat="false" ht="25.35" hidden="false" customHeight="false" outlineLevel="0" collapsed="false">
      <c r="A7" s="181" t="str">
        <f aca="false">IF(OR(B7="",C7="",D7=""),"",IFERROR(MATCH(B7,'ตั้งค่า Setup'!$C$26:$C$65,0)&amp;"."&amp;MATCH(C7,'ตั้งค่า Setup'!$C$68:$C$107,0)&amp;"."&amp;TEXT(COUNTIFS(B$7:B7,B7,C$7:C7,C7),"00"),"?"))</f>
        <v>1.1.01</v>
      </c>
      <c r="B7" s="32" t="s">
        <v>196</v>
      </c>
      <c r="C7" s="32" t="s">
        <v>244</v>
      </c>
      <c r="D7" s="32" t="s">
        <v>749</v>
      </c>
      <c r="E7" s="23" t="n">
        <v>350000</v>
      </c>
      <c r="F7" s="113"/>
      <c r="G7" s="115" t="n">
        <f aca="false">IF(D7="",0,IF(F7&lt;&gt;"",F7,IF(SUM($E$7:$E$156)&gt;0,N(E7)/SUM($E$7:$E$156),0)))</f>
        <v>0.0144628099173554</v>
      </c>
      <c r="H7" s="182" t="n">
        <f aca="false">IF(D7="","",G7*'ตั้งค่า Setup'!$C$9)</f>
        <v>350000</v>
      </c>
      <c r="I7" s="24" t="n">
        <v>46174</v>
      </c>
      <c r="J7" s="24" t="n">
        <v>46193</v>
      </c>
      <c r="K7" s="117" t="n">
        <f aca="false">IF(OR(I7="",J7=""),"",J7-I7+1)</f>
        <v>20</v>
      </c>
      <c r="L7" s="24"/>
      <c r="M7" s="24"/>
      <c r="N7" s="24" t="n">
        <v>46176</v>
      </c>
      <c r="O7" s="24" t="n">
        <v>46198</v>
      </c>
      <c r="P7" s="113" t="n">
        <v>1</v>
      </c>
      <c r="Q7" s="115" t="n">
        <f aca="false">IF(OR(D7="",I7="",J7=""),"",MAX(0,MIN(1,('ตั้งค่า Setup'!$C$15-I7+1)/(J7-I7+1))))</f>
        <v>1</v>
      </c>
      <c r="R7" s="115" t="n">
        <f aca="false">IF(OR(D7="",AA7=0),"",MAX(0,MIN(1,('ตั้งค่า Setup'!$C$15-AA7+1)/(AB7-AA7+1))))</f>
        <v>1</v>
      </c>
      <c r="S7" s="182" t="n">
        <f aca="false">IF(Q7="","",H7*Q7)</f>
        <v>350000</v>
      </c>
      <c r="T7" s="182" t="n">
        <f aca="false">IF(D7="","",H7*N(P7))</f>
        <v>350000</v>
      </c>
      <c r="U7" s="182" t="n">
        <f aca="false">IF(OR(S7="",T7=""),"",T7-S7)</f>
        <v>0</v>
      </c>
      <c r="V7" s="183" t="n">
        <f aca="false">IF(OR(S7="",T7=""),"",IF(S7=0,"",T7/S7))</f>
        <v>1</v>
      </c>
      <c r="W7" s="127" t="n">
        <f aca="false">IF(OR(D7="",AA7=0),"",IF(O7&lt;&gt;"",O7,IF(AND(N(P7)&gt;0,N7&lt;&gt;""),N7+ROUND((MAX('ตั้งค่า Setup'!$C$15,N7)-N7+1)/P7,0)-1,MAX(AB7,'ตั้งค่า Setup'!$C$15+AB7-AA7))))</f>
        <v>46198</v>
      </c>
      <c r="X7" s="184" t="n">
        <f aca="false">IF(OR(W7="",J7=""),"",W7-J7)</f>
        <v>5</v>
      </c>
      <c r="Y7" s="117" t="str">
        <f aca="false">IF(OR(D7="",I7="",J7=""),"",IF(O7&lt;&gt;"",IF(O7&lt;=J7,"เสร็จ / Completed","เสร็จช้า / Completed Late"),IF(AND(N7="",'ตั้งค่า Setup'!$C$15&lt;AA7),"ยังไม่ถึงกำหนด / Not Due",IF(N(P7)&gt;=Q7,"ตามแผน / On Track",IF('ตั้งค่า Setup'!$C$15&gt;J7,"เกินกำหนด / Overdue","ล่าช้า / Behind")))))</f>
        <v>เสร็จช้า / Completed Late</v>
      </c>
      <c r="Z7" s="32"/>
      <c r="AA7" s="69" t="n">
        <f aca="false">IF(D7="",0,IF(L7&lt;&gt;"",L7,N(I7)))</f>
        <v>46174</v>
      </c>
      <c r="AB7" s="69" t="n">
        <f aca="false">IF(D7="",0,IF(M7&lt;&gt;"",M7,N(J7)))</f>
        <v>46193</v>
      </c>
      <c r="AC7" s="185" t="str">
        <f aca="false">IF(AND(D7&lt;&gt;"",O7="",ISNUMBER(X7)),X7+(1000-ROW())/1000000,"")</f>
        <v/>
      </c>
      <c r="AD7" s="185" t="n">
        <f aca="false">IF(AND(D7&lt;&gt;"",O7="",AA7&gt;0,AA7&lt;='ตั้งค่า Setup'!$C$15+'ตั้งค่า Setup'!$C$20),1,0)</f>
        <v>0</v>
      </c>
      <c r="AE7" s="185" t="str">
        <f aca="false">IF(AD7=1,SUM(AD$7:AD7),"")</f>
        <v/>
      </c>
    </row>
    <row r="8" customFormat="false" ht="25.35" hidden="false" customHeight="false" outlineLevel="0" collapsed="false">
      <c r="A8" s="181" t="str">
        <f aca="false">IF(OR(B8="",C8="",D8=""),"",IFERROR(MATCH(B8,'ตั้งค่า Setup'!$C$26:$C$65,0)&amp;"."&amp;MATCH(C8,'ตั้งค่า Setup'!$C$68:$C$107,0)&amp;"."&amp;TEXT(COUNTIFS(B$7:B8,B8,C$7:C8,C8),"00"),"?"))</f>
        <v>1.2.01</v>
      </c>
      <c r="B8" s="32" t="s">
        <v>196</v>
      </c>
      <c r="C8" s="32" t="s">
        <v>246</v>
      </c>
      <c r="D8" s="32" t="s">
        <v>750</v>
      </c>
      <c r="E8" s="23" t="n">
        <v>2400000</v>
      </c>
      <c r="F8" s="113"/>
      <c r="G8" s="115" t="n">
        <f aca="false">IF(D8="",0,IF(F8&lt;&gt;"",F8,IF(SUM($E$7:$E$156)&gt;0,N(E8)/SUM($E$7:$E$156),0)))</f>
        <v>0.0991735537190083</v>
      </c>
      <c r="H8" s="182" t="n">
        <f aca="false">IF(D8="","",G8*'ตั้งค่า Setup'!$C$9)</f>
        <v>2400000</v>
      </c>
      <c r="I8" s="24" t="n">
        <v>46188</v>
      </c>
      <c r="J8" s="24" t="n">
        <v>46249</v>
      </c>
      <c r="K8" s="117" t="n">
        <f aca="false">IF(OR(I8="",J8=""),"",J8-I8+1)</f>
        <v>62</v>
      </c>
      <c r="L8" s="24"/>
      <c r="M8" s="24"/>
      <c r="N8" s="24" t="n">
        <v>46191</v>
      </c>
      <c r="O8" s="24" t="n">
        <v>46264</v>
      </c>
      <c r="P8" s="113" t="n">
        <v>1</v>
      </c>
      <c r="Q8" s="115" t="n">
        <f aca="false">IF(OR(D8="",I8="",J8=""),"",MAX(0,MIN(1,('ตั้งค่า Setup'!$C$15-I8+1)/(J8-I8+1))))</f>
        <v>1</v>
      </c>
      <c r="R8" s="115" t="n">
        <f aca="false">IF(OR(D8="",AA8=0),"",MAX(0,MIN(1,('ตั้งค่า Setup'!$C$15-AA8+1)/(AB8-AA8+1))))</f>
        <v>1</v>
      </c>
      <c r="S8" s="182" t="n">
        <f aca="false">IF(Q8="","",H8*Q8)</f>
        <v>2400000</v>
      </c>
      <c r="T8" s="182" t="n">
        <f aca="false">IF(D8="","",H8*N(P8))</f>
        <v>2400000</v>
      </c>
      <c r="U8" s="182" t="n">
        <f aca="false">IF(OR(S8="",T8=""),"",T8-S8)</f>
        <v>0</v>
      </c>
      <c r="V8" s="183" t="n">
        <f aca="false">IF(OR(S8="",T8=""),"",IF(S8=0,"",T8/S8))</f>
        <v>1</v>
      </c>
      <c r="W8" s="127" t="n">
        <f aca="false">IF(OR(D8="",AA8=0),"",IF(O8&lt;&gt;"",O8,IF(AND(N(P8)&gt;0,N8&lt;&gt;""),N8+ROUND((MAX('ตั้งค่า Setup'!$C$15,N8)-N8+1)/P8,0)-1,MAX(AB8,'ตั้งค่า Setup'!$C$15+AB8-AA8))))</f>
        <v>46264</v>
      </c>
      <c r="X8" s="184" t="n">
        <f aca="false">IF(OR(W8="",J8=""),"",W8-J8)</f>
        <v>15</v>
      </c>
      <c r="Y8" s="117" t="str">
        <f aca="false">IF(OR(D8="",I8="",J8=""),"",IF(O8&lt;&gt;"",IF(O8&lt;=J8,"เสร็จ / Completed","เสร็จช้า / Completed Late"),IF(AND(N8="",'ตั้งค่า Setup'!$C$15&lt;AA8),"ยังไม่ถึงกำหนด / Not Due",IF(N(P8)&gt;=Q8,"ตามแผน / On Track",IF('ตั้งค่า Setup'!$C$15&gt;J8,"เกินกำหนด / Overdue","ล่าช้า / Behind")))))</f>
        <v>เสร็จช้า / Completed Late</v>
      </c>
      <c r="Z8" s="32" t="s">
        <v>751</v>
      </c>
      <c r="AA8" s="69" t="n">
        <f aca="false">IF(D8="",0,IF(L8&lt;&gt;"",L8,N(I8)))</f>
        <v>46188</v>
      </c>
      <c r="AB8" s="69" t="n">
        <f aca="false">IF(D8="",0,IF(M8&lt;&gt;"",M8,N(J8)))</f>
        <v>46249</v>
      </c>
      <c r="AC8" s="185" t="str">
        <f aca="false">IF(AND(D8&lt;&gt;"",O8="",ISNUMBER(X8)),X8+(1000-ROW())/1000000,"")</f>
        <v/>
      </c>
      <c r="AD8" s="185" t="n">
        <f aca="false">IF(AND(D8&lt;&gt;"",O8="",AA8&gt;0,AA8&lt;='ตั้งค่า Setup'!$C$15+'ตั้งค่า Setup'!$C$20),1,0)</f>
        <v>0</v>
      </c>
      <c r="AE8" s="185" t="str">
        <f aca="false">IF(AD8=1,SUM(AD$7:AD8),"")</f>
        <v/>
      </c>
    </row>
    <row r="9" customFormat="false" ht="25.35" hidden="false" customHeight="false" outlineLevel="0" collapsed="false">
      <c r="A9" s="181" t="str">
        <f aca="false">IF(OR(B9="",C9="",D9=""),"",IFERROR(MATCH(B9,'ตั้งค่า Setup'!$C$26:$C$65,0)&amp;"."&amp;MATCH(C9,'ตั้งค่า Setup'!$C$68:$C$107,0)&amp;"."&amp;TEXT(COUNTIFS(B$7:B9,B9,C$7:C9,C9),"00"),"?"))</f>
        <v>1.2.02</v>
      </c>
      <c r="B9" s="32" t="s">
        <v>196</v>
      </c>
      <c r="C9" s="32" t="s">
        <v>246</v>
      </c>
      <c r="D9" s="32" t="s">
        <v>752</v>
      </c>
      <c r="E9" s="23" t="n">
        <v>300000</v>
      </c>
      <c r="F9" s="113"/>
      <c r="G9" s="115" t="n">
        <f aca="false">IF(D9="",0,IF(F9&lt;&gt;"",F9,IF(SUM($E$7:$E$156)&gt;0,N(E9)/SUM($E$7:$E$156),0)))</f>
        <v>0.012396694214876</v>
      </c>
      <c r="H9" s="182" t="n">
        <f aca="false">IF(D9="","",G9*'ตั้งค่า Setup'!$C$9)</f>
        <v>300000</v>
      </c>
      <c r="I9" s="24" t="n">
        <v>46244</v>
      </c>
      <c r="J9" s="24" t="n">
        <v>46265</v>
      </c>
      <c r="K9" s="117" t="n">
        <f aca="false">IF(OR(I9="",J9=""),"",J9-I9+1)</f>
        <v>22</v>
      </c>
      <c r="L9" s="24"/>
      <c r="M9" s="24"/>
      <c r="N9" s="24" t="n">
        <v>46262</v>
      </c>
      <c r="O9" s="24"/>
      <c r="P9" s="113" t="n">
        <v>0.8</v>
      </c>
      <c r="Q9" s="115" t="n">
        <f aca="false">IF(OR(D9="",I9="",J9=""),"",MAX(0,MIN(1,('ตั้งค่า Setup'!$C$15-I9+1)/(J9-I9+1))))</f>
        <v>1</v>
      </c>
      <c r="R9" s="115" t="n">
        <f aca="false">IF(OR(D9="",AA9=0),"",MAX(0,MIN(1,('ตั้งค่า Setup'!$C$15-AA9+1)/(AB9-AA9+1))))</f>
        <v>1</v>
      </c>
      <c r="S9" s="182" t="n">
        <f aca="false">IF(Q9="","",H9*Q9)</f>
        <v>300000</v>
      </c>
      <c r="T9" s="182" t="n">
        <f aca="false">IF(D9="","",H9*N(P9))</f>
        <v>240000</v>
      </c>
      <c r="U9" s="182" t="n">
        <f aca="false">IF(OR(S9="",T9=""),"",T9-S9)</f>
        <v>-60000</v>
      </c>
      <c r="V9" s="183" t="n">
        <f aca="false">IF(OR(S9="",T9=""),"",IF(S9=0,"",T9/S9))</f>
        <v>0.8</v>
      </c>
      <c r="W9" s="127" t="n">
        <f aca="false">IF(OR(D9="",AA9=0),"",IF(O9&lt;&gt;"",O9,IF(AND(N(P9)&gt;0,N9&lt;&gt;""),N9+ROUND((MAX('ตั้งค่า Setup'!$C$15,N9)-N9+1)/P9,0)-1,MAX(AB9,'ตั้งค่า Setup'!$C$15+AB9-AA9))))</f>
        <v>46301</v>
      </c>
      <c r="X9" s="184" t="n">
        <f aca="false">IF(OR(W9="",J9=""),"",W9-J9)</f>
        <v>36</v>
      </c>
      <c r="Y9" s="117" t="str">
        <f aca="false">IF(OR(D9="",I9="",J9=""),"",IF(O9&lt;&gt;"",IF(O9&lt;=J9,"เสร็จ / Completed","เสร็จช้า / Completed Late"),IF(AND(N9="",'ตั้งค่า Setup'!$C$15&lt;AA9),"ยังไม่ถึงกำหนด / Not Due",IF(N(P9)&gt;=Q9,"ตามแผน / On Track",IF('ตั้งค่า Setup'!$C$15&gt;J9,"เกินกำหนด / Overdue","ล่าช้า / Behind")))))</f>
        <v>เกินกำหนด / Overdue</v>
      </c>
      <c r="Z9" s="32" t="s">
        <v>753</v>
      </c>
      <c r="AA9" s="69" t="n">
        <f aca="false">IF(D9="",0,IF(L9&lt;&gt;"",L9,N(I9)))</f>
        <v>46244</v>
      </c>
      <c r="AB9" s="69" t="n">
        <f aca="false">IF(D9="",0,IF(M9&lt;&gt;"",M9,N(J9)))</f>
        <v>46265</v>
      </c>
      <c r="AC9" s="185" t="n">
        <f aca="false">IF(AND(D9&lt;&gt;"",O9="",ISNUMBER(X9)),X9+(1000-ROW())/1000000,"")</f>
        <v>36.000991</v>
      </c>
      <c r="AD9" s="185" t="n">
        <f aca="false">IF(AND(D9&lt;&gt;"",O9="",AA9&gt;0,AA9&lt;='ตั้งค่า Setup'!$C$15+'ตั้งค่า Setup'!$C$20),1,0)</f>
        <v>1</v>
      </c>
      <c r="AE9" s="185" t="n">
        <f aca="false">IF(AD9=1,SUM(AD$7:AD9),"")</f>
        <v>1</v>
      </c>
    </row>
    <row r="10" customFormat="false" ht="25.35" hidden="false" customHeight="false" outlineLevel="0" collapsed="false">
      <c r="A10" s="181" t="str">
        <f aca="false">IF(OR(B10="",C10="",D10=""),"",IFERROR(MATCH(B10,'ตั้งค่า Setup'!$C$26:$C$65,0)&amp;"."&amp;MATCH(C10,'ตั้งค่า Setup'!$C$68:$C$107,0)&amp;"."&amp;TEXT(COUNTIFS(B$7:B10,B10,C$7:C10,C10),"00"),"?"))</f>
        <v>2.3.01</v>
      </c>
      <c r="B10" s="32" t="s">
        <v>198</v>
      </c>
      <c r="C10" s="32" t="s">
        <v>248</v>
      </c>
      <c r="D10" s="32" t="s">
        <v>754</v>
      </c>
      <c r="E10" s="23" t="n">
        <v>1800000</v>
      </c>
      <c r="F10" s="113"/>
      <c r="G10" s="115" t="n">
        <f aca="false">IF(D10="",0,IF(F10&lt;&gt;"",F10,IF(SUM($E$7:$E$156)&gt;0,N(E10)/SUM($E$7:$E$156),0)))</f>
        <v>0.0743801652892562</v>
      </c>
      <c r="H10" s="182" t="n">
        <f aca="false">IF(D10="","",G10*'ตั้งค่า Setup'!$C$9)</f>
        <v>1800000</v>
      </c>
      <c r="I10" s="24" t="n">
        <v>46266</v>
      </c>
      <c r="J10" s="24" t="n">
        <v>46310</v>
      </c>
      <c r="K10" s="117" t="n">
        <f aca="false">IF(OR(I10="",J10=""),"",J10-I10+1)</f>
        <v>45</v>
      </c>
      <c r="L10" s="24"/>
      <c r="M10" s="24"/>
      <c r="N10" s="24" t="n">
        <v>46273</v>
      </c>
      <c r="O10" s="24"/>
      <c r="P10" s="113" t="n">
        <v>0.35</v>
      </c>
      <c r="Q10" s="115" t="n">
        <f aca="false">IF(OR(D10="",I10="",J10=""),"",MAX(0,MIN(1,('ตั้งค่า Setup'!$C$15-I10+1)/(J10-I10+1))))</f>
        <v>0.622222222222222</v>
      </c>
      <c r="R10" s="115" t="n">
        <f aca="false">IF(OR(D10="",AA10=0),"",MAX(0,MIN(1,('ตั้งค่า Setup'!$C$15-AA10+1)/(AB10-AA10+1))))</f>
        <v>0.622222222222222</v>
      </c>
      <c r="S10" s="182" t="n">
        <f aca="false">IF(Q10="","",H10*Q10)</f>
        <v>1120000</v>
      </c>
      <c r="T10" s="182" t="n">
        <f aca="false">IF(D10="","",H10*N(P10))</f>
        <v>630000</v>
      </c>
      <c r="U10" s="182" t="n">
        <f aca="false">IF(OR(S10="",T10=""),"",T10-S10)</f>
        <v>-490000</v>
      </c>
      <c r="V10" s="183" t="n">
        <f aca="false">IF(OR(S10="",T10=""),"",IF(S10=0,"",T10/S10))</f>
        <v>0.5625</v>
      </c>
      <c r="W10" s="127" t="n">
        <f aca="false">IF(OR(D10="",AA10=0),"",IF(O10&lt;&gt;"",O10,IF(AND(N(P10)&gt;0,N10&lt;&gt;""),N10+ROUND((MAX('ตั้งค่า Setup'!$C$15,N10)-N10+1)/P10,0)-1,MAX(AB10,'ตั้งค่า Setup'!$C$15+AB10-AA10))))</f>
        <v>46332</v>
      </c>
      <c r="X10" s="184" t="n">
        <f aca="false">IF(OR(W10="",J10=""),"",W10-J10)</f>
        <v>22</v>
      </c>
      <c r="Y10" s="117" t="str">
        <f aca="false">IF(OR(D10="",I10="",J10=""),"",IF(O10&lt;&gt;"",IF(O10&lt;=J10,"เสร็จ / Completed","เสร็จช้า / Completed Late"),IF(AND(N10="",'ตั้งค่า Setup'!$C$15&lt;AA10),"ยังไม่ถึงกำหนด / Not Due",IF(N(P10)&gt;=Q10,"ตามแผน / On Track",IF('ตั้งค่า Setup'!$C$15&gt;J10,"เกินกำหนด / Overdue","ล่าช้า / Behind")))))</f>
        <v>ล่าช้า / Behind</v>
      </c>
      <c r="Z10" s="32"/>
      <c r="AA10" s="69" t="n">
        <f aca="false">IF(D10="",0,IF(L10&lt;&gt;"",L10,N(I10)))</f>
        <v>46266</v>
      </c>
      <c r="AB10" s="69" t="n">
        <f aca="false">IF(D10="",0,IF(M10&lt;&gt;"",M10,N(J10)))</f>
        <v>46310</v>
      </c>
      <c r="AC10" s="185" t="n">
        <f aca="false">IF(AND(D10&lt;&gt;"",O10="",ISNUMBER(X10)),X10+(1000-ROW())/1000000,"")</f>
        <v>22.00099</v>
      </c>
      <c r="AD10" s="185" t="n">
        <f aca="false">IF(AND(D10&lt;&gt;"",O10="",AA10&gt;0,AA10&lt;='ตั้งค่า Setup'!$C$15+'ตั้งค่า Setup'!$C$20),1,0)</f>
        <v>1</v>
      </c>
      <c r="AE10" s="185" t="n">
        <f aca="false">IF(AD10=1,SUM(AD$7:AD10),"")</f>
        <v>2</v>
      </c>
    </row>
    <row r="11" customFormat="false" ht="25.35" hidden="false" customHeight="false" outlineLevel="0" collapsed="false">
      <c r="A11" s="181" t="str">
        <f aca="false">IF(OR(B11="",C11="",D11=""),"",IFERROR(MATCH(B11,'ตั้งค่า Setup'!$C$26:$C$65,0)&amp;"."&amp;MATCH(C11,'ตั้งค่า Setup'!$C$68:$C$107,0)&amp;"."&amp;TEXT(COUNTIFS(B$7:B11,B11,C$7:C11,C11),"00"),"?"))</f>
        <v>2.3.02</v>
      </c>
      <c r="B11" s="32" t="s">
        <v>198</v>
      </c>
      <c r="C11" s="32" t="s">
        <v>248</v>
      </c>
      <c r="D11" s="32" t="s">
        <v>755</v>
      </c>
      <c r="E11" s="23" t="n">
        <v>1500000</v>
      </c>
      <c r="F11" s="113"/>
      <c r="G11" s="115" t="n">
        <f aca="false">IF(D11="",0,IF(F11&lt;&gt;"",F11,IF(SUM($E$7:$E$156)&gt;0,N(E11)/SUM($E$7:$E$156),0)))</f>
        <v>0.0619834710743802</v>
      </c>
      <c r="H11" s="182" t="n">
        <f aca="false">IF(D11="","",G11*'ตั้งค่า Setup'!$C$9)</f>
        <v>1500000</v>
      </c>
      <c r="I11" s="24" t="n">
        <v>46296</v>
      </c>
      <c r="J11" s="24" t="n">
        <v>46341</v>
      </c>
      <c r="K11" s="117" t="n">
        <f aca="false">IF(OR(I11="",J11=""),"",J11-I11+1)</f>
        <v>46</v>
      </c>
      <c r="L11" s="24"/>
      <c r="M11" s="24"/>
      <c r="N11" s="24"/>
      <c r="O11" s="24"/>
      <c r="P11" s="113"/>
      <c r="Q11" s="115" t="n">
        <f aca="false">IF(OR(D11="",I11="",J11=""),"",MAX(0,MIN(1,('ตั้งค่า Setup'!$C$15-I11+1)/(J11-I11+1))))</f>
        <v>0</v>
      </c>
      <c r="R11" s="115" t="n">
        <f aca="false">IF(OR(D11="",AA11=0),"",MAX(0,MIN(1,('ตั้งค่า Setup'!$C$15-AA11+1)/(AB11-AA11+1))))</f>
        <v>0</v>
      </c>
      <c r="S11" s="182" t="n">
        <f aca="false">IF(Q11="","",H11*Q11)</f>
        <v>0</v>
      </c>
      <c r="T11" s="182" t="n">
        <f aca="false">IF(D11="","",H11*N(P11))</f>
        <v>0</v>
      </c>
      <c r="U11" s="182" t="n">
        <f aca="false">IF(OR(S11="",T11=""),"",T11-S11)</f>
        <v>0</v>
      </c>
      <c r="V11" s="183" t="str">
        <f aca="false">IF(OR(S11="",T11=""),"",IF(S11=0,"",T11/S11))</f>
        <v/>
      </c>
      <c r="W11" s="127" t="n">
        <f aca="false">IF(OR(D11="",AA11=0),"",IF(O11&lt;&gt;"",O11,IF(AND(N(P11)&gt;0,N11&lt;&gt;""),N11+ROUND((MAX('ตั้งค่า Setup'!$C$15,N11)-N11+1)/P11,0)-1,MAX(AB11,'ตั้งค่า Setup'!$C$15+AB11-AA11))))</f>
        <v>46341</v>
      </c>
      <c r="X11" s="184" t="n">
        <f aca="false">IF(OR(W11="",J11=""),"",W11-J11)</f>
        <v>0</v>
      </c>
      <c r="Y11" s="117" t="str">
        <f aca="false">IF(OR(D11="",I11="",J11=""),"",IF(O11&lt;&gt;"",IF(O11&lt;=J11,"เสร็จ / Completed","เสร็จช้า / Completed Late"),IF(AND(N11="",'ตั้งค่า Setup'!$C$15&lt;AA11),"ยังไม่ถึงกำหนด / Not Due",IF(N(P11)&gt;=Q11,"ตามแผน / On Track",IF('ตั้งค่า Setup'!$C$15&gt;J11,"เกินกำหนด / Overdue","ล่าช้า / Behind")))))</f>
        <v>ยังไม่ถึงกำหนด / Not Due</v>
      </c>
      <c r="Z11" s="32"/>
      <c r="AA11" s="69" t="n">
        <f aca="false">IF(D11="",0,IF(L11&lt;&gt;"",L11,N(I11)))</f>
        <v>46296</v>
      </c>
      <c r="AB11" s="69" t="n">
        <f aca="false">IF(D11="",0,IF(M11&lt;&gt;"",M11,N(J11)))</f>
        <v>46341</v>
      </c>
      <c r="AC11" s="185" t="n">
        <f aca="false">IF(AND(D11&lt;&gt;"",O11="",ISNUMBER(X11)),X11+(1000-ROW())/1000000,"")</f>
        <v>0.000989</v>
      </c>
      <c r="AD11" s="185" t="n">
        <f aca="false">IF(AND(D11&lt;&gt;"",O11="",AA11&gt;0,AA11&lt;='ตั้งค่า Setup'!$C$15+'ตั้งค่า Setup'!$C$20),1,0)</f>
        <v>1</v>
      </c>
      <c r="AE11" s="185" t="n">
        <f aca="false">IF(AD11=1,SUM(AD$7:AD11),"")</f>
        <v>3</v>
      </c>
    </row>
    <row r="12" customFormat="false" ht="25.35" hidden="false" customHeight="false" outlineLevel="0" collapsed="false">
      <c r="A12" s="181" t="str">
        <f aca="false">IF(OR(B12="",C12="",D12=""),"",IFERROR(MATCH(B12,'ตั้งค่า Setup'!$C$26:$C$65,0)&amp;"."&amp;MATCH(C12,'ตั้งค่า Setup'!$C$68:$C$107,0)&amp;"."&amp;TEXT(COUNTIFS(B$7:B12,B12,C$7:C12,C12),"00"),"?"))</f>
        <v>2.3.03</v>
      </c>
      <c r="B12" s="32" t="s">
        <v>198</v>
      </c>
      <c r="C12" s="32" t="s">
        <v>248</v>
      </c>
      <c r="D12" s="32" t="s">
        <v>756</v>
      </c>
      <c r="E12" s="23" t="n">
        <v>3200000</v>
      </c>
      <c r="F12" s="113"/>
      <c r="G12" s="115" t="n">
        <f aca="false">IF(D12="",0,IF(F12&lt;&gt;"",F12,IF(SUM($E$7:$E$156)&gt;0,N(E12)/SUM($E$7:$E$156),0)))</f>
        <v>0.132231404958678</v>
      </c>
      <c r="H12" s="182" t="n">
        <f aca="false">IF(D12="","",G12*'ตั้งค่า Setup'!$C$9)</f>
        <v>3200000</v>
      </c>
      <c r="I12" s="24" t="n">
        <v>46327</v>
      </c>
      <c r="J12" s="24" t="n">
        <v>46402</v>
      </c>
      <c r="K12" s="117" t="n">
        <f aca="false">IF(OR(I12="",J12=""),"",J12-I12+1)</f>
        <v>76</v>
      </c>
      <c r="L12" s="24"/>
      <c r="M12" s="24"/>
      <c r="N12" s="24"/>
      <c r="O12" s="24"/>
      <c r="P12" s="113"/>
      <c r="Q12" s="115" t="n">
        <f aca="false">IF(OR(D12="",I12="",J12=""),"",MAX(0,MIN(1,('ตั้งค่า Setup'!$C$15-I12+1)/(J12-I12+1))))</f>
        <v>0</v>
      </c>
      <c r="R12" s="115" t="n">
        <f aca="false">IF(OR(D12="",AA12=0),"",MAX(0,MIN(1,('ตั้งค่า Setup'!$C$15-AA12+1)/(AB12-AA12+1))))</f>
        <v>0</v>
      </c>
      <c r="S12" s="182" t="n">
        <f aca="false">IF(Q12="","",H12*Q12)</f>
        <v>0</v>
      </c>
      <c r="T12" s="182" t="n">
        <f aca="false">IF(D12="","",H12*N(P12))</f>
        <v>0</v>
      </c>
      <c r="U12" s="182" t="n">
        <f aca="false">IF(OR(S12="",T12=""),"",T12-S12)</f>
        <v>0</v>
      </c>
      <c r="V12" s="183" t="str">
        <f aca="false">IF(OR(S12="",T12=""),"",IF(S12=0,"",T12/S12))</f>
        <v/>
      </c>
      <c r="W12" s="127" t="n">
        <f aca="false">IF(OR(D12="",AA12=0),"",IF(O12&lt;&gt;"",O12,IF(AND(N(P12)&gt;0,N12&lt;&gt;""),N12+ROUND((MAX('ตั้งค่า Setup'!$C$15,N12)-N12+1)/P12,0)-1,MAX(AB12,'ตั้งค่า Setup'!$C$15+AB12-AA12))))</f>
        <v>46402</v>
      </c>
      <c r="X12" s="184" t="n">
        <f aca="false">IF(OR(W12="",J12=""),"",W12-J12)</f>
        <v>0</v>
      </c>
      <c r="Y12" s="117" t="str">
        <f aca="false">IF(OR(D12="",I12="",J12=""),"",IF(O12&lt;&gt;"",IF(O12&lt;=J12,"เสร็จ / Completed","เสร็จช้า / Completed Late"),IF(AND(N12="",'ตั้งค่า Setup'!$C$15&lt;AA12),"ยังไม่ถึงกำหนด / Not Due",IF(N(P12)&gt;=Q12,"ตามแผน / On Track",IF('ตั้งค่า Setup'!$C$15&gt;J12,"เกินกำหนด / Overdue","ล่าช้า / Behind")))))</f>
        <v>ยังไม่ถึงกำหนด / Not Due</v>
      </c>
      <c r="Z12" s="32"/>
      <c r="AA12" s="69" t="n">
        <f aca="false">IF(D12="",0,IF(L12&lt;&gt;"",L12,N(I12)))</f>
        <v>46327</v>
      </c>
      <c r="AB12" s="69" t="n">
        <f aca="false">IF(D12="",0,IF(M12&lt;&gt;"",M12,N(J12)))</f>
        <v>46402</v>
      </c>
      <c r="AC12" s="185" t="n">
        <f aca="false">IF(AND(D12&lt;&gt;"",O12="",ISNUMBER(X12)),X12+(1000-ROW())/1000000,"")</f>
        <v>0.000988</v>
      </c>
      <c r="AD12" s="185" t="n">
        <f aca="false">IF(AND(D12&lt;&gt;"",O12="",AA12&gt;0,AA12&lt;='ตั้งค่า Setup'!$C$15+'ตั้งค่า Setup'!$C$20),1,0)</f>
        <v>0</v>
      </c>
      <c r="AE12" s="185" t="str">
        <f aca="false">IF(AD12=1,SUM(AD$7:AD12),"")</f>
        <v/>
      </c>
    </row>
    <row r="13" customFormat="false" ht="25.35" hidden="false" customHeight="false" outlineLevel="0" collapsed="false">
      <c r="A13" s="181" t="str">
        <f aca="false">IF(OR(B13="",C13="",D13=""),"",IFERROR(MATCH(B13,'ตั้งค่า Setup'!$C$26:$C$65,0)&amp;"."&amp;MATCH(C13,'ตั้งค่า Setup'!$C$68:$C$107,0)&amp;"."&amp;TEXT(COUNTIFS(B$7:B13,B13,C$7:C13,C13),"00"),"?"))</f>
        <v>2.4.01</v>
      </c>
      <c r="B13" s="32" t="s">
        <v>198</v>
      </c>
      <c r="C13" s="32" t="s">
        <v>250</v>
      </c>
      <c r="D13" s="32" t="s">
        <v>757</v>
      </c>
      <c r="E13" s="23" t="n">
        <v>1100000</v>
      </c>
      <c r="F13" s="113"/>
      <c r="G13" s="115" t="n">
        <f aca="false">IF(D13="",0,IF(F13&lt;&gt;"",F13,IF(SUM($E$7:$E$156)&gt;0,N(E13)/SUM($E$7:$E$156),0)))</f>
        <v>0.0454545454545455</v>
      </c>
      <c r="H13" s="182" t="n">
        <f aca="false">IF(D13="","",G13*'ตั้งค่า Setup'!$C$9)</f>
        <v>1100000</v>
      </c>
      <c r="I13" s="24" t="n">
        <v>46388</v>
      </c>
      <c r="J13" s="24" t="n">
        <v>46428</v>
      </c>
      <c r="K13" s="117" t="n">
        <f aca="false">IF(OR(I13="",J13=""),"",J13-I13+1)</f>
        <v>41</v>
      </c>
      <c r="L13" s="24"/>
      <c r="M13" s="24"/>
      <c r="N13" s="24"/>
      <c r="O13" s="24"/>
      <c r="P13" s="113"/>
      <c r="Q13" s="115" t="n">
        <f aca="false">IF(OR(D13="",I13="",J13=""),"",MAX(0,MIN(1,('ตั้งค่า Setup'!$C$15-I13+1)/(J13-I13+1))))</f>
        <v>0</v>
      </c>
      <c r="R13" s="115" t="n">
        <f aca="false">IF(OR(D13="",AA13=0),"",MAX(0,MIN(1,('ตั้งค่า Setup'!$C$15-AA13+1)/(AB13-AA13+1))))</f>
        <v>0</v>
      </c>
      <c r="S13" s="182" t="n">
        <f aca="false">IF(Q13="","",H13*Q13)</f>
        <v>0</v>
      </c>
      <c r="T13" s="182" t="n">
        <f aca="false">IF(D13="","",H13*N(P13))</f>
        <v>0</v>
      </c>
      <c r="U13" s="182" t="n">
        <f aca="false">IF(OR(S13="",T13=""),"",T13-S13)</f>
        <v>0</v>
      </c>
      <c r="V13" s="183" t="str">
        <f aca="false">IF(OR(S13="",T13=""),"",IF(S13=0,"",T13/S13))</f>
        <v/>
      </c>
      <c r="W13" s="127" t="n">
        <f aca="false">IF(OR(D13="",AA13=0),"",IF(O13&lt;&gt;"",O13,IF(AND(N(P13)&gt;0,N13&lt;&gt;""),N13+ROUND((MAX('ตั้งค่า Setup'!$C$15,N13)-N13+1)/P13,0)-1,MAX(AB13,'ตั้งค่า Setup'!$C$15+AB13-AA13))))</f>
        <v>46428</v>
      </c>
      <c r="X13" s="184" t="n">
        <f aca="false">IF(OR(W13="",J13=""),"",W13-J13)</f>
        <v>0</v>
      </c>
      <c r="Y13" s="117" t="str">
        <f aca="false">IF(OR(D13="",I13="",J13=""),"",IF(O13&lt;&gt;"",IF(O13&lt;=J13,"เสร็จ / Completed","เสร็จช้า / Completed Late"),IF(AND(N13="",'ตั้งค่า Setup'!$C$15&lt;AA13),"ยังไม่ถึงกำหนด / Not Due",IF(N(P13)&gt;=Q13,"ตามแผน / On Track",IF('ตั้งค่า Setup'!$C$15&gt;J13,"เกินกำหนด / Overdue","ล่าช้า / Behind")))))</f>
        <v>ยังไม่ถึงกำหนด / Not Due</v>
      </c>
      <c r="Z13" s="32"/>
      <c r="AA13" s="69" t="n">
        <f aca="false">IF(D13="",0,IF(L13&lt;&gt;"",L13,N(I13)))</f>
        <v>46388</v>
      </c>
      <c r="AB13" s="69" t="n">
        <f aca="false">IF(D13="",0,IF(M13&lt;&gt;"",M13,N(J13)))</f>
        <v>46428</v>
      </c>
      <c r="AC13" s="185" t="n">
        <f aca="false">IF(AND(D13&lt;&gt;"",O13="",ISNUMBER(X13)),X13+(1000-ROW())/1000000,"")</f>
        <v>0.000987</v>
      </c>
      <c r="AD13" s="185" t="n">
        <f aca="false">IF(AND(D13&lt;&gt;"",O13="",AA13&gt;0,AA13&lt;='ตั้งค่า Setup'!$C$15+'ตั้งค่า Setup'!$C$20),1,0)</f>
        <v>0</v>
      </c>
      <c r="AE13" s="185" t="str">
        <f aca="false">IF(AD13=1,SUM(AD$7:AD13),"")</f>
        <v/>
      </c>
    </row>
    <row r="14" customFormat="false" ht="25.35" hidden="false" customHeight="false" outlineLevel="0" collapsed="false">
      <c r="A14" s="181" t="str">
        <f aca="false">IF(OR(B14="",C14="",D14=""),"",IFERROR(MATCH(B14,'ตั้งค่า Setup'!$C$26:$C$65,0)&amp;"."&amp;MATCH(C14,'ตั้งค่า Setup'!$C$68:$C$107,0)&amp;"."&amp;TEXT(COUNTIFS(B$7:B14,B14,C$7:C14,C14),"00"),"?"))</f>
        <v>2.4.02</v>
      </c>
      <c r="B14" s="32" t="s">
        <v>198</v>
      </c>
      <c r="C14" s="32" t="s">
        <v>250</v>
      </c>
      <c r="D14" s="32" t="s">
        <v>758</v>
      </c>
      <c r="E14" s="23" t="n">
        <v>1600000</v>
      </c>
      <c r="F14" s="113"/>
      <c r="G14" s="115" t="n">
        <f aca="false">IF(D14="",0,IF(F14&lt;&gt;"",F14,IF(SUM($E$7:$E$156)&gt;0,N(E14)/SUM($E$7:$E$156),0)))</f>
        <v>0.0661157024793388</v>
      </c>
      <c r="H14" s="182" t="n">
        <f aca="false">IF(D14="","",G14*'ตั้งค่า Setup'!$C$9)</f>
        <v>1600000</v>
      </c>
      <c r="I14" s="24" t="n">
        <v>46371</v>
      </c>
      <c r="J14" s="24" t="n">
        <v>46446</v>
      </c>
      <c r="K14" s="117" t="n">
        <f aca="false">IF(OR(I14="",J14=""),"",J14-I14+1)</f>
        <v>76</v>
      </c>
      <c r="L14" s="24"/>
      <c r="M14" s="24"/>
      <c r="N14" s="24"/>
      <c r="O14" s="24"/>
      <c r="P14" s="113"/>
      <c r="Q14" s="115" t="n">
        <f aca="false">IF(OR(D14="",I14="",J14=""),"",MAX(0,MIN(1,('ตั้งค่า Setup'!$C$15-I14+1)/(J14-I14+1))))</f>
        <v>0</v>
      </c>
      <c r="R14" s="115" t="n">
        <f aca="false">IF(OR(D14="",AA14=0),"",MAX(0,MIN(1,('ตั้งค่า Setup'!$C$15-AA14+1)/(AB14-AA14+1))))</f>
        <v>0</v>
      </c>
      <c r="S14" s="182" t="n">
        <f aca="false">IF(Q14="","",H14*Q14)</f>
        <v>0</v>
      </c>
      <c r="T14" s="182" t="n">
        <f aca="false">IF(D14="","",H14*N(P14))</f>
        <v>0</v>
      </c>
      <c r="U14" s="182" t="n">
        <f aca="false">IF(OR(S14="",T14=""),"",T14-S14)</f>
        <v>0</v>
      </c>
      <c r="V14" s="183" t="str">
        <f aca="false">IF(OR(S14="",T14=""),"",IF(S14=0,"",T14/S14))</f>
        <v/>
      </c>
      <c r="W14" s="127" t="n">
        <f aca="false">IF(OR(D14="",AA14=0),"",IF(O14&lt;&gt;"",O14,IF(AND(N(P14)&gt;0,N14&lt;&gt;""),N14+ROUND((MAX('ตั้งค่า Setup'!$C$15,N14)-N14+1)/P14,0)-1,MAX(AB14,'ตั้งค่า Setup'!$C$15+AB14-AA14))))</f>
        <v>46446</v>
      </c>
      <c r="X14" s="184" t="n">
        <f aca="false">IF(OR(W14="",J14=""),"",W14-J14)</f>
        <v>0</v>
      </c>
      <c r="Y14" s="117" t="str">
        <f aca="false">IF(OR(D14="",I14="",J14=""),"",IF(O14&lt;&gt;"",IF(O14&lt;=J14,"เสร็จ / Completed","เสร็จช้า / Completed Late"),IF(AND(N14="",'ตั้งค่า Setup'!$C$15&lt;AA14),"ยังไม่ถึงกำหนด / Not Due",IF(N(P14)&gt;=Q14,"ตามแผน / On Track",IF('ตั้งค่า Setup'!$C$15&gt;J14,"เกินกำหนด / Overdue","ล่าช้า / Behind")))))</f>
        <v>ยังไม่ถึงกำหนด / Not Due</v>
      </c>
      <c r="Z14" s="32"/>
      <c r="AA14" s="69" t="n">
        <f aca="false">IF(D14="",0,IF(L14&lt;&gt;"",L14,N(I14)))</f>
        <v>46371</v>
      </c>
      <c r="AB14" s="69" t="n">
        <f aca="false">IF(D14="",0,IF(M14&lt;&gt;"",M14,N(J14)))</f>
        <v>46446</v>
      </c>
      <c r="AC14" s="185" t="n">
        <f aca="false">IF(AND(D14&lt;&gt;"",O14="",ISNUMBER(X14)),X14+(1000-ROW())/1000000,"")</f>
        <v>0.000986</v>
      </c>
      <c r="AD14" s="185" t="n">
        <f aca="false">IF(AND(D14&lt;&gt;"",O14="",AA14&gt;0,AA14&lt;='ตั้งค่า Setup'!$C$15+'ตั้งค่า Setup'!$C$20),1,0)</f>
        <v>0</v>
      </c>
      <c r="AE14" s="185" t="str">
        <f aca="false">IF(AD14=1,SUM(AD$7:AD14),"")</f>
        <v/>
      </c>
    </row>
    <row r="15" customFormat="false" ht="25.35" hidden="false" customHeight="false" outlineLevel="0" collapsed="false">
      <c r="A15" s="181" t="str">
        <f aca="false">IF(OR(B15="",C15="",D15=""),"",IFERROR(MATCH(B15,'ตั้งค่า Setup'!$C$26:$C$65,0)&amp;"."&amp;MATCH(C15,'ตั้งค่า Setup'!$C$68:$C$107,0)&amp;"."&amp;TEXT(COUNTIFS(B$7:B15,B15,C$7:C15,C15),"00"),"?"))</f>
        <v>2.4.03</v>
      </c>
      <c r="B15" s="32" t="s">
        <v>198</v>
      </c>
      <c r="C15" s="32" t="s">
        <v>250</v>
      </c>
      <c r="D15" s="32" t="s">
        <v>759</v>
      </c>
      <c r="E15" s="23" t="n">
        <v>2200000</v>
      </c>
      <c r="F15" s="113"/>
      <c r="G15" s="115" t="n">
        <f aca="false">IF(D15="",0,IF(F15&lt;&gt;"",F15,IF(SUM($E$7:$E$156)&gt;0,N(E15)/SUM($E$7:$E$156),0)))</f>
        <v>0.0909090909090909</v>
      </c>
      <c r="H15" s="182" t="n">
        <f aca="false">IF(D15="","",G15*'ตั้งค่า Setup'!$C$9)</f>
        <v>2200000</v>
      </c>
      <c r="I15" s="24" t="n">
        <v>46419</v>
      </c>
      <c r="J15" s="24" t="n">
        <v>46466</v>
      </c>
      <c r="K15" s="117" t="n">
        <f aca="false">IF(OR(I15="",J15=""),"",J15-I15+1)</f>
        <v>48</v>
      </c>
      <c r="L15" s="24"/>
      <c r="M15" s="24"/>
      <c r="N15" s="24"/>
      <c r="O15" s="24"/>
      <c r="P15" s="113"/>
      <c r="Q15" s="115" t="n">
        <f aca="false">IF(OR(D15="",I15="",J15=""),"",MAX(0,MIN(1,('ตั้งค่า Setup'!$C$15-I15+1)/(J15-I15+1))))</f>
        <v>0</v>
      </c>
      <c r="R15" s="115" t="n">
        <f aca="false">IF(OR(D15="",AA15=0),"",MAX(0,MIN(1,('ตั้งค่า Setup'!$C$15-AA15+1)/(AB15-AA15+1))))</f>
        <v>0</v>
      </c>
      <c r="S15" s="182" t="n">
        <f aca="false">IF(Q15="","",H15*Q15)</f>
        <v>0</v>
      </c>
      <c r="T15" s="182" t="n">
        <f aca="false">IF(D15="","",H15*N(P15))</f>
        <v>0</v>
      </c>
      <c r="U15" s="182" t="n">
        <f aca="false">IF(OR(S15="",T15=""),"",T15-S15)</f>
        <v>0</v>
      </c>
      <c r="V15" s="183" t="str">
        <f aca="false">IF(OR(S15="",T15=""),"",IF(S15=0,"",T15/S15))</f>
        <v/>
      </c>
      <c r="W15" s="127" t="n">
        <f aca="false">IF(OR(D15="",AA15=0),"",IF(O15&lt;&gt;"",O15,IF(AND(N(P15)&gt;0,N15&lt;&gt;""),N15+ROUND((MAX('ตั้งค่า Setup'!$C$15,N15)-N15+1)/P15,0)-1,MAX(AB15,'ตั้งค่า Setup'!$C$15+AB15-AA15))))</f>
        <v>46466</v>
      </c>
      <c r="X15" s="184" t="n">
        <f aca="false">IF(OR(W15="",J15=""),"",W15-J15)</f>
        <v>0</v>
      </c>
      <c r="Y15" s="117" t="str">
        <f aca="false">IF(OR(D15="",I15="",J15=""),"",IF(O15&lt;&gt;"",IF(O15&lt;=J15,"เสร็จ / Completed","เสร็จช้า / Completed Late"),IF(AND(N15="",'ตั้งค่า Setup'!$C$15&lt;AA15),"ยังไม่ถึงกำหนด / Not Due",IF(N(P15)&gt;=Q15,"ตามแผน / On Track",IF('ตั้งค่า Setup'!$C$15&gt;J15,"เกินกำหนด / Overdue","ล่าช้า / Behind")))))</f>
        <v>ยังไม่ถึงกำหนด / Not Due</v>
      </c>
      <c r="Z15" s="32"/>
      <c r="AA15" s="69" t="n">
        <f aca="false">IF(D15="",0,IF(L15&lt;&gt;"",L15,N(I15)))</f>
        <v>46419</v>
      </c>
      <c r="AB15" s="69" t="n">
        <f aca="false">IF(D15="",0,IF(M15&lt;&gt;"",M15,N(J15)))</f>
        <v>46466</v>
      </c>
      <c r="AC15" s="185" t="n">
        <f aca="false">IF(AND(D15&lt;&gt;"",O15="",ISNUMBER(X15)),X15+(1000-ROW())/1000000,"")</f>
        <v>0.000985</v>
      </c>
      <c r="AD15" s="185" t="n">
        <f aca="false">IF(AND(D15&lt;&gt;"",O15="",AA15&gt;0,AA15&lt;='ตั้งค่า Setup'!$C$15+'ตั้งค่า Setup'!$C$20),1,0)</f>
        <v>0</v>
      </c>
      <c r="AE15" s="185" t="str">
        <f aca="false">IF(AD15=1,SUM(AD$7:AD15),"")</f>
        <v/>
      </c>
    </row>
    <row r="16" customFormat="false" ht="15" hidden="false" customHeight="false" outlineLevel="0" collapsed="false">
      <c r="A16" s="181" t="str">
        <f aca="false">IF(OR(B16="",C16="",D16=""),"",IFERROR(MATCH(B16,'ตั้งค่า Setup'!$C$26:$C$65,0)&amp;"."&amp;MATCH(C16,'ตั้งค่า Setup'!$C$68:$C$107,0)&amp;"."&amp;TEXT(COUNTIFS(B$7:B16,B16,C$7:C16,C16),"00"),"?"))</f>
        <v>2.5.01</v>
      </c>
      <c r="B16" s="32" t="s">
        <v>198</v>
      </c>
      <c r="C16" s="32" t="s">
        <v>252</v>
      </c>
      <c r="D16" s="32" t="s">
        <v>760</v>
      </c>
      <c r="E16" s="23" t="n">
        <v>1500000</v>
      </c>
      <c r="F16" s="113"/>
      <c r="G16" s="115" t="n">
        <f aca="false">IF(D16="",0,IF(F16&lt;&gt;"",F16,IF(SUM($E$7:$E$156)&gt;0,N(E16)/SUM($E$7:$E$156),0)))</f>
        <v>0.0619834710743802</v>
      </c>
      <c r="H16" s="182" t="n">
        <f aca="false">IF(D16="","",G16*'ตั้งค่า Setup'!$C$9)</f>
        <v>1500000</v>
      </c>
      <c r="I16" s="24" t="n">
        <v>46357</v>
      </c>
      <c r="J16" s="24" t="n">
        <v>46461</v>
      </c>
      <c r="K16" s="117" t="n">
        <f aca="false">IF(OR(I16="",J16=""),"",J16-I16+1)</f>
        <v>105</v>
      </c>
      <c r="L16" s="24"/>
      <c r="M16" s="24"/>
      <c r="N16" s="24"/>
      <c r="O16" s="24"/>
      <c r="P16" s="113"/>
      <c r="Q16" s="115" t="n">
        <f aca="false">IF(OR(D16="",I16="",J16=""),"",MAX(0,MIN(1,('ตั้งค่า Setup'!$C$15-I16+1)/(J16-I16+1))))</f>
        <v>0</v>
      </c>
      <c r="R16" s="115" t="n">
        <f aca="false">IF(OR(D16="",AA16=0),"",MAX(0,MIN(1,('ตั้งค่า Setup'!$C$15-AA16+1)/(AB16-AA16+1))))</f>
        <v>0</v>
      </c>
      <c r="S16" s="182" t="n">
        <f aca="false">IF(Q16="","",H16*Q16)</f>
        <v>0</v>
      </c>
      <c r="T16" s="182" t="n">
        <f aca="false">IF(D16="","",H16*N(P16))</f>
        <v>0</v>
      </c>
      <c r="U16" s="182" t="n">
        <f aca="false">IF(OR(S16="",T16=""),"",T16-S16)</f>
        <v>0</v>
      </c>
      <c r="V16" s="183" t="str">
        <f aca="false">IF(OR(S16="",T16=""),"",IF(S16=0,"",T16/S16))</f>
        <v/>
      </c>
      <c r="W16" s="127" t="n">
        <f aca="false">IF(OR(D16="",AA16=0),"",IF(O16&lt;&gt;"",O16,IF(AND(N(P16)&gt;0,N16&lt;&gt;""),N16+ROUND((MAX('ตั้งค่า Setup'!$C$15,N16)-N16+1)/P16,0)-1,MAX(AB16,'ตั้งค่า Setup'!$C$15+AB16-AA16))))</f>
        <v>46461</v>
      </c>
      <c r="X16" s="184" t="n">
        <f aca="false">IF(OR(W16="",J16=""),"",W16-J16)</f>
        <v>0</v>
      </c>
      <c r="Y16" s="117" t="str">
        <f aca="false">IF(OR(D16="",I16="",J16=""),"",IF(O16&lt;&gt;"",IF(O16&lt;=J16,"เสร็จ / Completed","เสร็จช้า / Completed Late"),IF(AND(N16="",'ตั้งค่า Setup'!$C$15&lt;AA16),"ยังไม่ถึงกำหนด / Not Due",IF(N(P16)&gt;=Q16,"ตามแผน / On Track",IF('ตั้งค่า Setup'!$C$15&gt;J16,"เกินกำหนด / Overdue","ล่าช้า / Behind")))))</f>
        <v>ยังไม่ถึงกำหนด / Not Due</v>
      </c>
      <c r="Z16" s="32"/>
      <c r="AA16" s="69" t="n">
        <f aca="false">IF(D16="",0,IF(L16&lt;&gt;"",L16,N(I16)))</f>
        <v>46357</v>
      </c>
      <c r="AB16" s="69" t="n">
        <f aca="false">IF(D16="",0,IF(M16&lt;&gt;"",M16,N(J16)))</f>
        <v>46461</v>
      </c>
      <c r="AC16" s="185" t="n">
        <f aca="false">IF(AND(D16&lt;&gt;"",O16="",ISNUMBER(X16)),X16+(1000-ROW())/1000000,"")</f>
        <v>0.000984</v>
      </c>
      <c r="AD16" s="185" t="n">
        <f aca="false">IF(AND(D16&lt;&gt;"",O16="",AA16&gt;0,AA16&lt;='ตั้งค่า Setup'!$C$15+'ตั้งค่า Setup'!$C$20),1,0)</f>
        <v>0</v>
      </c>
      <c r="AE16" s="185" t="str">
        <f aca="false">IF(AD16=1,SUM(AD$7:AD16),"")</f>
        <v/>
      </c>
    </row>
    <row r="17" customFormat="false" ht="15" hidden="false" customHeight="false" outlineLevel="0" collapsed="false">
      <c r="A17" s="181" t="str">
        <f aca="false">IF(OR(B17="",C17="",D17=""),"",IFERROR(MATCH(B17,'ตั้งค่า Setup'!$C$26:$C$65,0)&amp;"."&amp;MATCH(C17,'ตั้งค่า Setup'!$C$68:$C$107,0)&amp;"."&amp;TEXT(COUNTIFS(B$7:B17,B17,C$7:C17,C17),"00"),"?"))</f>
        <v>2.5.02</v>
      </c>
      <c r="B17" s="32" t="s">
        <v>198</v>
      </c>
      <c r="C17" s="32" t="s">
        <v>252</v>
      </c>
      <c r="D17" s="32" t="s">
        <v>761</v>
      </c>
      <c r="E17" s="23" t="n">
        <v>300000</v>
      </c>
      <c r="F17" s="113"/>
      <c r="G17" s="115" t="n">
        <f aca="false">IF(D17="",0,IF(F17&lt;&gt;"",F17,IF(SUM($E$7:$E$156)&gt;0,N(E17)/SUM($E$7:$E$156),0)))</f>
        <v>0.012396694214876</v>
      </c>
      <c r="H17" s="182" t="n">
        <f aca="false">IF(D17="","",G17*'ตั้งค่า Setup'!$C$9)</f>
        <v>300000</v>
      </c>
      <c r="I17" s="24" t="n">
        <v>46456</v>
      </c>
      <c r="J17" s="24" t="n">
        <v>46473</v>
      </c>
      <c r="K17" s="117" t="n">
        <f aca="false">IF(OR(I17="",J17=""),"",J17-I17+1)</f>
        <v>18</v>
      </c>
      <c r="L17" s="24"/>
      <c r="M17" s="24"/>
      <c r="N17" s="24"/>
      <c r="O17" s="24"/>
      <c r="P17" s="113"/>
      <c r="Q17" s="115" t="n">
        <f aca="false">IF(OR(D17="",I17="",J17=""),"",MAX(0,MIN(1,('ตั้งค่า Setup'!$C$15-I17+1)/(J17-I17+1))))</f>
        <v>0</v>
      </c>
      <c r="R17" s="115" t="n">
        <f aca="false">IF(OR(D17="",AA17=0),"",MAX(0,MIN(1,('ตั้งค่า Setup'!$C$15-AA17+1)/(AB17-AA17+1))))</f>
        <v>0</v>
      </c>
      <c r="S17" s="182" t="n">
        <f aca="false">IF(Q17="","",H17*Q17)</f>
        <v>0</v>
      </c>
      <c r="T17" s="182" t="n">
        <f aca="false">IF(D17="","",H17*N(P17))</f>
        <v>0</v>
      </c>
      <c r="U17" s="182" t="n">
        <f aca="false">IF(OR(S17="",T17=""),"",T17-S17)</f>
        <v>0</v>
      </c>
      <c r="V17" s="183" t="str">
        <f aca="false">IF(OR(S17="",T17=""),"",IF(S17=0,"",T17/S17))</f>
        <v/>
      </c>
      <c r="W17" s="127" t="n">
        <f aca="false">IF(OR(D17="",AA17=0),"",IF(O17&lt;&gt;"",O17,IF(AND(N(P17)&gt;0,N17&lt;&gt;""),N17+ROUND((MAX('ตั้งค่า Setup'!$C$15,N17)-N17+1)/P17,0)-1,MAX(AB17,'ตั้งค่า Setup'!$C$15+AB17-AA17))))</f>
        <v>46473</v>
      </c>
      <c r="X17" s="184" t="n">
        <f aca="false">IF(OR(W17="",J17=""),"",W17-J17)</f>
        <v>0</v>
      </c>
      <c r="Y17" s="117" t="str">
        <f aca="false">IF(OR(D17="",I17="",J17=""),"",IF(O17&lt;&gt;"",IF(O17&lt;=J17,"เสร็จ / Completed","เสร็จช้า / Completed Late"),IF(AND(N17="",'ตั้งค่า Setup'!$C$15&lt;AA17),"ยังไม่ถึงกำหนด / Not Due",IF(N(P17)&gt;=Q17,"ตามแผน / On Track",IF('ตั้งค่า Setup'!$C$15&gt;J17,"เกินกำหนด / Overdue","ล่าช้า / Behind")))))</f>
        <v>ยังไม่ถึงกำหนด / Not Due</v>
      </c>
      <c r="Z17" s="32"/>
      <c r="AA17" s="69" t="n">
        <f aca="false">IF(D17="",0,IF(L17&lt;&gt;"",L17,N(I17)))</f>
        <v>46456</v>
      </c>
      <c r="AB17" s="69" t="n">
        <f aca="false">IF(D17="",0,IF(M17&lt;&gt;"",M17,N(J17)))</f>
        <v>46473</v>
      </c>
      <c r="AC17" s="185" t="n">
        <f aca="false">IF(AND(D17&lt;&gt;"",O17="",ISNUMBER(X17)),X17+(1000-ROW())/1000000,"")</f>
        <v>0.000983</v>
      </c>
      <c r="AD17" s="185" t="n">
        <f aca="false">IF(AND(D17&lt;&gt;"",O17="",AA17&gt;0,AA17&lt;='ตั้งค่า Setup'!$C$15+'ตั้งค่า Setup'!$C$20),1,0)</f>
        <v>0</v>
      </c>
      <c r="AE17" s="185" t="str">
        <f aca="false">IF(AD17=1,SUM(AD$7:AD17),"")</f>
        <v/>
      </c>
    </row>
    <row r="18" customFormat="false" ht="25.35" hidden="false" customHeight="false" outlineLevel="0" collapsed="false">
      <c r="A18" s="181" t="str">
        <f aca="false">IF(OR(B18="",C18="",D18=""),"",IFERROR(MATCH(B18,'ตั้งค่า Setup'!$C$26:$C$65,0)&amp;"."&amp;MATCH(C18,'ตั้งค่า Setup'!$C$68:$C$107,0)&amp;"."&amp;TEXT(COUNTIFS(B$7:B18,B18,C$7:C18,C18),"00"),"?"))</f>
        <v>3.3.01</v>
      </c>
      <c r="B18" s="32" t="s">
        <v>200</v>
      </c>
      <c r="C18" s="32" t="s">
        <v>248</v>
      </c>
      <c r="D18" s="32" t="s">
        <v>762</v>
      </c>
      <c r="E18" s="23" t="n">
        <v>1300000</v>
      </c>
      <c r="F18" s="113"/>
      <c r="G18" s="115" t="n">
        <f aca="false">IF(D18="",0,IF(F18&lt;&gt;"",F18,IF(SUM($E$7:$E$156)&gt;0,N(E18)/SUM($E$7:$E$156),0)))</f>
        <v>0.0537190082644628</v>
      </c>
      <c r="H18" s="182" t="n">
        <f aca="false">IF(D18="","",G18*'ตั้งค่า Setup'!$C$9)</f>
        <v>1300000</v>
      </c>
      <c r="I18" s="24" t="n">
        <v>46235</v>
      </c>
      <c r="J18" s="24" t="n">
        <v>46295</v>
      </c>
      <c r="K18" s="117" t="n">
        <f aca="false">IF(OR(I18="",J18=""),"",J18-I18+1)</f>
        <v>61</v>
      </c>
      <c r="L18" s="24"/>
      <c r="M18" s="24"/>
      <c r="N18" s="24" t="n">
        <v>46244</v>
      </c>
      <c r="O18" s="24"/>
      <c r="P18" s="113" t="n">
        <v>0.55</v>
      </c>
      <c r="Q18" s="115" t="n">
        <f aca="false">IF(OR(D18="",I18="",J18=""),"",MAX(0,MIN(1,('ตั้งค่า Setup'!$C$15-I18+1)/(J18-I18+1))))</f>
        <v>0.967213114754098</v>
      </c>
      <c r="R18" s="115" t="n">
        <f aca="false">IF(OR(D18="",AA18=0),"",MAX(0,MIN(1,('ตั้งค่า Setup'!$C$15-AA18+1)/(AB18-AA18+1))))</f>
        <v>0.967213114754098</v>
      </c>
      <c r="S18" s="182" t="n">
        <f aca="false">IF(Q18="","",H18*Q18)</f>
        <v>1257377.04918033</v>
      </c>
      <c r="T18" s="182" t="n">
        <f aca="false">IF(D18="","",H18*N(P18))</f>
        <v>715000</v>
      </c>
      <c r="U18" s="182" t="n">
        <f aca="false">IF(OR(S18="",T18=""),"",T18-S18)</f>
        <v>-542377.049180328</v>
      </c>
      <c r="V18" s="183" t="n">
        <f aca="false">IF(OR(S18="",T18=""),"",IF(S18=0,"",T18/S18))</f>
        <v>0.56864406779661</v>
      </c>
      <c r="W18" s="127" t="n">
        <f aca="false">IF(OR(D18="",AA18=0),"",IF(O18&lt;&gt;"",O18,IF(AND(N(P18)&gt;0,N18&lt;&gt;""),N18+ROUND((MAX('ตั้งค่า Setup'!$C$15,N18)-N18+1)/P18,0)-1,MAX(AB18,'ตั้งค่า Setup'!$C$15+AB18-AA18))))</f>
        <v>46334</v>
      </c>
      <c r="X18" s="184" t="n">
        <f aca="false">IF(OR(W18="",J18=""),"",W18-J18)</f>
        <v>39</v>
      </c>
      <c r="Y18" s="117" t="str">
        <f aca="false">IF(OR(D18="",I18="",J18=""),"",IF(O18&lt;&gt;"",IF(O18&lt;=J18,"เสร็จ / Completed","เสร็จช้า / Completed Late"),IF(AND(N18="",'ตั้งค่า Setup'!$C$15&lt;AA18),"ยังไม่ถึงกำหนด / Not Due",IF(N(P18)&gt;=Q18,"ตามแผน / On Track",IF('ตั้งค่า Setup'!$C$15&gt;J18,"เกินกำหนด / Overdue","ล่าช้า / Behind")))))</f>
        <v>ล่าช้า / Behind</v>
      </c>
      <c r="Z18" s="32"/>
      <c r="AA18" s="69" t="n">
        <f aca="false">IF(D18="",0,IF(L18&lt;&gt;"",L18,N(I18)))</f>
        <v>46235</v>
      </c>
      <c r="AB18" s="69" t="n">
        <f aca="false">IF(D18="",0,IF(M18&lt;&gt;"",M18,N(J18)))</f>
        <v>46295</v>
      </c>
      <c r="AC18" s="185" t="n">
        <f aca="false">IF(AND(D18&lt;&gt;"",O18="",ISNUMBER(X18)),X18+(1000-ROW())/1000000,"")</f>
        <v>39.000982</v>
      </c>
      <c r="AD18" s="185" t="n">
        <f aca="false">IF(AND(D18&lt;&gt;"",O18="",AA18&gt;0,AA18&lt;='ตั้งค่า Setup'!$C$15+'ตั้งค่า Setup'!$C$20),1,0)</f>
        <v>1</v>
      </c>
      <c r="AE18" s="185" t="n">
        <f aca="false">IF(AD18=1,SUM(AD$7:AD18),"")</f>
        <v>4</v>
      </c>
    </row>
    <row r="19" customFormat="false" ht="25.35" hidden="false" customHeight="false" outlineLevel="0" collapsed="false">
      <c r="A19" s="181" t="str">
        <f aca="false">IF(OR(B19="",C19="",D19=""),"",IFERROR(MATCH(B19,'ตั้งค่า Setup'!$C$26:$C$65,0)&amp;"."&amp;MATCH(C19,'ตั้งค่า Setup'!$C$68:$C$107,0)&amp;"."&amp;TEXT(COUNTIFS(B$7:B19,B19,C$7:C19,C19),"00"),"?"))</f>
        <v>3.3.02</v>
      </c>
      <c r="B19" s="32" t="s">
        <v>200</v>
      </c>
      <c r="C19" s="32" t="s">
        <v>248</v>
      </c>
      <c r="D19" s="32" t="s">
        <v>763</v>
      </c>
      <c r="E19" s="23" t="n">
        <v>600000</v>
      </c>
      <c r="F19" s="113"/>
      <c r="G19" s="115" t="n">
        <f aca="false">IF(D19="",0,IF(F19&lt;&gt;"",F19,IF(SUM($E$7:$E$156)&gt;0,N(E19)/SUM($E$7:$E$156),0)))</f>
        <v>0.0247933884297521</v>
      </c>
      <c r="H19" s="182" t="n">
        <f aca="false">IF(D19="","",G19*'ตั้งค่า Setup'!$C$9)</f>
        <v>600000</v>
      </c>
      <c r="I19" s="24" t="n">
        <v>46266</v>
      </c>
      <c r="J19" s="24" t="n">
        <v>46326</v>
      </c>
      <c r="K19" s="117" t="n">
        <f aca="false">IF(OR(I19="",J19=""),"",J19-I19+1)</f>
        <v>61</v>
      </c>
      <c r="L19" s="24"/>
      <c r="M19" s="24"/>
      <c r="N19" s="24"/>
      <c r="O19" s="24"/>
      <c r="P19" s="113"/>
      <c r="Q19" s="115" t="n">
        <f aca="false">IF(OR(D19="",I19="",J19=""),"",MAX(0,MIN(1,('ตั้งค่า Setup'!$C$15-I19+1)/(J19-I19+1))))</f>
        <v>0.459016393442623</v>
      </c>
      <c r="R19" s="115" t="n">
        <f aca="false">IF(OR(D19="",AA19=0),"",MAX(0,MIN(1,('ตั้งค่า Setup'!$C$15-AA19+1)/(AB19-AA19+1))))</f>
        <v>0.459016393442623</v>
      </c>
      <c r="S19" s="182" t="n">
        <f aca="false">IF(Q19="","",H19*Q19)</f>
        <v>275409.836065574</v>
      </c>
      <c r="T19" s="182" t="n">
        <f aca="false">IF(D19="","",H19*N(P19))</f>
        <v>0</v>
      </c>
      <c r="U19" s="182" t="n">
        <f aca="false">IF(OR(S19="",T19=""),"",T19-S19)</f>
        <v>-275409.836065574</v>
      </c>
      <c r="V19" s="183" t="n">
        <f aca="false">IF(OR(S19="",T19=""),"",IF(S19=0,"",T19/S19))</f>
        <v>0</v>
      </c>
      <c r="W19" s="127" t="n">
        <f aca="false">IF(OR(D19="",AA19=0),"",IF(O19&lt;&gt;"",O19,IF(AND(N(P19)&gt;0,N19&lt;&gt;""),N19+ROUND((MAX('ตั้งค่า Setup'!$C$15,N19)-N19+1)/P19,0)-1,MAX(AB19,'ตั้งค่า Setup'!$C$15+AB19-AA19))))</f>
        <v>46353</v>
      </c>
      <c r="X19" s="184" t="n">
        <f aca="false">IF(OR(W19="",J19=""),"",W19-J19)</f>
        <v>27</v>
      </c>
      <c r="Y19" s="117" t="str">
        <f aca="false">IF(OR(D19="",I19="",J19=""),"",IF(O19&lt;&gt;"",IF(O19&lt;=J19,"เสร็จ / Completed","เสร็จช้า / Completed Late"),IF(AND(N19="",'ตั้งค่า Setup'!$C$15&lt;AA19),"ยังไม่ถึงกำหนด / Not Due",IF(N(P19)&gt;=Q19,"ตามแผน / On Track",IF('ตั้งค่า Setup'!$C$15&gt;J19,"เกินกำหนด / Overdue","ล่าช้า / Behind")))))</f>
        <v>ล่าช้า / Behind</v>
      </c>
      <c r="Z19" s="32" t="s">
        <v>764</v>
      </c>
      <c r="AA19" s="69" t="n">
        <f aca="false">IF(D19="",0,IF(L19&lt;&gt;"",L19,N(I19)))</f>
        <v>46266</v>
      </c>
      <c r="AB19" s="69" t="n">
        <f aca="false">IF(D19="",0,IF(M19&lt;&gt;"",M19,N(J19)))</f>
        <v>46326</v>
      </c>
      <c r="AC19" s="185" t="n">
        <f aca="false">IF(AND(D19&lt;&gt;"",O19="",ISNUMBER(X19)),X19+(1000-ROW())/1000000,"")</f>
        <v>27.000981</v>
      </c>
      <c r="AD19" s="185" t="n">
        <f aca="false">IF(AND(D19&lt;&gt;"",O19="",AA19&gt;0,AA19&lt;='ตั้งค่า Setup'!$C$15+'ตั้งค่า Setup'!$C$20),1,0)</f>
        <v>1</v>
      </c>
      <c r="AE19" s="185" t="n">
        <f aca="false">IF(AD19=1,SUM(AD$7:AD19),"")</f>
        <v>5</v>
      </c>
    </row>
    <row r="20" customFormat="false" ht="25.35" hidden="false" customHeight="false" outlineLevel="0" collapsed="false">
      <c r="A20" s="181" t="str">
        <f aca="false">IF(OR(B20="",C20="",D20=""),"",IFERROR(MATCH(B20,'ตั้งค่า Setup'!$C$26:$C$65,0)&amp;"."&amp;MATCH(C20,'ตั้งค่า Setup'!$C$68:$C$107,0)&amp;"."&amp;TEXT(COUNTIFS(B$7:B20,B20,C$7:C20,C20),"00"),"?"))</f>
        <v>4.2.01</v>
      </c>
      <c r="B20" s="32" t="s">
        <v>202</v>
      </c>
      <c r="C20" s="32" t="s">
        <v>246</v>
      </c>
      <c r="D20" s="32" t="s">
        <v>765</v>
      </c>
      <c r="E20" s="23" t="n">
        <v>900000</v>
      </c>
      <c r="F20" s="113"/>
      <c r="G20" s="115" t="n">
        <f aca="false">IF(D20="",0,IF(F20&lt;&gt;"",F20,IF(SUM($E$7:$E$156)&gt;0,N(E20)/SUM($E$7:$E$156),0)))</f>
        <v>0.0371900826446281</v>
      </c>
      <c r="H20" s="182" t="n">
        <f aca="false">IF(D20="","",G20*'ตั้งค่า Setup'!$C$9)</f>
        <v>900000</v>
      </c>
      <c r="I20" s="24" t="n">
        <v>46296</v>
      </c>
      <c r="J20" s="24" t="n">
        <v>46341</v>
      </c>
      <c r="K20" s="117" t="n">
        <f aca="false">IF(OR(I20="",J20=""),"",J20-I20+1)</f>
        <v>46</v>
      </c>
      <c r="L20" s="24"/>
      <c r="M20" s="24"/>
      <c r="N20" s="24"/>
      <c r="O20" s="24"/>
      <c r="P20" s="113"/>
      <c r="Q20" s="115" t="n">
        <f aca="false">IF(OR(D20="",I20="",J20=""),"",MAX(0,MIN(1,('ตั้งค่า Setup'!$C$15-I20+1)/(J20-I20+1))))</f>
        <v>0</v>
      </c>
      <c r="R20" s="115" t="n">
        <f aca="false">IF(OR(D20="",AA20=0),"",MAX(0,MIN(1,('ตั้งค่า Setup'!$C$15-AA20+1)/(AB20-AA20+1))))</f>
        <v>0</v>
      </c>
      <c r="S20" s="182" t="n">
        <f aca="false">IF(Q20="","",H20*Q20)</f>
        <v>0</v>
      </c>
      <c r="T20" s="182" t="n">
        <f aca="false">IF(D20="","",H20*N(P20))</f>
        <v>0</v>
      </c>
      <c r="U20" s="182" t="n">
        <f aca="false">IF(OR(S20="",T20=""),"",T20-S20)</f>
        <v>0</v>
      </c>
      <c r="V20" s="183" t="str">
        <f aca="false">IF(OR(S20="",T20=""),"",IF(S20=0,"",T20/S20))</f>
        <v/>
      </c>
      <c r="W20" s="127" t="n">
        <f aca="false">IF(OR(D20="",AA20=0),"",IF(O20&lt;&gt;"",O20,IF(AND(N(P20)&gt;0,N20&lt;&gt;""),N20+ROUND((MAX('ตั้งค่า Setup'!$C$15,N20)-N20+1)/P20,0)-1,MAX(AB20,'ตั้งค่า Setup'!$C$15+AB20-AA20))))</f>
        <v>46341</v>
      </c>
      <c r="X20" s="184" t="n">
        <f aca="false">IF(OR(W20="",J20=""),"",W20-J20)</f>
        <v>0</v>
      </c>
      <c r="Y20" s="117" t="str">
        <f aca="false">IF(OR(D20="",I20="",J20=""),"",IF(O20&lt;&gt;"",IF(O20&lt;=J20,"เสร็จ / Completed","เสร็จช้า / Completed Late"),IF(AND(N20="",'ตั้งค่า Setup'!$C$15&lt;AA20),"ยังไม่ถึงกำหนด / Not Due",IF(N(P20)&gt;=Q20,"ตามแผน / On Track",IF('ตั้งค่า Setup'!$C$15&gt;J20,"เกินกำหนด / Overdue","ล่าช้า / Behind")))))</f>
        <v>ยังไม่ถึงกำหนด / Not Due</v>
      </c>
      <c r="Z20" s="32"/>
      <c r="AA20" s="69" t="n">
        <f aca="false">IF(D20="",0,IF(L20&lt;&gt;"",L20,N(I20)))</f>
        <v>46296</v>
      </c>
      <c r="AB20" s="69" t="n">
        <f aca="false">IF(D20="",0,IF(M20&lt;&gt;"",M20,N(J20)))</f>
        <v>46341</v>
      </c>
      <c r="AC20" s="185" t="n">
        <f aca="false">IF(AND(D20&lt;&gt;"",O20="",ISNUMBER(X20)),X20+(1000-ROW())/1000000,"")</f>
        <v>0.00098</v>
      </c>
      <c r="AD20" s="185" t="n">
        <f aca="false">IF(AND(D20&lt;&gt;"",O20="",AA20&gt;0,AA20&lt;='ตั้งค่า Setup'!$C$15+'ตั้งค่า Setup'!$C$20),1,0)</f>
        <v>1</v>
      </c>
      <c r="AE20" s="185" t="n">
        <f aca="false">IF(AD20=1,SUM(AD$7:AD20),"")</f>
        <v>6</v>
      </c>
    </row>
    <row r="21" customFormat="false" ht="25.35" hidden="false" customHeight="false" outlineLevel="0" collapsed="false">
      <c r="A21" s="181" t="str">
        <f aca="false">IF(OR(B21="",C21="",D21=""),"",IFERROR(MATCH(B21,'ตั้งค่า Setup'!$C$26:$C$65,0)&amp;"."&amp;MATCH(C21,'ตั้งค่า Setup'!$C$68:$C$107,0)&amp;"."&amp;TEXT(COUNTIFS(B$7:B21,B21,C$7:C21,C21),"00"),"?"))</f>
        <v>4.3.01</v>
      </c>
      <c r="B21" s="32" t="s">
        <v>202</v>
      </c>
      <c r="C21" s="32" t="s">
        <v>248</v>
      </c>
      <c r="D21" s="32" t="s">
        <v>766</v>
      </c>
      <c r="E21" s="23" t="n">
        <v>2100000</v>
      </c>
      <c r="F21" s="113"/>
      <c r="G21" s="115" t="n">
        <f aca="false">IF(D21="",0,IF(F21&lt;&gt;"",F21,IF(SUM($E$7:$E$156)&gt;0,N(E21)/SUM($E$7:$E$156),0)))</f>
        <v>0.0867768595041322</v>
      </c>
      <c r="H21" s="182" t="n">
        <f aca="false">IF(D21="","",G21*'ตั้งค่า Setup'!$C$9)</f>
        <v>2100000</v>
      </c>
      <c r="I21" s="24" t="n">
        <v>46336</v>
      </c>
      <c r="J21" s="24" t="n">
        <v>46402</v>
      </c>
      <c r="K21" s="117" t="n">
        <f aca="false">IF(OR(I21="",J21=""),"",J21-I21+1)</f>
        <v>67</v>
      </c>
      <c r="L21" s="24"/>
      <c r="M21" s="24"/>
      <c r="N21" s="24"/>
      <c r="O21" s="24"/>
      <c r="P21" s="113"/>
      <c r="Q21" s="115" t="n">
        <f aca="false">IF(OR(D21="",I21="",J21=""),"",MAX(0,MIN(1,('ตั้งค่า Setup'!$C$15-I21+1)/(J21-I21+1))))</f>
        <v>0</v>
      </c>
      <c r="R21" s="115" t="n">
        <f aca="false">IF(OR(D21="",AA21=0),"",MAX(0,MIN(1,('ตั้งค่า Setup'!$C$15-AA21+1)/(AB21-AA21+1))))</f>
        <v>0</v>
      </c>
      <c r="S21" s="182" t="n">
        <f aca="false">IF(Q21="","",H21*Q21)</f>
        <v>0</v>
      </c>
      <c r="T21" s="182" t="n">
        <f aca="false">IF(D21="","",H21*N(P21))</f>
        <v>0</v>
      </c>
      <c r="U21" s="182" t="n">
        <f aca="false">IF(OR(S21="",T21=""),"",T21-S21)</f>
        <v>0</v>
      </c>
      <c r="V21" s="183" t="str">
        <f aca="false">IF(OR(S21="",T21=""),"",IF(S21=0,"",T21/S21))</f>
        <v/>
      </c>
      <c r="W21" s="127" t="n">
        <f aca="false">IF(OR(D21="",AA21=0),"",IF(O21&lt;&gt;"",O21,IF(AND(N(P21)&gt;0,N21&lt;&gt;""),N21+ROUND((MAX('ตั้งค่า Setup'!$C$15,N21)-N21+1)/P21,0)-1,MAX(AB21,'ตั้งค่า Setup'!$C$15+AB21-AA21))))</f>
        <v>46402</v>
      </c>
      <c r="X21" s="184" t="n">
        <f aca="false">IF(OR(W21="",J21=""),"",W21-J21)</f>
        <v>0</v>
      </c>
      <c r="Y21" s="117" t="str">
        <f aca="false">IF(OR(D21="",I21="",J21=""),"",IF(O21&lt;&gt;"",IF(O21&lt;=J21,"เสร็จ / Completed","เสร็จช้า / Completed Late"),IF(AND(N21="",'ตั้งค่า Setup'!$C$15&lt;AA21),"ยังไม่ถึงกำหนด / Not Due",IF(N(P21)&gt;=Q21,"ตามแผน / On Track",IF('ตั้งค่า Setup'!$C$15&gt;J21,"เกินกำหนด / Overdue","ล่าช้า / Behind")))))</f>
        <v>ยังไม่ถึงกำหนด / Not Due</v>
      </c>
      <c r="Z21" s="32"/>
      <c r="AA21" s="69" t="n">
        <f aca="false">IF(D21="",0,IF(L21&lt;&gt;"",L21,N(I21)))</f>
        <v>46336</v>
      </c>
      <c r="AB21" s="69" t="n">
        <f aca="false">IF(D21="",0,IF(M21&lt;&gt;"",M21,N(J21)))</f>
        <v>46402</v>
      </c>
      <c r="AC21" s="185" t="n">
        <f aca="false">IF(AND(D21&lt;&gt;"",O21="",ISNUMBER(X21)),X21+(1000-ROW())/1000000,"")</f>
        <v>0.000979</v>
      </c>
      <c r="AD21" s="185" t="n">
        <f aca="false">IF(AND(D21&lt;&gt;"",O21="",AA21&gt;0,AA21&lt;='ตั้งค่า Setup'!$C$15+'ตั้งค่า Setup'!$C$20),1,0)</f>
        <v>0</v>
      </c>
      <c r="AE21" s="185" t="str">
        <f aca="false">IF(AD21=1,SUM(AD$7:AD21),"")</f>
        <v/>
      </c>
    </row>
    <row r="22" customFormat="false" ht="25.35" hidden="false" customHeight="false" outlineLevel="0" collapsed="false">
      <c r="A22" s="181" t="str">
        <f aca="false">IF(OR(B22="",C22="",D22=""),"",IFERROR(MATCH(B22,'ตั้งค่า Setup'!$C$26:$C$65,0)&amp;"."&amp;MATCH(C22,'ตั้งค่า Setup'!$C$68:$C$107,0)&amp;"."&amp;TEXT(COUNTIFS(B$7:B22,B22,C$7:C22,C22),"00"),"?"))</f>
        <v>4.6.01</v>
      </c>
      <c r="B22" s="32" t="s">
        <v>202</v>
      </c>
      <c r="C22" s="32" t="s">
        <v>254</v>
      </c>
      <c r="D22" s="32" t="s">
        <v>767</v>
      </c>
      <c r="E22" s="23" t="n">
        <v>250000</v>
      </c>
      <c r="F22" s="113"/>
      <c r="G22" s="115" t="n">
        <f aca="false">IF(D22="",0,IF(F22&lt;&gt;"",F22,IF(SUM($E$7:$E$156)&gt;0,N(E22)/SUM($E$7:$E$156),0)))</f>
        <v>0.0103305785123967</v>
      </c>
      <c r="H22" s="182" t="n">
        <f aca="false">IF(D22="","",G22*'ตั้งค่า Setup'!$C$9)</f>
        <v>250000</v>
      </c>
      <c r="I22" s="24" t="n">
        <v>46397</v>
      </c>
      <c r="J22" s="24" t="n">
        <v>46418</v>
      </c>
      <c r="K22" s="117" t="n">
        <f aca="false">IF(OR(I22="",J22=""),"",J22-I22+1)</f>
        <v>22</v>
      </c>
      <c r="L22" s="24"/>
      <c r="M22" s="24"/>
      <c r="N22" s="24"/>
      <c r="O22" s="24"/>
      <c r="P22" s="113"/>
      <c r="Q22" s="115" t="n">
        <f aca="false">IF(OR(D22="",I22="",J22=""),"",MAX(0,MIN(1,('ตั้งค่า Setup'!$C$15-I22+1)/(J22-I22+1))))</f>
        <v>0</v>
      </c>
      <c r="R22" s="115" t="n">
        <f aca="false">IF(OR(D22="",AA22=0),"",MAX(0,MIN(1,('ตั้งค่า Setup'!$C$15-AA22+1)/(AB22-AA22+1))))</f>
        <v>0</v>
      </c>
      <c r="S22" s="182" t="n">
        <f aca="false">IF(Q22="","",H22*Q22)</f>
        <v>0</v>
      </c>
      <c r="T22" s="182" t="n">
        <f aca="false">IF(D22="","",H22*N(P22))</f>
        <v>0</v>
      </c>
      <c r="U22" s="182" t="n">
        <f aca="false">IF(OR(S22="",T22=""),"",T22-S22)</f>
        <v>0</v>
      </c>
      <c r="V22" s="183" t="str">
        <f aca="false">IF(OR(S22="",T22=""),"",IF(S22=0,"",T22/S22))</f>
        <v/>
      </c>
      <c r="W22" s="127" t="n">
        <f aca="false">IF(OR(D22="",AA22=0),"",IF(O22&lt;&gt;"",O22,IF(AND(N(P22)&gt;0,N22&lt;&gt;""),N22+ROUND((MAX('ตั้งค่า Setup'!$C$15,N22)-N22+1)/P22,0)-1,MAX(AB22,'ตั้งค่า Setup'!$C$15+AB22-AA22))))</f>
        <v>46418</v>
      </c>
      <c r="X22" s="184" t="n">
        <f aca="false">IF(OR(W22="",J22=""),"",W22-J22)</f>
        <v>0</v>
      </c>
      <c r="Y22" s="117" t="str">
        <f aca="false">IF(OR(D22="",I22="",J22=""),"",IF(O22&lt;&gt;"",IF(O22&lt;=J22,"เสร็จ / Completed","เสร็จช้า / Completed Late"),IF(AND(N22="",'ตั้งค่า Setup'!$C$15&lt;AA22),"ยังไม่ถึงกำหนด / Not Due",IF(N(P22)&gt;=Q22,"ตามแผน / On Track",IF('ตั้งค่า Setup'!$C$15&gt;J22,"เกินกำหนด / Overdue","ล่าช้า / Behind")))))</f>
        <v>ยังไม่ถึงกำหนด / Not Due</v>
      </c>
      <c r="Z22" s="32"/>
      <c r="AA22" s="69" t="n">
        <f aca="false">IF(D22="",0,IF(L22&lt;&gt;"",L22,N(I22)))</f>
        <v>46397</v>
      </c>
      <c r="AB22" s="69" t="n">
        <f aca="false">IF(D22="",0,IF(M22&lt;&gt;"",M22,N(J22)))</f>
        <v>46418</v>
      </c>
      <c r="AC22" s="185" t="n">
        <f aca="false">IF(AND(D22&lt;&gt;"",O22="",ISNUMBER(X22)),X22+(1000-ROW())/1000000,"")</f>
        <v>0.000978</v>
      </c>
      <c r="AD22" s="185" t="n">
        <f aca="false">IF(AND(D22&lt;&gt;"",O22="",AA22&gt;0,AA22&lt;='ตั้งค่า Setup'!$C$15+'ตั้งค่า Setup'!$C$20),1,0)</f>
        <v>0</v>
      </c>
      <c r="AE22" s="185" t="str">
        <f aca="false">IF(AD22=1,SUM(AD$7:AD22),"")</f>
        <v/>
      </c>
    </row>
    <row r="23" customFormat="false" ht="25.35" hidden="false" customHeight="false" outlineLevel="0" collapsed="false">
      <c r="A23" s="181" t="str">
        <f aca="false">IF(OR(B23="",C23="",D23=""),"",IFERROR(MATCH(B23,'ตั้งค่า Setup'!$C$26:$C$65,0)&amp;"."&amp;MATCH(C23,'ตั้งค่า Setup'!$C$68:$C$107,0)&amp;"."&amp;TEXT(COUNTIFS(B$7:B23,B23,C$7:C23,C23),"00"),"?"))</f>
        <v>5.3.01</v>
      </c>
      <c r="B23" s="32" t="s">
        <v>204</v>
      </c>
      <c r="C23" s="32" t="s">
        <v>248</v>
      </c>
      <c r="D23" s="32" t="s">
        <v>768</v>
      </c>
      <c r="E23" s="23" t="n">
        <v>700000</v>
      </c>
      <c r="F23" s="113"/>
      <c r="G23" s="115" t="n">
        <f aca="false">IF(D23="",0,IF(F23&lt;&gt;"",F23,IF(SUM($E$7:$E$156)&gt;0,N(E23)/SUM($E$7:$E$156),0)))</f>
        <v>0.0289256198347107</v>
      </c>
      <c r="H23" s="182" t="n">
        <f aca="false">IF(D23="","",G23*'ตั้งค่า Setup'!$C$9)</f>
        <v>700000</v>
      </c>
      <c r="I23" s="24" t="n">
        <v>46266</v>
      </c>
      <c r="J23" s="24" t="n">
        <v>46310</v>
      </c>
      <c r="K23" s="117" t="n">
        <f aca="false">IF(OR(I23="",J23=""),"",J23-I23+1)</f>
        <v>45</v>
      </c>
      <c r="L23" s="24"/>
      <c r="M23" s="24"/>
      <c r="N23" s="24" t="n">
        <v>46277</v>
      </c>
      <c r="O23" s="24"/>
      <c r="P23" s="113" t="n">
        <v>0.3</v>
      </c>
      <c r="Q23" s="115" t="n">
        <f aca="false">IF(OR(D23="",I23="",J23=""),"",MAX(0,MIN(1,('ตั้งค่า Setup'!$C$15-I23+1)/(J23-I23+1))))</f>
        <v>0.622222222222222</v>
      </c>
      <c r="R23" s="115" t="n">
        <f aca="false">IF(OR(D23="",AA23=0),"",MAX(0,MIN(1,('ตั้งค่า Setup'!$C$15-AA23+1)/(AB23-AA23+1))))</f>
        <v>0.622222222222222</v>
      </c>
      <c r="S23" s="182" t="n">
        <f aca="false">IF(Q23="","",H23*Q23)</f>
        <v>435555.555555556</v>
      </c>
      <c r="T23" s="182" t="n">
        <f aca="false">IF(D23="","",H23*N(P23))</f>
        <v>210000</v>
      </c>
      <c r="U23" s="182" t="n">
        <f aca="false">IF(OR(S23="",T23=""),"",T23-S23)</f>
        <v>-225555.555555556</v>
      </c>
      <c r="V23" s="183" t="n">
        <f aca="false">IF(OR(S23="",T23=""),"",IF(S23=0,"",T23/S23))</f>
        <v>0.482142857142857</v>
      </c>
      <c r="W23" s="127" t="n">
        <f aca="false">IF(OR(D23="",AA23=0),"",IF(O23&lt;&gt;"",O23,IF(AND(N(P23)&gt;0,N23&lt;&gt;""),N23+ROUND((MAX('ตั้งค่า Setup'!$C$15,N23)-N23+1)/P23,0)-1,MAX(AB23,'ตั้งค่า Setup'!$C$15+AB23-AA23))))</f>
        <v>46333</v>
      </c>
      <c r="X23" s="184" t="n">
        <f aca="false">IF(OR(W23="",J23=""),"",W23-J23)</f>
        <v>23</v>
      </c>
      <c r="Y23" s="117" t="str">
        <f aca="false">IF(OR(D23="",I23="",J23=""),"",IF(O23&lt;&gt;"",IF(O23&lt;=J23,"เสร็จ / Completed","เสร็จช้า / Completed Late"),IF(AND(N23="",'ตั้งค่า Setup'!$C$15&lt;AA23),"ยังไม่ถึงกำหนด / Not Due",IF(N(P23)&gt;=Q23,"ตามแผน / On Track",IF('ตั้งค่า Setup'!$C$15&gt;J23,"เกินกำหนด / Overdue","ล่าช้า / Behind")))))</f>
        <v>ล่าช้า / Behind</v>
      </c>
      <c r="Z23" s="32"/>
      <c r="AA23" s="69" t="n">
        <f aca="false">IF(D23="",0,IF(L23&lt;&gt;"",L23,N(I23)))</f>
        <v>46266</v>
      </c>
      <c r="AB23" s="69" t="n">
        <f aca="false">IF(D23="",0,IF(M23&lt;&gt;"",M23,N(J23)))</f>
        <v>46310</v>
      </c>
      <c r="AC23" s="185" t="n">
        <f aca="false">IF(AND(D23&lt;&gt;"",O23="",ISNUMBER(X23)),X23+(1000-ROW())/1000000,"")</f>
        <v>23.000977</v>
      </c>
      <c r="AD23" s="185" t="n">
        <f aca="false">IF(AND(D23&lt;&gt;"",O23="",AA23&gt;0,AA23&lt;='ตั้งค่า Setup'!$C$15+'ตั้งค่า Setup'!$C$20),1,0)</f>
        <v>1</v>
      </c>
      <c r="AE23" s="185" t="n">
        <f aca="false">IF(AD23=1,SUM(AD$7:AD23),"")</f>
        <v>7</v>
      </c>
    </row>
    <row r="24" customFormat="false" ht="25.35" hidden="false" customHeight="false" outlineLevel="0" collapsed="false">
      <c r="A24" s="181" t="str">
        <f aca="false">IF(OR(B24="",C24="",D24=""),"",IFERROR(MATCH(B24,'ตั้งค่า Setup'!$C$26:$C$65,0)&amp;"."&amp;MATCH(C24,'ตั้งค่า Setup'!$C$68:$C$107,0)&amp;"."&amp;TEXT(COUNTIFS(B$7:B24,B24,C$7:C24,C24),"00"),"?"))</f>
        <v>5.4.01</v>
      </c>
      <c r="B24" s="32" t="s">
        <v>204</v>
      </c>
      <c r="C24" s="32" t="s">
        <v>250</v>
      </c>
      <c r="D24" s="32" t="s">
        <v>769</v>
      </c>
      <c r="E24" s="23" t="n">
        <v>900000</v>
      </c>
      <c r="F24" s="113"/>
      <c r="G24" s="115" t="n">
        <f aca="false">IF(D24="",0,IF(F24&lt;&gt;"",F24,IF(SUM($E$7:$E$156)&gt;0,N(E24)/SUM($E$7:$E$156),0)))</f>
        <v>0.0371900826446281</v>
      </c>
      <c r="H24" s="182" t="n">
        <f aca="false">IF(D24="","",G24*'ตั้งค่า Setup'!$C$9)</f>
        <v>900000</v>
      </c>
      <c r="I24" s="24" t="n">
        <v>46305</v>
      </c>
      <c r="J24" s="24" t="n">
        <v>46371</v>
      </c>
      <c r="K24" s="117" t="n">
        <f aca="false">IF(OR(I24="",J24=""),"",J24-I24+1)</f>
        <v>67</v>
      </c>
      <c r="L24" s="24"/>
      <c r="M24" s="24"/>
      <c r="N24" s="24"/>
      <c r="O24" s="24"/>
      <c r="P24" s="113"/>
      <c r="Q24" s="115" t="n">
        <f aca="false">IF(OR(D24="",I24="",J24=""),"",MAX(0,MIN(1,('ตั้งค่า Setup'!$C$15-I24+1)/(J24-I24+1))))</f>
        <v>0</v>
      </c>
      <c r="R24" s="115" t="n">
        <f aca="false">IF(OR(D24="",AA24=0),"",MAX(0,MIN(1,('ตั้งค่า Setup'!$C$15-AA24+1)/(AB24-AA24+1))))</f>
        <v>0</v>
      </c>
      <c r="S24" s="182" t="n">
        <f aca="false">IF(Q24="","",H24*Q24)</f>
        <v>0</v>
      </c>
      <c r="T24" s="182" t="n">
        <f aca="false">IF(D24="","",H24*N(P24))</f>
        <v>0</v>
      </c>
      <c r="U24" s="182" t="n">
        <f aca="false">IF(OR(S24="",T24=""),"",T24-S24)</f>
        <v>0</v>
      </c>
      <c r="V24" s="183" t="str">
        <f aca="false">IF(OR(S24="",T24=""),"",IF(S24=0,"",T24/S24))</f>
        <v/>
      </c>
      <c r="W24" s="127" t="n">
        <f aca="false">IF(OR(D24="",AA24=0),"",IF(O24&lt;&gt;"",O24,IF(AND(N(P24)&gt;0,N24&lt;&gt;""),N24+ROUND((MAX('ตั้งค่า Setup'!$C$15,N24)-N24+1)/P24,0)-1,MAX(AB24,'ตั้งค่า Setup'!$C$15+AB24-AA24))))</f>
        <v>46371</v>
      </c>
      <c r="X24" s="184" t="n">
        <f aca="false">IF(OR(W24="",J24=""),"",W24-J24)</f>
        <v>0</v>
      </c>
      <c r="Y24" s="117" t="str">
        <f aca="false">IF(OR(D24="",I24="",J24=""),"",IF(O24&lt;&gt;"",IF(O24&lt;=J24,"เสร็จ / Completed","เสร็จช้า / Completed Late"),IF(AND(N24="",'ตั้งค่า Setup'!$C$15&lt;AA24),"ยังไม่ถึงกำหนด / Not Due",IF(N(P24)&gt;=Q24,"ตามแผน / On Track",IF('ตั้งค่า Setup'!$C$15&gt;J24,"เกินกำหนด / Overdue","ล่าช้า / Behind")))))</f>
        <v>ยังไม่ถึงกำหนด / Not Due</v>
      </c>
      <c r="Z24" s="32"/>
      <c r="AA24" s="69" t="n">
        <f aca="false">IF(D24="",0,IF(L24&lt;&gt;"",L24,N(I24)))</f>
        <v>46305</v>
      </c>
      <c r="AB24" s="69" t="n">
        <f aca="false">IF(D24="",0,IF(M24&lt;&gt;"",M24,N(J24)))</f>
        <v>46371</v>
      </c>
      <c r="AC24" s="185" t="n">
        <f aca="false">IF(AND(D24&lt;&gt;"",O24="",ISNUMBER(X24)),X24+(1000-ROW())/1000000,"")</f>
        <v>0.000976</v>
      </c>
      <c r="AD24" s="185" t="n">
        <f aca="false">IF(AND(D24&lt;&gt;"",O24="",AA24&gt;0,AA24&lt;='ตั้งค่า Setup'!$C$15+'ตั้งค่า Setup'!$C$20),1,0)</f>
        <v>1</v>
      </c>
      <c r="AE24" s="185" t="n">
        <f aca="false">IF(AD24=1,SUM(AD$7:AD24),"")</f>
        <v>8</v>
      </c>
    </row>
    <row r="25" customFormat="false" ht="25.35" hidden="false" customHeight="false" outlineLevel="0" collapsed="false">
      <c r="A25" s="181" t="str">
        <f aca="false">IF(OR(B25="",C25="",D25=""),"",IFERROR(MATCH(B25,'ตั้งค่า Setup'!$C$26:$C$65,0)&amp;"."&amp;MATCH(C25,'ตั้งค่า Setup'!$C$68:$C$107,0)&amp;"."&amp;TEXT(COUNTIFS(B$7:B25,B25,C$7:C25,C25),"00"),"?"))</f>
        <v>6.3.01</v>
      </c>
      <c r="B25" s="32" t="s">
        <v>206</v>
      </c>
      <c r="C25" s="32" t="s">
        <v>248</v>
      </c>
      <c r="D25" s="32" t="s">
        <v>770</v>
      </c>
      <c r="E25" s="23" t="n">
        <v>450000</v>
      </c>
      <c r="F25" s="113"/>
      <c r="G25" s="115" t="n">
        <f aca="false">IF(D25="",0,IF(F25&lt;&gt;"",F25,IF(SUM($E$7:$E$156)&gt;0,N(E25)/SUM($E$7:$E$156),0)))</f>
        <v>0.0185950413223141</v>
      </c>
      <c r="H25" s="182" t="n">
        <f aca="false">IF(D25="","",G25*'ตั้งค่า Setup'!$C$9)</f>
        <v>450000</v>
      </c>
      <c r="I25" s="24" t="n">
        <v>46357</v>
      </c>
      <c r="J25" s="24" t="n">
        <v>46387</v>
      </c>
      <c r="K25" s="117" t="n">
        <f aca="false">IF(OR(I25="",J25=""),"",J25-I25+1)</f>
        <v>31</v>
      </c>
      <c r="L25" s="24"/>
      <c r="M25" s="24"/>
      <c r="N25" s="24"/>
      <c r="O25" s="24"/>
      <c r="P25" s="113"/>
      <c r="Q25" s="115" t="n">
        <f aca="false">IF(OR(D25="",I25="",J25=""),"",MAX(0,MIN(1,('ตั้งค่า Setup'!$C$15-I25+1)/(J25-I25+1))))</f>
        <v>0</v>
      </c>
      <c r="R25" s="115" t="n">
        <f aca="false">IF(OR(D25="",AA25=0),"",MAX(0,MIN(1,('ตั้งค่า Setup'!$C$15-AA25+1)/(AB25-AA25+1))))</f>
        <v>0</v>
      </c>
      <c r="S25" s="182" t="n">
        <f aca="false">IF(Q25="","",H25*Q25)</f>
        <v>0</v>
      </c>
      <c r="T25" s="182" t="n">
        <f aca="false">IF(D25="","",H25*N(P25))</f>
        <v>0</v>
      </c>
      <c r="U25" s="182" t="n">
        <f aca="false">IF(OR(S25="",T25=""),"",T25-S25)</f>
        <v>0</v>
      </c>
      <c r="V25" s="183" t="str">
        <f aca="false">IF(OR(S25="",T25=""),"",IF(S25=0,"",T25/S25))</f>
        <v/>
      </c>
      <c r="W25" s="127" t="n">
        <f aca="false">IF(OR(D25="",AA25=0),"",IF(O25&lt;&gt;"",O25,IF(AND(N(P25)&gt;0,N25&lt;&gt;""),N25+ROUND((MAX('ตั้งค่า Setup'!$C$15,N25)-N25+1)/P25,0)-1,MAX(AB25,'ตั้งค่า Setup'!$C$15+AB25-AA25))))</f>
        <v>46387</v>
      </c>
      <c r="X25" s="184" t="n">
        <f aca="false">IF(OR(W25="",J25=""),"",W25-J25)</f>
        <v>0</v>
      </c>
      <c r="Y25" s="117" t="str">
        <f aca="false">IF(OR(D25="",I25="",J25=""),"",IF(O25&lt;&gt;"",IF(O25&lt;=J25,"เสร็จ / Completed","เสร็จช้า / Completed Late"),IF(AND(N25="",'ตั้งค่า Setup'!$C$15&lt;AA25),"ยังไม่ถึงกำหนด / Not Due",IF(N(P25)&gt;=Q25,"ตามแผน / On Track",IF('ตั้งค่า Setup'!$C$15&gt;J25,"เกินกำหนด / Overdue","ล่าช้า / Behind")))))</f>
        <v>ยังไม่ถึงกำหนด / Not Due</v>
      </c>
      <c r="Z25" s="32"/>
      <c r="AA25" s="69" t="n">
        <f aca="false">IF(D25="",0,IF(L25&lt;&gt;"",L25,N(I25)))</f>
        <v>46357</v>
      </c>
      <c r="AB25" s="69" t="n">
        <f aca="false">IF(D25="",0,IF(M25&lt;&gt;"",M25,N(J25)))</f>
        <v>46387</v>
      </c>
      <c r="AC25" s="185" t="n">
        <f aca="false">IF(AND(D25&lt;&gt;"",O25="",ISNUMBER(X25)),X25+(1000-ROW())/1000000,"")</f>
        <v>0.000975</v>
      </c>
      <c r="AD25" s="185" t="n">
        <f aca="false">IF(AND(D25&lt;&gt;"",O25="",AA25&gt;0,AA25&lt;='ตั้งค่า Setup'!$C$15+'ตั้งค่า Setup'!$C$20),1,0)</f>
        <v>0</v>
      </c>
      <c r="AE25" s="185" t="str">
        <f aca="false">IF(AD25=1,SUM(AD$7:AD25),"")</f>
        <v/>
      </c>
    </row>
    <row r="26" customFormat="false" ht="25.35" hidden="false" customHeight="false" outlineLevel="0" collapsed="false">
      <c r="A26" s="181" t="str">
        <f aca="false">IF(OR(B26="",C26="",D26=""),"",IFERROR(MATCH(B26,'ตั้งค่า Setup'!$C$26:$C$65,0)&amp;"."&amp;MATCH(C26,'ตั้งค่า Setup'!$C$68:$C$107,0)&amp;"."&amp;TEXT(COUNTIFS(B$7:B26,B26,C$7:C26,C26),"00"),"?"))</f>
        <v>6.4.01</v>
      </c>
      <c r="B26" s="32" t="s">
        <v>206</v>
      </c>
      <c r="C26" s="32" t="s">
        <v>250</v>
      </c>
      <c r="D26" s="32" t="s">
        <v>771</v>
      </c>
      <c r="E26" s="23" t="n">
        <v>550000</v>
      </c>
      <c r="F26" s="113"/>
      <c r="G26" s="115" t="n">
        <f aca="false">IF(D26="",0,IF(F26&lt;&gt;"",F26,IF(SUM($E$7:$E$156)&gt;0,N(E26)/SUM($E$7:$E$156),0)))</f>
        <v>0.0227272727272727</v>
      </c>
      <c r="H26" s="182" t="n">
        <f aca="false">IF(D26="","",G26*'ตั้งค่า Setup'!$C$9)</f>
        <v>550000</v>
      </c>
      <c r="I26" s="24" t="n">
        <v>46388</v>
      </c>
      <c r="J26" s="24" t="n">
        <v>46433</v>
      </c>
      <c r="K26" s="117" t="n">
        <f aca="false">IF(OR(I26="",J26=""),"",J26-I26+1)</f>
        <v>46</v>
      </c>
      <c r="L26" s="24"/>
      <c r="M26" s="24"/>
      <c r="N26" s="24"/>
      <c r="O26" s="24"/>
      <c r="P26" s="113"/>
      <c r="Q26" s="115" t="n">
        <f aca="false">IF(OR(D26="",I26="",J26=""),"",MAX(0,MIN(1,('ตั้งค่า Setup'!$C$15-I26+1)/(J26-I26+1))))</f>
        <v>0</v>
      </c>
      <c r="R26" s="115" t="n">
        <f aca="false">IF(OR(D26="",AA26=0),"",MAX(0,MIN(1,('ตั้งค่า Setup'!$C$15-AA26+1)/(AB26-AA26+1))))</f>
        <v>0</v>
      </c>
      <c r="S26" s="182" t="n">
        <f aca="false">IF(Q26="","",H26*Q26)</f>
        <v>0</v>
      </c>
      <c r="T26" s="182" t="n">
        <f aca="false">IF(D26="","",H26*N(P26))</f>
        <v>0</v>
      </c>
      <c r="U26" s="182" t="n">
        <f aca="false">IF(OR(S26="",T26=""),"",T26-S26)</f>
        <v>0</v>
      </c>
      <c r="V26" s="183" t="str">
        <f aca="false">IF(OR(S26="",T26=""),"",IF(S26=0,"",T26/S26))</f>
        <v/>
      </c>
      <c r="W26" s="127" t="n">
        <f aca="false">IF(OR(D26="",AA26=0),"",IF(O26&lt;&gt;"",O26,IF(AND(N(P26)&gt;0,N26&lt;&gt;""),N26+ROUND((MAX('ตั้งค่า Setup'!$C$15,N26)-N26+1)/P26,0)-1,MAX(AB26,'ตั้งค่า Setup'!$C$15+AB26-AA26))))</f>
        <v>46433</v>
      </c>
      <c r="X26" s="184" t="n">
        <f aca="false">IF(OR(W26="",J26=""),"",W26-J26)</f>
        <v>0</v>
      </c>
      <c r="Y26" s="117" t="str">
        <f aca="false">IF(OR(D26="",I26="",J26=""),"",IF(O26&lt;&gt;"",IF(O26&lt;=J26,"เสร็จ / Completed","เสร็จช้า / Completed Late"),IF(AND(N26="",'ตั้งค่า Setup'!$C$15&lt;AA26),"ยังไม่ถึงกำหนด / Not Due",IF(N(P26)&gt;=Q26,"ตามแผน / On Track",IF('ตั้งค่า Setup'!$C$15&gt;J26,"เกินกำหนด / Overdue","ล่าช้า / Behind")))))</f>
        <v>ยังไม่ถึงกำหนด / Not Due</v>
      </c>
      <c r="Z26" s="32"/>
      <c r="AA26" s="69" t="n">
        <f aca="false">IF(D26="",0,IF(L26&lt;&gt;"",L26,N(I26)))</f>
        <v>46388</v>
      </c>
      <c r="AB26" s="69" t="n">
        <f aca="false">IF(D26="",0,IF(M26&lt;&gt;"",M26,N(J26)))</f>
        <v>46433</v>
      </c>
      <c r="AC26" s="185" t="n">
        <f aca="false">IF(AND(D26&lt;&gt;"",O26="",ISNUMBER(X26)),X26+(1000-ROW())/1000000,"")</f>
        <v>0.000974</v>
      </c>
      <c r="AD26" s="185" t="n">
        <f aca="false">IF(AND(D26&lt;&gt;"",O26="",AA26&gt;0,AA26&lt;='ตั้งค่า Setup'!$C$15+'ตั้งค่า Setup'!$C$20),1,0)</f>
        <v>0</v>
      </c>
      <c r="AE26" s="185" t="str">
        <f aca="false">IF(AD26=1,SUM(AD$7:AD26),"")</f>
        <v/>
      </c>
    </row>
    <row r="27" customFormat="false" ht="15" hidden="false" customHeight="false" outlineLevel="0" collapsed="false">
      <c r="A27" s="181" t="str">
        <f aca="false">IF(OR(B27="",C27="",D27=""),"",IFERROR(MATCH(B27,'ตั้งค่า Setup'!$C$26:$C$65,0)&amp;"."&amp;MATCH(C27,'ตั้งค่า Setup'!$C$68:$C$107,0)&amp;"."&amp;TEXT(COUNTIFS(B$7:B27,B27,C$7:C27,C27),"00"),"?"))</f>
        <v>6.5.01</v>
      </c>
      <c r="B27" s="32" t="s">
        <v>206</v>
      </c>
      <c r="C27" s="32" t="s">
        <v>252</v>
      </c>
      <c r="D27" s="32" t="s">
        <v>772</v>
      </c>
      <c r="E27" s="23" t="n">
        <v>200000</v>
      </c>
      <c r="F27" s="113"/>
      <c r="G27" s="115" t="n">
        <f aca="false">IF(D27="",0,IF(F27&lt;&gt;"",F27,IF(SUM($E$7:$E$156)&gt;0,N(E27)/SUM($E$7:$E$156),0)))</f>
        <v>0.00826446280991736</v>
      </c>
      <c r="H27" s="182" t="n">
        <f aca="false">IF(D27="","",G27*'ตั้งค่า Setup'!$C$9)</f>
        <v>200000</v>
      </c>
      <c r="I27" s="24" t="n">
        <v>46428</v>
      </c>
      <c r="J27" s="24" t="n">
        <v>46456</v>
      </c>
      <c r="K27" s="117" t="n">
        <f aca="false">IF(OR(I27="",J27=""),"",J27-I27+1)</f>
        <v>29</v>
      </c>
      <c r="L27" s="24"/>
      <c r="M27" s="24"/>
      <c r="N27" s="24"/>
      <c r="O27" s="24"/>
      <c r="P27" s="113"/>
      <c r="Q27" s="115" t="n">
        <f aca="false">IF(OR(D27="",I27="",J27=""),"",MAX(0,MIN(1,('ตั้งค่า Setup'!$C$15-I27+1)/(J27-I27+1))))</f>
        <v>0</v>
      </c>
      <c r="R27" s="115" t="n">
        <f aca="false">IF(OR(D27="",AA27=0),"",MAX(0,MIN(1,('ตั้งค่า Setup'!$C$15-AA27+1)/(AB27-AA27+1))))</f>
        <v>0</v>
      </c>
      <c r="S27" s="182" t="n">
        <f aca="false">IF(Q27="","",H27*Q27)</f>
        <v>0</v>
      </c>
      <c r="T27" s="182" t="n">
        <f aca="false">IF(D27="","",H27*N(P27))</f>
        <v>0</v>
      </c>
      <c r="U27" s="182" t="n">
        <f aca="false">IF(OR(S27="",T27=""),"",T27-S27)</f>
        <v>0</v>
      </c>
      <c r="V27" s="183" t="str">
        <f aca="false">IF(OR(S27="",T27=""),"",IF(S27=0,"",T27/S27))</f>
        <v/>
      </c>
      <c r="W27" s="127" t="n">
        <f aca="false">IF(OR(D27="",AA27=0),"",IF(O27&lt;&gt;"",O27,IF(AND(N(P27)&gt;0,N27&lt;&gt;""),N27+ROUND((MAX('ตั้งค่า Setup'!$C$15,N27)-N27+1)/P27,0)-1,MAX(AB27,'ตั้งค่า Setup'!$C$15+AB27-AA27))))</f>
        <v>46456</v>
      </c>
      <c r="X27" s="184" t="n">
        <f aca="false">IF(OR(W27="",J27=""),"",W27-J27)</f>
        <v>0</v>
      </c>
      <c r="Y27" s="117" t="str">
        <f aca="false">IF(OR(D27="",I27="",J27=""),"",IF(O27&lt;&gt;"",IF(O27&lt;=J27,"เสร็จ / Completed","เสร็จช้า / Completed Late"),IF(AND(N27="",'ตั้งค่า Setup'!$C$15&lt;AA27),"ยังไม่ถึงกำหนด / Not Due",IF(N(P27)&gt;=Q27,"ตามแผน / On Track",IF('ตั้งค่า Setup'!$C$15&gt;J27,"เกินกำหนด / Overdue","ล่าช้า / Behind")))))</f>
        <v>ยังไม่ถึงกำหนด / Not Due</v>
      </c>
      <c r="Z27" s="32"/>
      <c r="AA27" s="69" t="n">
        <f aca="false">IF(D27="",0,IF(L27&lt;&gt;"",L27,N(I27)))</f>
        <v>46428</v>
      </c>
      <c r="AB27" s="69" t="n">
        <f aca="false">IF(D27="",0,IF(M27&lt;&gt;"",M27,N(J27)))</f>
        <v>46456</v>
      </c>
      <c r="AC27" s="185" t="n">
        <f aca="false">IF(AND(D27&lt;&gt;"",O27="",ISNUMBER(X27)),X27+(1000-ROW())/1000000,"")</f>
        <v>0.000973</v>
      </c>
      <c r="AD27" s="185" t="n">
        <f aca="false">IF(AND(D27&lt;&gt;"",O27="",AA27&gt;0,AA27&lt;='ตั้งค่า Setup'!$C$15+'ตั้งค่า Setup'!$C$20),1,0)</f>
        <v>0</v>
      </c>
      <c r="AE27" s="185" t="str">
        <f aca="false">IF(AD27=1,SUM(AD$7:AD27),"")</f>
        <v/>
      </c>
    </row>
    <row r="28" customFormat="false" ht="15" hidden="false" customHeight="false" outlineLevel="0" collapsed="false">
      <c r="A28" s="181" t="str">
        <f aca="false">IF(OR(B28="",C28="",D28=""),"",IFERROR(MATCH(B28,'ตั้งค่า Setup'!$C$26:$C$65,0)&amp;"."&amp;MATCH(C28,'ตั้งค่า Setup'!$C$68:$C$107,0)&amp;"."&amp;TEXT(COUNTIFS(B$7:B28,B28,C$7:C28,C28),"00"),"?"))</f>
        <v/>
      </c>
      <c r="B28" s="32"/>
      <c r="C28" s="32"/>
      <c r="D28" s="32"/>
      <c r="E28" s="23"/>
      <c r="F28" s="113"/>
      <c r="G28" s="115" t="n">
        <f aca="false">IF(D28="",0,IF(F28&lt;&gt;"",F28,IF(SUM($E$7:$E$156)&gt;0,N(E28)/SUM($E$7:$E$156),0)))</f>
        <v>0</v>
      </c>
      <c r="H28" s="182" t="str">
        <f aca="false">IF(D28="","",G28*'ตั้งค่า Setup'!$C$9)</f>
        <v/>
      </c>
      <c r="I28" s="24"/>
      <c r="J28" s="24"/>
      <c r="K28" s="117" t="str">
        <f aca="false">IF(OR(I28="",J28=""),"",J28-I28+1)</f>
        <v/>
      </c>
      <c r="L28" s="24"/>
      <c r="M28" s="24"/>
      <c r="N28" s="24"/>
      <c r="O28" s="24"/>
      <c r="P28" s="113"/>
      <c r="Q28" s="115" t="str">
        <f aca="false">IF(OR(D28="",I28="",J28=""),"",MAX(0,MIN(1,('ตั้งค่า Setup'!$C$15-I28+1)/(J28-I28+1))))</f>
        <v/>
      </c>
      <c r="R28" s="115" t="str">
        <f aca="false">IF(OR(D28="",AA28=0),"",MAX(0,MIN(1,('ตั้งค่า Setup'!$C$15-AA28+1)/(AB28-AA28+1))))</f>
        <v/>
      </c>
      <c r="S28" s="182" t="str">
        <f aca="false">IF(Q28="","",H28*Q28)</f>
        <v/>
      </c>
      <c r="T28" s="182" t="str">
        <f aca="false">IF(D28="","",H28*N(P28))</f>
        <v/>
      </c>
      <c r="U28" s="182" t="str">
        <f aca="false">IF(OR(S28="",T28=""),"",T28-S28)</f>
        <v/>
      </c>
      <c r="V28" s="183" t="str">
        <f aca="false">IF(OR(S28="",T28=""),"",IF(S28=0,"",T28/S28))</f>
        <v/>
      </c>
      <c r="W28" s="127" t="str">
        <f aca="false">IF(OR(D28="",AA28=0),"",IF(O28&lt;&gt;"",O28,IF(AND(N(P28)&gt;0,N28&lt;&gt;""),N28+ROUND((MAX('ตั้งค่า Setup'!$C$15,N28)-N28+1)/P28,0)-1,MAX(AB28,'ตั้งค่า Setup'!$C$15+AB28-AA28))))</f>
        <v/>
      </c>
      <c r="X28" s="184" t="str">
        <f aca="false">IF(OR(W28="",J28=""),"",W28-J28)</f>
        <v/>
      </c>
      <c r="Y28" s="117" t="str">
        <f aca="false">IF(OR(D28="",I28="",J28=""),"",IF(O28&lt;&gt;"",IF(O28&lt;=J28,"เสร็จ / Completed","เสร็จช้า / Completed Late"),IF(AND(N28="",'ตั้งค่า Setup'!$C$15&lt;AA28),"ยังไม่ถึงกำหนด / Not Due",IF(N(P28)&gt;=Q28,"ตามแผน / On Track",IF('ตั้งค่า Setup'!$C$15&gt;J28,"เกินกำหนด / Overdue","ล่าช้า / Behind")))))</f>
        <v/>
      </c>
      <c r="Z28" s="32"/>
      <c r="AA28" s="69" t="n">
        <f aca="false">IF(D28="",0,IF(L28&lt;&gt;"",L28,N(I28)))</f>
        <v>0</v>
      </c>
      <c r="AB28" s="69" t="n">
        <f aca="false">IF(D28="",0,IF(M28&lt;&gt;"",M28,N(J28)))</f>
        <v>0</v>
      </c>
      <c r="AC28" s="185" t="str">
        <f aca="false">IF(AND(D28&lt;&gt;"",O28="",ISNUMBER(X28)),X28+(1000-ROW())/1000000,"")</f>
        <v/>
      </c>
      <c r="AD28" s="185" t="n">
        <f aca="false">IF(AND(D28&lt;&gt;"",O28="",AA28&gt;0,AA28&lt;='ตั้งค่า Setup'!$C$15+'ตั้งค่า Setup'!$C$20),1,0)</f>
        <v>0</v>
      </c>
      <c r="AE28" s="185" t="str">
        <f aca="false">IF(AD28=1,SUM(AD$7:AD28),"")</f>
        <v/>
      </c>
    </row>
    <row r="29" customFormat="false" ht="15" hidden="false" customHeight="false" outlineLevel="0" collapsed="false">
      <c r="A29" s="181" t="str">
        <f aca="false">IF(OR(B29="",C29="",D29=""),"",IFERROR(MATCH(B29,'ตั้งค่า Setup'!$C$26:$C$65,0)&amp;"."&amp;MATCH(C29,'ตั้งค่า Setup'!$C$68:$C$107,0)&amp;"."&amp;TEXT(COUNTIFS(B$7:B29,B29,C$7:C29,C29),"00"),"?"))</f>
        <v/>
      </c>
      <c r="B29" s="32"/>
      <c r="C29" s="32"/>
      <c r="D29" s="32"/>
      <c r="E29" s="23"/>
      <c r="F29" s="113"/>
      <c r="G29" s="115" t="n">
        <f aca="false">IF(D29="",0,IF(F29&lt;&gt;"",F29,IF(SUM($E$7:$E$156)&gt;0,N(E29)/SUM($E$7:$E$156),0)))</f>
        <v>0</v>
      </c>
      <c r="H29" s="182" t="str">
        <f aca="false">IF(D29="","",G29*'ตั้งค่า Setup'!$C$9)</f>
        <v/>
      </c>
      <c r="I29" s="24"/>
      <c r="J29" s="24"/>
      <c r="K29" s="117" t="str">
        <f aca="false">IF(OR(I29="",J29=""),"",J29-I29+1)</f>
        <v/>
      </c>
      <c r="L29" s="24"/>
      <c r="M29" s="24"/>
      <c r="N29" s="24"/>
      <c r="O29" s="24"/>
      <c r="P29" s="113"/>
      <c r="Q29" s="115" t="str">
        <f aca="false">IF(OR(D29="",I29="",J29=""),"",MAX(0,MIN(1,('ตั้งค่า Setup'!$C$15-I29+1)/(J29-I29+1))))</f>
        <v/>
      </c>
      <c r="R29" s="115" t="str">
        <f aca="false">IF(OR(D29="",AA29=0),"",MAX(0,MIN(1,('ตั้งค่า Setup'!$C$15-AA29+1)/(AB29-AA29+1))))</f>
        <v/>
      </c>
      <c r="S29" s="182" t="str">
        <f aca="false">IF(Q29="","",H29*Q29)</f>
        <v/>
      </c>
      <c r="T29" s="182" t="str">
        <f aca="false">IF(D29="","",H29*N(P29))</f>
        <v/>
      </c>
      <c r="U29" s="182" t="str">
        <f aca="false">IF(OR(S29="",T29=""),"",T29-S29)</f>
        <v/>
      </c>
      <c r="V29" s="183" t="str">
        <f aca="false">IF(OR(S29="",T29=""),"",IF(S29=0,"",T29/S29))</f>
        <v/>
      </c>
      <c r="W29" s="127" t="str">
        <f aca="false">IF(OR(D29="",AA29=0),"",IF(O29&lt;&gt;"",O29,IF(AND(N(P29)&gt;0,N29&lt;&gt;""),N29+ROUND((MAX('ตั้งค่า Setup'!$C$15,N29)-N29+1)/P29,0)-1,MAX(AB29,'ตั้งค่า Setup'!$C$15+AB29-AA29))))</f>
        <v/>
      </c>
      <c r="X29" s="184" t="str">
        <f aca="false">IF(OR(W29="",J29=""),"",W29-J29)</f>
        <v/>
      </c>
      <c r="Y29" s="117" t="str">
        <f aca="false">IF(OR(D29="",I29="",J29=""),"",IF(O29&lt;&gt;"",IF(O29&lt;=J29,"เสร็จ / Completed","เสร็จช้า / Completed Late"),IF(AND(N29="",'ตั้งค่า Setup'!$C$15&lt;AA29),"ยังไม่ถึงกำหนด / Not Due",IF(N(P29)&gt;=Q29,"ตามแผน / On Track",IF('ตั้งค่า Setup'!$C$15&gt;J29,"เกินกำหนด / Overdue","ล่าช้า / Behind")))))</f>
        <v/>
      </c>
      <c r="Z29" s="32"/>
      <c r="AA29" s="69" t="n">
        <f aca="false">IF(D29="",0,IF(L29&lt;&gt;"",L29,N(I29)))</f>
        <v>0</v>
      </c>
      <c r="AB29" s="69" t="n">
        <f aca="false">IF(D29="",0,IF(M29&lt;&gt;"",M29,N(J29)))</f>
        <v>0</v>
      </c>
      <c r="AC29" s="185" t="str">
        <f aca="false">IF(AND(D29&lt;&gt;"",O29="",ISNUMBER(X29)),X29+(1000-ROW())/1000000,"")</f>
        <v/>
      </c>
      <c r="AD29" s="185" t="n">
        <f aca="false">IF(AND(D29&lt;&gt;"",O29="",AA29&gt;0,AA29&lt;='ตั้งค่า Setup'!$C$15+'ตั้งค่า Setup'!$C$20),1,0)</f>
        <v>0</v>
      </c>
      <c r="AE29" s="185" t="str">
        <f aca="false">IF(AD29=1,SUM(AD$7:AD29),"")</f>
        <v/>
      </c>
    </row>
    <row r="30" customFormat="false" ht="15" hidden="false" customHeight="false" outlineLevel="0" collapsed="false">
      <c r="A30" s="181" t="str">
        <f aca="false">IF(OR(B30="",C30="",D30=""),"",IFERROR(MATCH(B30,'ตั้งค่า Setup'!$C$26:$C$65,0)&amp;"."&amp;MATCH(C30,'ตั้งค่า Setup'!$C$68:$C$107,0)&amp;"."&amp;TEXT(COUNTIFS(B$7:B30,B30,C$7:C30,C30),"00"),"?"))</f>
        <v/>
      </c>
      <c r="B30" s="32"/>
      <c r="C30" s="32"/>
      <c r="D30" s="32"/>
      <c r="E30" s="23"/>
      <c r="F30" s="113"/>
      <c r="G30" s="115" t="n">
        <f aca="false">IF(D30="",0,IF(F30&lt;&gt;"",F30,IF(SUM($E$7:$E$156)&gt;0,N(E30)/SUM($E$7:$E$156),0)))</f>
        <v>0</v>
      </c>
      <c r="H30" s="182" t="str">
        <f aca="false">IF(D30="","",G30*'ตั้งค่า Setup'!$C$9)</f>
        <v/>
      </c>
      <c r="I30" s="24"/>
      <c r="J30" s="24"/>
      <c r="K30" s="117" t="str">
        <f aca="false">IF(OR(I30="",J30=""),"",J30-I30+1)</f>
        <v/>
      </c>
      <c r="L30" s="24"/>
      <c r="M30" s="24"/>
      <c r="N30" s="24"/>
      <c r="O30" s="24"/>
      <c r="P30" s="113"/>
      <c r="Q30" s="115" t="str">
        <f aca="false">IF(OR(D30="",I30="",J30=""),"",MAX(0,MIN(1,('ตั้งค่า Setup'!$C$15-I30+1)/(J30-I30+1))))</f>
        <v/>
      </c>
      <c r="R30" s="115" t="str">
        <f aca="false">IF(OR(D30="",AA30=0),"",MAX(0,MIN(1,('ตั้งค่า Setup'!$C$15-AA30+1)/(AB30-AA30+1))))</f>
        <v/>
      </c>
      <c r="S30" s="182" t="str">
        <f aca="false">IF(Q30="","",H30*Q30)</f>
        <v/>
      </c>
      <c r="T30" s="182" t="str">
        <f aca="false">IF(D30="","",H30*N(P30))</f>
        <v/>
      </c>
      <c r="U30" s="182" t="str">
        <f aca="false">IF(OR(S30="",T30=""),"",T30-S30)</f>
        <v/>
      </c>
      <c r="V30" s="183" t="str">
        <f aca="false">IF(OR(S30="",T30=""),"",IF(S30=0,"",T30/S30))</f>
        <v/>
      </c>
      <c r="W30" s="127" t="str">
        <f aca="false">IF(OR(D30="",AA30=0),"",IF(O30&lt;&gt;"",O30,IF(AND(N(P30)&gt;0,N30&lt;&gt;""),N30+ROUND((MAX('ตั้งค่า Setup'!$C$15,N30)-N30+1)/P30,0)-1,MAX(AB30,'ตั้งค่า Setup'!$C$15+AB30-AA30))))</f>
        <v/>
      </c>
      <c r="X30" s="184" t="str">
        <f aca="false">IF(OR(W30="",J30=""),"",W30-J30)</f>
        <v/>
      </c>
      <c r="Y30" s="117" t="str">
        <f aca="false">IF(OR(D30="",I30="",J30=""),"",IF(O30&lt;&gt;"",IF(O30&lt;=J30,"เสร็จ / Completed","เสร็จช้า / Completed Late"),IF(AND(N30="",'ตั้งค่า Setup'!$C$15&lt;AA30),"ยังไม่ถึงกำหนด / Not Due",IF(N(P30)&gt;=Q30,"ตามแผน / On Track",IF('ตั้งค่า Setup'!$C$15&gt;J30,"เกินกำหนด / Overdue","ล่าช้า / Behind")))))</f>
        <v/>
      </c>
      <c r="Z30" s="32"/>
      <c r="AA30" s="69" t="n">
        <f aca="false">IF(D30="",0,IF(L30&lt;&gt;"",L30,N(I30)))</f>
        <v>0</v>
      </c>
      <c r="AB30" s="69" t="n">
        <f aca="false">IF(D30="",0,IF(M30&lt;&gt;"",M30,N(J30)))</f>
        <v>0</v>
      </c>
      <c r="AC30" s="185" t="str">
        <f aca="false">IF(AND(D30&lt;&gt;"",O30="",ISNUMBER(X30)),X30+(1000-ROW())/1000000,"")</f>
        <v/>
      </c>
      <c r="AD30" s="185" t="n">
        <f aca="false">IF(AND(D30&lt;&gt;"",O30="",AA30&gt;0,AA30&lt;='ตั้งค่า Setup'!$C$15+'ตั้งค่า Setup'!$C$20),1,0)</f>
        <v>0</v>
      </c>
      <c r="AE30" s="185" t="str">
        <f aca="false">IF(AD30=1,SUM(AD$7:AD30),"")</f>
        <v/>
      </c>
    </row>
    <row r="31" customFormat="false" ht="15" hidden="false" customHeight="false" outlineLevel="0" collapsed="false">
      <c r="A31" s="181" t="str">
        <f aca="false">IF(OR(B31="",C31="",D31=""),"",IFERROR(MATCH(B31,'ตั้งค่า Setup'!$C$26:$C$65,0)&amp;"."&amp;MATCH(C31,'ตั้งค่า Setup'!$C$68:$C$107,0)&amp;"."&amp;TEXT(COUNTIFS(B$7:B31,B31,C$7:C31,C31),"00"),"?"))</f>
        <v/>
      </c>
      <c r="B31" s="32"/>
      <c r="C31" s="32"/>
      <c r="D31" s="32"/>
      <c r="E31" s="23"/>
      <c r="F31" s="113"/>
      <c r="G31" s="115" t="n">
        <f aca="false">IF(D31="",0,IF(F31&lt;&gt;"",F31,IF(SUM($E$7:$E$156)&gt;0,N(E31)/SUM($E$7:$E$156),0)))</f>
        <v>0</v>
      </c>
      <c r="H31" s="182" t="str">
        <f aca="false">IF(D31="","",G31*'ตั้งค่า Setup'!$C$9)</f>
        <v/>
      </c>
      <c r="I31" s="24"/>
      <c r="J31" s="24"/>
      <c r="K31" s="117" t="str">
        <f aca="false">IF(OR(I31="",J31=""),"",J31-I31+1)</f>
        <v/>
      </c>
      <c r="L31" s="24"/>
      <c r="M31" s="24"/>
      <c r="N31" s="24"/>
      <c r="O31" s="24"/>
      <c r="P31" s="113"/>
      <c r="Q31" s="115" t="str">
        <f aca="false">IF(OR(D31="",I31="",J31=""),"",MAX(0,MIN(1,('ตั้งค่า Setup'!$C$15-I31+1)/(J31-I31+1))))</f>
        <v/>
      </c>
      <c r="R31" s="115" t="str">
        <f aca="false">IF(OR(D31="",AA31=0),"",MAX(0,MIN(1,('ตั้งค่า Setup'!$C$15-AA31+1)/(AB31-AA31+1))))</f>
        <v/>
      </c>
      <c r="S31" s="182" t="str">
        <f aca="false">IF(Q31="","",H31*Q31)</f>
        <v/>
      </c>
      <c r="T31" s="182" t="str">
        <f aca="false">IF(D31="","",H31*N(P31))</f>
        <v/>
      </c>
      <c r="U31" s="182" t="str">
        <f aca="false">IF(OR(S31="",T31=""),"",T31-S31)</f>
        <v/>
      </c>
      <c r="V31" s="183" t="str">
        <f aca="false">IF(OR(S31="",T31=""),"",IF(S31=0,"",T31/S31))</f>
        <v/>
      </c>
      <c r="W31" s="127" t="str">
        <f aca="false">IF(OR(D31="",AA31=0),"",IF(O31&lt;&gt;"",O31,IF(AND(N(P31)&gt;0,N31&lt;&gt;""),N31+ROUND((MAX('ตั้งค่า Setup'!$C$15,N31)-N31+1)/P31,0)-1,MAX(AB31,'ตั้งค่า Setup'!$C$15+AB31-AA31))))</f>
        <v/>
      </c>
      <c r="X31" s="184" t="str">
        <f aca="false">IF(OR(W31="",J31=""),"",W31-J31)</f>
        <v/>
      </c>
      <c r="Y31" s="117" t="str">
        <f aca="false">IF(OR(D31="",I31="",J31=""),"",IF(O31&lt;&gt;"",IF(O31&lt;=J31,"เสร็จ / Completed","เสร็จช้า / Completed Late"),IF(AND(N31="",'ตั้งค่า Setup'!$C$15&lt;AA31),"ยังไม่ถึงกำหนด / Not Due",IF(N(P31)&gt;=Q31,"ตามแผน / On Track",IF('ตั้งค่า Setup'!$C$15&gt;J31,"เกินกำหนด / Overdue","ล่าช้า / Behind")))))</f>
        <v/>
      </c>
      <c r="Z31" s="32"/>
      <c r="AA31" s="69" t="n">
        <f aca="false">IF(D31="",0,IF(L31&lt;&gt;"",L31,N(I31)))</f>
        <v>0</v>
      </c>
      <c r="AB31" s="69" t="n">
        <f aca="false">IF(D31="",0,IF(M31&lt;&gt;"",M31,N(J31)))</f>
        <v>0</v>
      </c>
      <c r="AC31" s="185" t="str">
        <f aca="false">IF(AND(D31&lt;&gt;"",O31="",ISNUMBER(X31)),X31+(1000-ROW())/1000000,"")</f>
        <v/>
      </c>
      <c r="AD31" s="185" t="n">
        <f aca="false">IF(AND(D31&lt;&gt;"",O31="",AA31&gt;0,AA31&lt;='ตั้งค่า Setup'!$C$15+'ตั้งค่า Setup'!$C$20),1,0)</f>
        <v>0</v>
      </c>
      <c r="AE31" s="185" t="str">
        <f aca="false">IF(AD31=1,SUM(AD$7:AD31),"")</f>
        <v/>
      </c>
    </row>
    <row r="32" customFormat="false" ht="15" hidden="false" customHeight="false" outlineLevel="0" collapsed="false">
      <c r="A32" s="181" t="str">
        <f aca="false">IF(OR(B32="",C32="",D32=""),"",IFERROR(MATCH(B32,'ตั้งค่า Setup'!$C$26:$C$65,0)&amp;"."&amp;MATCH(C32,'ตั้งค่า Setup'!$C$68:$C$107,0)&amp;"."&amp;TEXT(COUNTIFS(B$7:B32,B32,C$7:C32,C32),"00"),"?"))</f>
        <v/>
      </c>
      <c r="B32" s="32"/>
      <c r="C32" s="32"/>
      <c r="D32" s="32"/>
      <c r="E32" s="23"/>
      <c r="F32" s="113"/>
      <c r="G32" s="115" t="n">
        <f aca="false">IF(D32="",0,IF(F32&lt;&gt;"",F32,IF(SUM($E$7:$E$156)&gt;0,N(E32)/SUM($E$7:$E$156),0)))</f>
        <v>0</v>
      </c>
      <c r="H32" s="182" t="str">
        <f aca="false">IF(D32="","",G32*'ตั้งค่า Setup'!$C$9)</f>
        <v/>
      </c>
      <c r="I32" s="24"/>
      <c r="J32" s="24"/>
      <c r="K32" s="117" t="str">
        <f aca="false">IF(OR(I32="",J32=""),"",J32-I32+1)</f>
        <v/>
      </c>
      <c r="L32" s="24"/>
      <c r="M32" s="24"/>
      <c r="N32" s="24"/>
      <c r="O32" s="24"/>
      <c r="P32" s="113"/>
      <c r="Q32" s="115" t="str">
        <f aca="false">IF(OR(D32="",I32="",J32=""),"",MAX(0,MIN(1,('ตั้งค่า Setup'!$C$15-I32+1)/(J32-I32+1))))</f>
        <v/>
      </c>
      <c r="R32" s="115" t="str">
        <f aca="false">IF(OR(D32="",AA32=0),"",MAX(0,MIN(1,('ตั้งค่า Setup'!$C$15-AA32+1)/(AB32-AA32+1))))</f>
        <v/>
      </c>
      <c r="S32" s="182" t="str">
        <f aca="false">IF(Q32="","",H32*Q32)</f>
        <v/>
      </c>
      <c r="T32" s="182" t="str">
        <f aca="false">IF(D32="","",H32*N(P32))</f>
        <v/>
      </c>
      <c r="U32" s="182" t="str">
        <f aca="false">IF(OR(S32="",T32=""),"",T32-S32)</f>
        <v/>
      </c>
      <c r="V32" s="183" t="str">
        <f aca="false">IF(OR(S32="",T32=""),"",IF(S32=0,"",T32/S32))</f>
        <v/>
      </c>
      <c r="W32" s="127" t="str">
        <f aca="false">IF(OR(D32="",AA32=0),"",IF(O32&lt;&gt;"",O32,IF(AND(N(P32)&gt;0,N32&lt;&gt;""),N32+ROUND((MAX('ตั้งค่า Setup'!$C$15,N32)-N32+1)/P32,0)-1,MAX(AB32,'ตั้งค่า Setup'!$C$15+AB32-AA32))))</f>
        <v/>
      </c>
      <c r="X32" s="184" t="str">
        <f aca="false">IF(OR(W32="",J32=""),"",W32-J32)</f>
        <v/>
      </c>
      <c r="Y32" s="117" t="str">
        <f aca="false">IF(OR(D32="",I32="",J32=""),"",IF(O32&lt;&gt;"",IF(O32&lt;=J32,"เสร็จ / Completed","เสร็จช้า / Completed Late"),IF(AND(N32="",'ตั้งค่า Setup'!$C$15&lt;AA32),"ยังไม่ถึงกำหนด / Not Due",IF(N(P32)&gt;=Q32,"ตามแผน / On Track",IF('ตั้งค่า Setup'!$C$15&gt;J32,"เกินกำหนด / Overdue","ล่าช้า / Behind")))))</f>
        <v/>
      </c>
      <c r="Z32" s="32"/>
      <c r="AA32" s="69" t="n">
        <f aca="false">IF(D32="",0,IF(L32&lt;&gt;"",L32,N(I32)))</f>
        <v>0</v>
      </c>
      <c r="AB32" s="69" t="n">
        <f aca="false">IF(D32="",0,IF(M32&lt;&gt;"",M32,N(J32)))</f>
        <v>0</v>
      </c>
      <c r="AC32" s="185" t="str">
        <f aca="false">IF(AND(D32&lt;&gt;"",O32="",ISNUMBER(X32)),X32+(1000-ROW())/1000000,"")</f>
        <v/>
      </c>
      <c r="AD32" s="185" t="n">
        <f aca="false">IF(AND(D32&lt;&gt;"",O32="",AA32&gt;0,AA32&lt;='ตั้งค่า Setup'!$C$15+'ตั้งค่า Setup'!$C$20),1,0)</f>
        <v>0</v>
      </c>
      <c r="AE32" s="185" t="str">
        <f aca="false">IF(AD32=1,SUM(AD$7:AD32),"")</f>
        <v/>
      </c>
    </row>
    <row r="33" customFormat="false" ht="15" hidden="false" customHeight="false" outlineLevel="0" collapsed="false">
      <c r="A33" s="181" t="str">
        <f aca="false">IF(OR(B33="",C33="",D33=""),"",IFERROR(MATCH(B33,'ตั้งค่า Setup'!$C$26:$C$65,0)&amp;"."&amp;MATCH(C33,'ตั้งค่า Setup'!$C$68:$C$107,0)&amp;"."&amp;TEXT(COUNTIFS(B$7:B33,B33,C$7:C33,C33),"00"),"?"))</f>
        <v/>
      </c>
      <c r="B33" s="32"/>
      <c r="C33" s="32"/>
      <c r="D33" s="32"/>
      <c r="E33" s="23"/>
      <c r="F33" s="113"/>
      <c r="G33" s="115" t="n">
        <f aca="false">IF(D33="",0,IF(F33&lt;&gt;"",F33,IF(SUM($E$7:$E$156)&gt;0,N(E33)/SUM($E$7:$E$156),0)))</f>
        <v>0</v>
      </c>
      <c r="H33" s="182" t="str">
        <f aca="false">IF(D33="","",G33*'ตั้งค่า Setup'!$C$9)</f>
        <v/>
      </c>
      <c r="I33" s="24"/>
      <c r="J33" s="24"/>
      <c r="K33" s="117" t="str">
        <f aca="false">IF(OR(I33="",J33=""),"",J33-I33+1)</f>
        <v/>
      </c>
      <c r="L33" s="24"/>
      <c r="M33" s="24"/>
      <c r="N33" s="24"/>
      <c r="O33" s="24"/>
      <c r="P33" s="113"/>
      <c r="Q33" s="115" t="str">
        <f aca="false">IF(OR(D33="",I33="",J33=""),"",MAX(0,MIN(1,('ตั้งค่า Setup'!$C$15-I33+1)/(J33-I33+1))))</f>
        <v/>
      </c>
      <c r="R33" s="115" t="str">
        <f aca="false">IF(OR(D33="",AA33=0),"",MAX(0,MIN(1,('ตั้งค่า Setup'!$C$15-AA33+1)/(AB33-AA33+1))))</f>
        <v/>
      </c>
      <c r="S33" s="182" t="str">
        <f aca="false">IF(Q33="","",H33*Q33)</f>
        <v/>
      </c>
      <c r="T33" s="182" t="str">
        <f aca="false">IF(D33="","",H33*N(P33))</f>
        <v/>
      </c>
      <c r="U33" s="182" t="str">
        <f aca="false">IF(OR(S33="",T33=""),"",T33-S33)</f>
        <v/>
      </c>
      <c r="V33" s="183" t="str">
        <f aca="false">IF(OR(S33="",T33=""),"",IF(S33=0,"",T33/S33))</f>
        <v/>
      </c>
      <c r="W33" s="127" t="str">
        <f aca="false">IF(OR(D33="",AA33=0),"",IF(O33&lt;&gt;"",O33,IF(AND(N(P33)&gt;0,N33&lt;&gt;""),N33+ROUND((MAX('ตั้งค่า Setup'!$C$15,N33)-N33+1)/P33,0)-1,MAX(AB33,'ตั้งค่า Setup'!$C$15+AB33-AA33))))</f>
        <v/>
      </c>
      <c r="X33" s="184" t="str">
        <f aca="false">IF(OR(W33="",J33=""),"",W33-J33)</f>
        <v/>
      </c>
      <c r="Y33" s="117" t="str">
        <f aca="false">IF(OR(D33="",I33="",J33=""),"",IF(O33&lt;&gt;"",IF(O33&lt;=J33,"เสร็จ / Completed","เสร็จช้า / Completed Late"),IF(AND(N33="",'ตั้งค่า Setup'!$C$15&lt;AA33),"ยังไม่ถึงกำหนด / Not Due",IF(N(P33)&gt;=Q33,"ตามแผน / On Track",IF('ตั้งค่า Setup'!$C$15&gt;J33,"เกินกำหนด / Overdue","ล่าช้า / Behind")))))</f>
        <v/>
      </c>
      <c r="Z33" s="32"/>
      <c r="AA33" s="69" t="n">
        <f aca="false">IF(D33="",0,IF(L33&lt;&gt;"",L33,N(I33)))</f>
        <v>0</v>
      </c>
      <c r="AB33" s="69" t="n">
        <f aca="false">IF(D33="",0,IF(M33&lt;&gt;"",M33,N(J33)))</f>
        <v>0</v>
      </c>
      <c r="AC33" s="185" t="str">
        <f aca="false">IF(AND(D33&lt;&gt;"",O33="",ISNUMBER(X33)),X33+(1000-ROW())/1000000,"")</f>
        <v/>
      </c>
      <c r="AD33" s="185" t="n">
        <f aca="false">IF(AND(D33&lt;&gt;"",O33="",AA33&gt;0,AA33&lt;='ตั้งค่า Setup'!$C$15+'ตั้งค่า Setup'!$C$20),1,0)</f>
        <v>0</v>
      </c>
      <c r="AE33" s="185" t="str">
        <f aca="false">IF(AD33=1,SUM(AD$7:AD33),"")</f>
        <v/>
      </c>
    </row>
    <row r="34" customFormat="false" ht="15" hidden="false" customHeight="false" outlineLevel="0" collapsed="false">
      <c r="A34" s="181" t="str">
        <f aca="false">IF(OR(B34="",C34="",D34=""),"",IFERROR(MATCH(B34,'ตั้งค่า Setup'!$C$26:$C$65,0)&amp;"."&amp;MATCH(C34,'ตั้งค่า Setup'!$C$68:$C$107,0)&amp;"."&amp;TEXT(COUNTIFS(B$7:B34,B34,C$7:C34,C34),"00"),"?"))</f>
        <v/>
      </c>
      <c r="B34" s="32"/>
      <c r="C34" s="32"/>
      <c r="D34" s="32"/>
      <c r="E34" s="23"/>
      <c r="F34" s="113"/>
      <c r="G34" s="115" t="n">
        <f aca="false">IF(D34="",0,IF(F34&lt;&gt;"",F34,IF(SUM($E$7:$E$156)&gt;0,N(E34)/SUM($E$7:$E$156),0)))</f>
        <v>0</v>
      </c>
      <c r="H34" s="182" t="str">
        <f aca="false">IF(D34="","",G34*'ตั้งค่า Setup'!$C$9)</f>
        <v/>
      </c>
      <c r="I34" s="24"/>
      <c r="J34" s="24"/>
      <c r="K34" s="117" t="str">
        <f aca="false">IF(OR(I34="",J34=""),"",J34-I34+1)</f>
        <v/>
      </c>
      <c r="L34" s="24"/>
      <c r="M34" s="24"/>
      <c r="N34" s="24"/>
      <c r="O34" s="24"/>
      <c r="P34" s="113"/>
      <c r="Q34" s="115" t="str">
        <f aca="false">IF(OR(D34="",I34="",J34=""),"",MAX(0,MIN(1,('ตั้งค่า Setup'!$C$15-I34+1)/(J34-I34+1))))</f>
        <v/>
      </c>
      <c r="R34" s="115" t="str">
        <f aca="false">IF(OR(D34="",AA34=0),"",MAX(0,MIN(1,('ตั้งค่า Setup'!$C$15-AA34+1)/(AB34-AA34+1))))</f>
        <v/>
      </c>
      <c r="S34" s="182" t="str">
        <f aca="false">IF(Q34="","",H34*Q34)</f>
        <v/>
      </c>
      <c r="T34" s="182" t="str">
        <f aca="false">IF(D34="","",H34*N(P34))</f>
        <v/>
      </c>
      <c r="U34" s="182" t="str">
        <f aca="false">IF(OR(S34="",T34=""),"",T34-S34)</f>
        <v/>
      </c>
      <c r="V34" s="183" t="str">
        <f aca="false">IF(OR(S34="",T34=""),"",IF(S34=0,"",T34/S34))</f>
        <v/>
      </c>
      <c r="W34" s="127" t="str">
        <f aca="false">IF(OR(D34="",AA34=0),"",IF(O34&lt;&gt;"",O34,IF(AND(N(P34)&gt;0,N34&lt;&gt;""),N34+ROUND((MAX('ตั้งค่า Setup'!$C$15,N34)-N34+1)/P34,0)-1,MAX(AB34,'ตั้งค่า Setup'!$C$15+AB34-AA34))))</f>
        <v/>
      </c>
      <c r="X34" s="184" t="str">
        <f aca="false">IF(OR(W34="",J34=""),"",W34-J34)</f>
        <v/>
      </c>
      <c r="Y34" s="117" t="str">
        <f aca="false">IF(OR(D34="",I34="",J34=""),"",IF(O34&lt;&gt;"",IF(O34&lt;=J34,"เสร็จ / Completed","เสร็จช้า / Completed Late"),IF(AND(N34="",'ตั้งค่า Setup'!$C$15&lt;AA34),"ยังไม่ถึงกำหนด / Not Due",IF(N(P34)&gt;=Q34,"ตามแผน / On Track",IF('ตั้งค่า Setup'!$C$15&gt;J34,"เกินกำหนด / Overdue","ล่าช้า / Behind")))))</f>
        <v/>
      </c>
      <c r="Z34" s="32"/>
      <c r="AA34" s="69" t="n">
        <f aca="false">IF(D34="",0,IF(L34&lt;&gt;"",L34,N(I34)))</f>
        <v>0</v>
      </c>
      <c r="AB34" s="69" t="n">
        <f aca="false">IF(D34="",0,IF(M34&lt;&gt;"",M34,N(J34)))</f>
        <v>0</v>
      </c>
      <c r="AC34" s="185" t="str">
        <f aca="false">IF(AND(D34&lt;&gt;"",O34="",ISNUMBER(X34)),X34+(1000-ROW())/1000000,"")</f>
        <v/>
      </c>
      <c r="AD34" s="185" t="n">
        <f aca="false">IF(AND(D34&lt;&gt;"",O34="",AA34&gt;0,AA34&lt;='ตั้งค่า Setup'!$C$15+'ตั้งค่า Setup'!$C$20),1,0)</f>
        <v>0</v>
      </c>
      <c r="AE34" s="185" t="str">
        <f aca="false">IF(AD34=1,SUM(AD$7:AD34),"")</f>
        <v/>
      </c>
    </row>
    <row r="35" customFormat="false" ht="15" hidden="false" customHeight="false" outlineLevel="0" collapsed="false">
      <c r="A35" s="181" t="str">
        <f aca="false">IF(OR(B35="",C35="",D35=""),"",IFERROR(MATCH(B35,'ตั้งค่า Setup'!$C$26:$C$65,0)&amp;"."&amp;MATCH(C35,'ตั้งค่า Setup'!$C$68:$C$107,0)&amp;"."&amp;TEXT(COUNTIFS(B$7:B35,B35,C$7:C35,C35),"00"),"?"))</f>
        <v/>
      </c>
      <c r="B35" s="32"/>
      <c r="C35" s="32"/>
      <c r="D35" s="32"/>
      <c r="E35" s="23"/>
      <c r="F35" s="113"/>
      <c r="G35" s="115" t="n">
        <f aca="false">IF(D35="",0,IF(F35&lt;&gt;"",F35,IF(SUM($E$7:$E$156)&gt;0,N(E35)/SUM($E$7:$E$156),0)))</f>
        <v>0</v>
      </c>
      <c r="H35" s="182" t="str">
        <f aca="false">IF(D35="","",G35*'ตั้งค่า Setup'!$C$9)</f>
        <v/>
      </c>
      <c r="I35" s="24"/>
      <c r="J35" s="24"/>
      <c r="K35" s="117" t="str">
        <f aca="false">IF(OR(I35="",J35=""),"",J35-I35+1)</f>
        <v/>
      </c>
      <c r="L35" s="24"/>
      <c r="M35" s="24"/>
      <c r="N35" s="24"/>
      <c r="O35" s="24"/>
      <c r="P35" s="113"/>
      <c r="Q35" s="115" t="str">
        <f aca="false">IF(OR(D35="",I35="",J35=""),"",MAX(0,MIN(1,('ตั้งค่า Setup'!$C$15-I35+1)/(J35-I35+1))))</f>
        <v/>
      </c>
      <c r="R35" s="115" t="str">
        <f aca="false">IF(OR(D35="",AA35=0),"",MAX(0,MIN(1,('ตั้งค่า Setup'!$C$15-AA35+1)/(AB35-AA35+1))))</f>
        <v/>
      </c>
      <c r="S35" s="182" t="str">
        <f aca="false">IF(Q35="","",H35*Q35)</f>
        <v/>
      </c>
      <c r="T35" s="182" t="str">
        <f aca="false">IF(D35="","",H35*N(P35))</f>
        <v/>
      </c>
      <c r="U35" s="182" t="str">
        <f aca="false">IF(OR(S35="",T35=""),"",T35-S35)</f>
        <v/>
      </c>
      <c r="V35" s="183" t="str">
        <f aca="false">IF(OR(S35="",T35=""),"",IF(S35=0,"",T35/S35))</f>
        <v/>
      </c>
      <c r="W35" s="127" t="str">
        <f aca="false">IF(OR(D35="",AA35=0),"",IF(O35&lt;&gt;"",O35,IF(AND(N(P35)&gt;0,N35&lt;&gt;""),N35+ROUND((MAX('ตั้งค่า Setup'!$C$15,N35)-N35+1)/P35,0)-1,MAX(AB35,'ตั้งค่า Setup'!$C$15+AB35-AA35))))</f>
        <v/>
      </c>
      <c r="X35" s="184" t="str">
        <f aca="false">IF(OR(W35="",J35=""),"",W35-J35)</f>
        <v/>
      </c>
      <c r="Y35" s="117" t="str">
        <f aca="false">IF(OR(D35="",I35="",J35=""),"",IF(O35&lt;&gt;"",IF(O35&lt;=J35,"เสร็จ / Completed","เสร็จช้า / Completed Late"),IF(AND(N35="",'ตั้งค่า Setup'!$C$15&lt;AA35),"ยังไม่ถึงกำหนด / Not Due",IF(N(P35)&gt;=Q35,"ตามแผน / On Track",IF('ตั้งค่า Setup'!$C$15&gt;J35,"เกินกำหนด / Overdue","ล่าช้า / Behind")))))</f>
        <v/>
      </c>
      <c r="Z35" s="32"/>
      <c r="AA35" s="69" t="n">
        <f aca="false">IF(D35="",0,IF(L35&lt;&gt;"",L35,N(I35)))</f>
        <v>0</v>
      </c>
      <c r="AB35" s="69" t="n">
        <f aca="false">IF(D35="",0,IF(M35&lt;&gt;"",M35,N(J35)))</f>
        <v>0</v>
      </c>
      <c r="AC35" s="185" t="str">
        <f aca="false">IF(AND(D35&lt;&gt;"",O35="",ISNUMBER(X35)),X35+(1000-ROW())/1000000,"")</f>
        <v/>
      </c>
      <c r="AD35" s="185" t="n">
        <f aca="false">IF(AND(D35&lt;&gt;"",O35="",AA35&gt;0,AA35&lt;='ตั้งค่า Setup'!$C$15+'ตั้งค่า Setup'!$C$20),1,0)</f>
        <v>0</v>
      </c>
      <c r="AE35" s="185" t="str">
        <f aca="false">IF(AD35=1,SUM(AD$7:AD35),"")</f>
        <v/>
      </c>
    </row>
    <row r="36" customFormat="false" ht="15" hidden="false" customHeight="false" outlineLevel="0" collapsed="false">
      <c r="A36" s="181" t="str">
        <f aca="false">IF(OR(B36="",C36="",D36=""),"",IFERROR(MATCH(B36,'ตั้งค่า Setup'!$C$26:$C$65,0)&amp;"."&amp;MATCH(C36,'ตั้งค่า Setup'!$C$68:$C$107,0)&amp;"."&amp;TEXT(COUNTIFS(B$7:B36,B36,C$7:C36,C36),"00"),"?"))</f>
        <v/>
      </c>
      <c r="B36" s="32"/>
      <c r="C36" s="32"/>
      <c r="D36" s="32"/>
      <c r="E36" s="23"/>
      <c r="F36" s="113"/>
      <c r="G36" s="115" t="n">
        <f aca="false">IF(D36="",0,IF(F36&lt;&gt;"",F36,IF(SUM($E$7:$E$156)&gt;0,N(E36)/SUM($E$7:$E$156),0)))</f>
        <v>0</v>
      </c>
      <c r="H36" s="182" t="str">
        <f aca="false">IF(D36="","",G36*'ตั้งค่า Setup'!$C$9)</f>
        <v/>
      </c>
      <c r="I36" s="24"/>
      <c r="J36" s="24"/>
      <c r="K36" s="117" t="str">
        <f aca="false">IF(OR(I36="",J36=""),"",J36-I36+1)</f>
        <v/>
      </c>
      <c r="L36" s="24"/>
      <c r="M36" s="24"/>
      <c r="N36" s="24"/>
      <c r="O36" s="24"/>
      <c r="P36" s="113"/>
      <c r="Q36" s="115" t="str">
        <f aca="false">IF(OR(D36="",I36="",J36=""),"",MAX(0,MIN(1,('ตั้งค่า Setup'!$C$15-I36+1)/(J36-I36+1))))</f>
        <v/>
      </c>
      <c r="R36" s="115" t="str">
        <f aca="false">IF(OR(D36="",AA36=0),"",MAX(0,MIN(1,('ตั้งค่า Setup'!$C$15-AA36+1)/(AB36-AA36+1))))</f>
        <v/>
      </c>
      <c r="S36" s="182" t="str">
        <f aca="false">IF(Q36="","",H36*Q36)</f>
        <v/>
      </c>
      <c r="T36" s="182" t="str">
        <f aca="false">IF(D36="","",H36*N(P36))</f>
        <v/>
      </c>
      <c r="U36" s="182" t="str">
        <f aca="false">IF(OR(S36="",T36=""),"",T36-S36)</f>
        <v/>
      </c>
      <c r="V36" s="183" t="str">
        <f aca="false">IF(OR(S36="",T36=""),"",IF(S36=0,"",T36/S36))</f>
        <v/>
      </c>
      <c r="W36" s="127" t="str">
        <f aca="false">IF(OR(D36="",AA36=0),"",IF(O36&lt;&gt;"",O36,IF(AND(N(P36)&gt;0,N36&lt;&gt;""),N36+ROUND((MAX('ตั้งค่า Setup'!$C$15,N36)-N36+1)/P36,0)-1,MAX(AB36,'ตั้งค่า Setup'!$C$15+AB36-AA36))))</f>
        <v/>
      </c>
      <c r="X36" s="184" t="str">
        <f aca="false">IF(OR(W36="",J36=""),"",W36-J36)</f>
        <v/>
      </c>
      <c r="Y36" s="117" t="str">
        <f aca="false">IF(OR(D36="",I36="",J36=""),"",IF(O36&lt;&gt;"",IF(O36&lt;=J36,"เสร็จ / Completed","เสร็จช้า / Completed Late"),IF(AND(N36="",'ตั้งค่า Setup'!$C$15&lt;AA36),"ยังไม่ถึงกำหนด / Not Due",IF(N(P36)&gt;=Q36,"ตามแผน / On Track",IF('ตั้งค่า Setup'!$C$15&gt;J36,"เกินกำหนด / Overdue","ล่าช้า / Behind")))))</f>
        <v/>
      </c>
      <c r="Z36" s="32"/>
      <c r="AA36" s="69" t="n">
        <f aca="false">IF(D36="",0,IF(L36&lt;&gt;"",L36,N(I36)))</f>
        <v>0</v>
      </c>
      <c r="AB36" s="69" t="n">
        <f aca="false">IF(D36="",0,IF(M36&lt;&gt;"",M36,N(J36)))</f>
        <v>0</v>
      </c>
      <c r="AC36" s="185" t="str">
        <f aca="false">IF(AND(D36&lt;&gt;"",O36="",ISNUMBER(X36)),X36+(1000-ROW())/1000000,"")</f>
        <v/>
      </c>
      <c r="AD36" s="185" t="n">
        <f aca="false">IF(AND(D36&lt;&gt;"",O36="",AA36&gt;0,AA36&lt;='ตั้งค่า Setup'!$C$15+'ตั้งค่า Setup'!$C$20),1,0)</f>
        <v>0</v>
      </c>
      <c r="AE36" s="185" t="str">
        <f aca="false">IF(AD36=1,SUM(AD$7:AD36),"")</f>
        <v/>
      </c>
    </row>
    <row r="37" customFormat="false" ht="15" hidden="false" customHeight="false" outlineLevel="0" collapsed="false">
      <c r="A37" s="181" t="str">
        <f aca="false">IF(OR(B37="",C37="",D37=""),"",IFERROR(MATCH(B37,'ตั้งค่า Setup'!$C$26:$C$65,0)&amp;"."&amp;MATCH(C37,'ตั้งค่า Setup'!$C$68:$C$107,0)&amp;"."&amp;TEXT(COUNTIFS(B$7:B37,B37,C$7:C37,C37),"00"),"?"))</f>
        <v/>
      </c>
      <c r="B37" s="32"/>
      <c r="C37" s="32"/>
      <c r="D37" s="32"/>
      <c r="E37" s="23"/>
      <c r="F37" s="113"/>
      <c r="G37" s="115" t="n">
        <f aca="false">IF(D37="",0,IF(F37&lt;&gt;"",F37,IF(SUM($E$7:$E$156)&gt;0,N(E37)/SUM($E$7:$E$156),0)))</f>
        <v>0</v>
      </c>
      <c r="H37" s="182" t="str">
        <f aca="false">IF(D37="","",G37*'ตั้งค่า Setup'!$C$9)</f>
        <v/>
      </c>
      <c r="I37" s="24"/>
      <c r="J37" s="24"/>
      <c r="K37" s="117" t="str">
        <f aca="false">IF(OR(I37="",J37=""),"",J37-I37+1)</f>
        <v/>
      </c>
      <c r="L37" s="24"/>
      <c r="M37" s="24"/>
      <c r="N37" s="24"/>
      <c r="O37" s="24"/>
      <c r="P37" s="113"/>
      <c r="Q37" s="115" t="str">
        <f aca="false">IF(OR(D37="",I37="",J37=""),"",MAX(0,MIN(1,('ตั้งค่า Setup'!$C$15-I37+1)/(J37-I37+1))))</f>
        <v/>
      </c>
      <c r="R37" s="115" t="str">
        <f aca="false">IF(OR(D37="",AA37=0),"",MAX(0,MIN(1,('ตั้งค่า Setup'!$C$15-AA37+1)/(AB37-AA37+1))))</f>
        <v/>
      </c>
      <c r="S37" s="182" t="str">
        <f aca="false">IF(Q37="","",H37*Q37)</f>
        <v/>
      </c>
      <c r="T37" s="182" t="str">
        <f aca="false">IF(D37="","",H37*N(P37))</f>
        <v/>
      </c>
      <c r="U37" s="182" t="str">
        <f aca="false">IF(OR(S37="",T37=""),"",T37-S37)</f>
        <v/>
      </c>
      <c r="V37" s="183" t="str">
        <f aca="false">IF(OR(S37="",T37=""),"",IF(S37=0,"",T37/S37))</f>
        <v/>
      </c>
      <c r="W37" s="127" t="str">
        <f aca="false">IF(OR(D37="",AA37=0),"",IF(O37&lt;&gt;"",O37,IF(AND(N(P37)&gt;0,N37&lt;&gt;""),N37+ROUND((MAX('ตั้งค่า Setup'!$C$15,N37)-N37+1)/P37,0)-1,MAX(AB37,'ตั้งค่า Setup'!$C$15+AB37-AA37))))</f>
        <v/>
      </c>
      <c r="X37" s="184" t="str">
        <f aca="false">IF(OR(W37="",J37=""),"",W37-J37)</f>
        <v/>
      </c>
      <c r="Y37" s="117" t="str">
        <f aca="false">IF(OR(D37="",I37="",J37=""),"",IF(O37&lt;&gt;"",IF(O37&lt;=J37,"เสร็จ / Completed","เสร็จช้า / Completed Late"),IF(AND(N37="",'ตั้งค่า Setup'!$C$15&lt;AA37),"ยังไม่ถึงกำหนด / Not Due",IF(N(P37)&gt;=Q37,"ตามแผน / On Track",IF('ตั้งค่า Setup'!$C$15&gt;J37,"เกินกำหนด / Overdue","ล่าช้า / Behind")))))</f>
        <v/>
      </c>
      <c r="Z37" s="32"/>
      <c r="AA37" s="69" t="n">
        <f aca="false">IF(D37="",0,IF(L37&lt;&gt;"",L37,N(I37)))</f>
        <v>0</v>
      </c>
      <c r="AB37" s="69" t="n">
        <f aca="false">IF(D37="",0,IF(M37&lt;&gt;"",M37,N(J37)))</f>
        <v>0</v>
      </c>
      <c r="AC37" s="185" t="str">
        <f aca="false">IF(AND(D37&lt;&gt;"",O37="",ISNUMBER(X37)),X37+(1000-ROW())/1000000,"")</f>
        <v/>
      </c>
      <c r="AD37" s="185" t="n">
        <f aca="false">IF(AND(D37&lt;&gt;"",O37="",AA37&gt;0,AA37&lt;='ตั้งค่า Setup'!$C$15+'ตั้งค่า Setup'!$C$20),1,0)</f>
        <v>0</v>
      </c>
      <c r="AE37" s="185" t="str">
        <f aca="false">IF(AD37=1,SUM(AD$7:AD37),"")</f>
        <v/>
      </c>
    </row>
    <row r="38" customFormat="false" ht="15" hidden="false" customHeight="false" outlineLevel="0" collapsed="false">
      <c r="A38" s="181" t="str">
        <f aca="false">IF(OR(B38="",C38="",D38=""),"",IFERROR(MATCH(B38,'ตั้งค่า Setup'!$C$26:$C$65,0)&amp;"."&amp;MATCH(C38,'ตั้งค่า Setup'!$C$68:$C$107,0)&amp;"."&amp;TEXT(COUNTIFS(B$7:B38,B38,C$7:C38,C38),"00"),"?"))</f>
        <v/>
      </c>
      <c r="B38" s="32"/>
      <c r="C38" s="32"/>
      <c r="D38" s="32"/>
      <c r="E38" s="23"/>
      <c r="F38" s="113"/>
      <c r="G38" s="115" t="n">
        <f aca="false">IF(D38="",0,IF(F38&lt;&gt;"",F38,IF(SUM($E$7:$E$156)&gt;0,N(E38)/SUM($E$7:$E$156),0)))</f>
        <v>0</v>
      </c>
      <c r="H38" s="182" t="str">
        <f aca="false">IF(D38="","",G38*'ตั้งค่า Setup'!$C$9)</f>
        <v/>
      </c>
      <c r="I38" s="24"/>
      <c r="J38" s="24"/>
      <c r="K38" s="117" t="str">
        <f aca="false">IF(OR(I38="",J38=""),"",J38-I38+1)</f>
        <v/>
      </c>
      <c r="L38" s="24"/>
      <c r="M38" s="24"/>
      <c r="N38" s="24"/>
      <c r="O38" s="24"/>
      <c r="P38" s="113"/>
      <c r="Q38" s="115" t="str">
        <f aca="false">IF(OR(D38="",I38="",J38=""),"",MAX(0,MIN(1,('ตั้งค่า Setup'!$C$15-I38+1)/(J38-I38+1))))</f>
        <v/>
      </c>
      <c r="R38" s="115" t="str">
        <f aca="false">IF(OR(D38="",AA38=0),"",MAX(0,MIN(1,('ตั้งค่า Setup'!$C$15-AA38+1)/(AB38-AA38+1))))</f>
        <v/>
      </c>
      <c r="S38" s="182" t="str">
        <f aca="false">IF(Q38="","",H38*Q38)</f>
        <v/>
      </c>
      <c r="T38" s="182" t="str">
        <f aca="false">IF(D38="","",H38*N(P38))</f>
        <v/>
      </c>
      <c r="U38" s="182" t="str">
        <f aca="false">IF(OR(S38="",T38=""),"",T38-S38)</f>
        <v/>
      </c>
      <c r="V38" s="183" t="str">
        <f aca="false">IF(OR(S38="",T38=""),"",IF(S38=0,"",T38/S38))</f>
        <v/>
      </c>
      <c r="W38" s="127" t="str">
        <f aca="false">IF(OR(D38="",AA38=0),"",IF(O38&lt;&gt;"",O38,IF(AND(N(P38)&gt;0,N38&lt;&gt;""),N38+ROUND((MAX('ตั้งค่า Setup'!$C$15,N38)-N38+1)/P38,0)-1,MAX(AB38,'ตั้งค่า Setup'!$C$15+AB38-AA38))))</f>
        <v/>
      </c>
      <c r="X38" s="184" t="str">
        <f aca="false">IF(OR(W38="",J38=""),"",W38-J38)</f>
        <v/>
      </c>
      <c r="Y38" s="117" t="str">
        <f aca="false">IF(OR(D38="",I38="",J38=""),"",IF(O38&lt;&gt;"",IF(O38&lt;=J38,"เสร็จ / Completed","เสร็จช้า / Completed Late"),IF(AND(N38="",'ตั้งค่า Setup'!$C$15&lt;AA38),"ยังไม่ถึงกำหนด / Not Due",IF(N(P38)&gt;=Q38,"ตามแผน / On Track",IF('ตั้งค่า Setup'!$C$15&gt;J38,"เกินกำหนด / Overdue","ล่าช้า / Behind")))))</f>
        <v/>
      </c>
      <c r="Z38" s="32"/>
      <c r="AA38" s="69" t="n">
        <f aca="false">IF(D38="",0,IF(L38&lt;&gt;"",L38,N(I38)))</f>
        <v>0</v>
      </c>
      <c r="AB38" s="69" t="n">
        <f aca="false">IF(D38="",0,IF(M38&lt;&gt;"",M38,N(J38)))</f>
        <v>0</v>
      </c>
      <c r="AC38" s="185" t="str">
        <f aca="false">IF(AND(D38&lt;&gt;"",O38="",ISNUMBER(X38)),X38+(1000-ROW())/1000000,"")</f>
        <v/>
      </c>
      <c r="AD38" s="185" t="n">
        <f aca="false">IF(AND(D38&lt;&gt;"",O38="",AA38&gt;0,AA38&lt;='ตั้งค่า Setup'!$C$15+'ตั้งค่า Setup'!$C$20),1,0)</f>
        <v>0</v>
      </c>
      <c r="AE38" s="185" t="str">
        <f aca="false">IF(AD38=1,SUM(AD$7:AD38),"")</f>
        <v/>
      </c>
    </row>
    <row r="39" customFormat="false" ht="15" hidden="false" customHeight="false" outlineLevel="0" collapsed="false">
      <c r="A39" s="181" t="str">
        <f aca="false">IF(OR(B39="",C39="",D39=""),"",IFERROR(MATCH(B39,'ตั้งค่า Setup'!$C$26:$C$65,0)&amp;"."&amp;MATCH(C39,'ตั้งค่า Setup'!$C$68:$C$107,0)&amp;"."&amp;TEXT(COUNTIFS(B$7:B39,B39,C$7:C39,C39),"00"),"?"))</f>
        <v/>
      </c>
      <c r="B39" s="32"/>
      <c r="C39" s="32"/>
      <c r="D39" s="32"/>
      <c r="E39" s="23"/>
      <c r="F39" s="113"/>
      <c r="G39" s="115" t="n">
        <f aca="false">IF(D39="",0,IF(F39&lt;&gt;"",F39,IF(SUM($E$7:$E$156)&gt;0,N(E39)/SUM($E$7:$E$156),0)))</f>
        <v>0</v>
      </c>
      <c r="H39" s="182" t="str">
        <f aca="false">IF(D39="","",G39*'ตั้งค่า Setup'!$C$9)</f>
        <v/>
      </c>
      <c r="I39" s="24"/>
      <c r="J39" s="24"/>
      <c r="K39" s="117" t="str">
        <f aca="false">IF(OR(I39="",J39=""),"",J39-I39+1)</f>
        <v/>
      </c>
      <c r="L39" s="24"/>
      <c r="M39" s="24"/>
      <c r="N39" s="24"/>
      <c r="O39" s="24"/>
      <c r="P39" s="113"/>
      <c r="Q39" s="115" t="str">
        <f aca="false">IF(OR(D39="",I39="",J39=""),"",MAX(0,MIN(1,('ตั้งค่า Setup'!$C$15-I39+1)/(J39-I39+1))))</f>
        <v/>
      </c>
      <c r="R39" s="115" t="str">
        <f aca="false">IF(OR(D39="",AA39=0),"",MAX(0,MIN(1,('ตั้งค่า Setup'!$C$15-AA39+1)/(AB39-AA39+1))))</f>
        <v/>
      </c>
      <c r="S39" s="182" t="str">
        <f aca="false">IF(Q39="","",H39*Q39)</f>
        <v/>
      </c>
      <c r="T39" s="182" t="str">
        <f aca="false">IF(D39="","",H39*N(P39))</f>
        <v/>
      </c>
      <c r="U39" s="182" t="str">
        <f aca="false">IF(OR(S39="",T39=""),"",T39-S39)</f>
        <v/>
      </c>
      <c r="V39" s="183" t="str">
        <f aca="false">IF(OR(S39="",T39=""),"",IF(S39=0,"",T39/S39))</f>
        <v/>
      </c>
      <c r="W39" s="127" t="str">
        <f aca="false">IF(OR(D39="",AA39=0),"",IF(O39&lt;&gt;"",O39,IF(AND(N(P39)&gt;0,N39&lt;&gt;""),N39+ROUND((MAX('ตั้งค่า Setup'!$C$15,N39)-N39+1)/P39,0)-1,MAX(AB39,'ตั้งค่า Setup'!$C$15+AB39-AA39))))</f>
        <v/>
      </c>
      <c r="X39" s="184" t="str">
        <f aca="false">IF(OR(W39="",J39=""),"",W39-J39)</f>
        <v/>
      </c>
      <c r="Y39" s="117" t="str">
        <f aca="false">IF(OR(D39="",I39="",J39=""),"",IF(O39&lt;&gt;"",IF(O39&lt;=J39,"เสร็จ / Completed","เสร็จช้า / Completed Late"),IF(AND(N39="",'ตั้งค่า Setup'!$C$15&lt;AA39),"ยังไม่ถึงกำหนด / Not Due",IF(N(P39)&gt;=Q39,"ตามแผน / On Track",IF('ตั้งค่า Setup'!$C$15&gt;J39,"เกินกำหนด / Overdue","ล่าช้า / Behind")))))</f>
        <v/>
      </c>
      <c r="Z39" s="32"/>
      <c r="AA39" s="69" t="n">
        <f aca="false">IF(D39="",0,IF(L39&lt;&gt;"",L39,N(I39)))</f>
        <v>0</v>
      </c>
      <c r="AB39" s="69" t="n">
        <f aca="false">IF(D39="",0,IF(M39&lt;&gt;"",M39,N(J39)))</f>
        <v>0</v>
      </c>
      <c r="AC39" s="185" t="str">
        <f aca="false">IF(AND(D39&lt;&gt;"",O39="",ISNUMBER(X39)),X39+(1000-ROW())/1000000,"")</f>
        <v/>
      </c>
      <c r="AD39" s="185" t="n">
        <f aca="false">IF(AND(D39&lt;&gt;"",O39="",AA39&gt;0,AA39&lt;='ตั้งค่า Setup'!$C$15+'ตั้งค่า Setup'!$C$20),1,0)</f>
        <v>0</v>
      </c>
      <c r="AE39" s="185" t="str">
        <f aca="false">IF(AD39=1,SUM(AD$7:AD39),"")</f>
        <v/>
      </c>
    </row>
    <row r="40" customFormat="false" ht="15" hidden="false" customHeight="false" outlineLevel="0" collapsed="false">
      <c r="A40" s="181" t="str">
        <f aca="false">IF(OR(B40="",C40="",D40=""),"",IFERROR(MATCH(B40,'ตั้งค่า Setup'!$C$26:$C$65,0)&amp;"."&amp;MATCH(C40,'ตั้งค่า Setup'!$C$68:$C$107,0)&amp;"."&amp;TEXT(COUNTIFS(B$7:B40,B40,C$7:C40,C40),"00"),"?"))</f>
        <v/>
      </c>
      <c r="B40" s="32"/>
      <c r="C40" s="32"/>
      <c r="D40" s="32"/>
      <c r="E40" s="23"/>
      <c r="F40" s="113"/>
      <c r="G40" s="115" t="n">
        <f aca="false">IF(D40="",0,IF(F40&lt;&gt;"",F40,IF(SUM($E$7:$E$156)&gt;0,N(E40)/SUM($E$7:$E$156),0)))</f>
        <v>0</v>
      </c>
      <c r="H40" s="182" t="str">
        <f aca="false">IF(D40="","",G40*'ตั้งค่า Setup'!$C$9)</f>
        <v/>
      </c>
      <c r="I40" s="24"/>
      <c r="J40" s="24"/>
      <c r="K40" s="117" t="str">
        <f aca="false">IF(OR(I40="",J40=""),"",J40-I40+1)</f>
        <v/>
      </c>
      <c r="L40" s="24"/>
      <c r="M40" s="24"/>
      <c r="N40" s="24"/>
      <c r="O40" s="24"/>
      <c r="P40" s="113"/>
      <c r="Q40" s="115" t="str">
        <f aca="false">IF(OR(D40="",I40="",J40=""),"",MAX(0,MIN(1,('ตั้งค่า Setup'!$C$15-I40+1)/(J40-I40+1))))</f>
        <v/>
      </c>
      <c r="R40" s="115" t="str">
        <f aca="false">IF(OR(D40="",AA40=0),"",MAX(0,MIN(1,('ตั้งค่า Setup'!$C$15-AA40+1)/(AB40-AA40+1))))</f>
        <v/>
      </c>
      <c r="S40" s="182" t="str">
        <f aca="false">IF(Q40="","",H40*Q40)</f>
        <v/>
      </c>
      <c r="T40" s="182" t="str">
        <f aca="false">IF(D40="","",H40*N(P40))</f>
        <v/>
      </c>
      <c r="U40" s="182" t="str">
        <f aca="false">IF(OR(S40="",T40=""),"",T40-S40)</f>
        <v/>
      </c>
      <c r="V40" s="183" t="str">
        <f aca="false">IF(OR(S40="",T40=""),"",IF(S40=0,"",T40/S40))</f>
        <v/>
      </c>
      <c r="W40" s="127" t="str">
        <f aca="false">IF(OR(D40="",AA40=0),"",IF(O40&lt;&gt;"",O40,IF(AND(N(P40)&gt;0,N40&lt;&gt;""),N40+ROUND((MAX('ตั้งค่า Setup'!$C$15,N40)-N40+1)/P40,0)-1,MAX(AB40,'ตั้งค่า Setup'!$C$15+AB40-AA40))))</f>
        <v/>
      </c>
      <c r="X40" s="184" t="str">
        <f aca="false">IF(OR(W40="",J40=""),"",W40-J40)</f>
        <v/>
      </c>
      <c r="Y40" s="117" t="str">
        <f aca="false">IF(OR(D40="",I40="",J40=""),"",IF(O40&lt;&gt;"",IF(O40&lt;=J40,"เสร็จ / Completed","เสร็จช้า / Completed Late"),IF(AND(N40="",'ตั้งค่า Setup'!$C$15&lt;AA40),"ยังไม่ถึงกำหนด / Not Due",IF(N(P40)&gt;=Q40,"ตามแผน / On Track",IF('ตั้งค่า Setup'!$C$15&gt;J40,"เกินกำหนด / Overdue","ล่าช้า / Behind")))))</f>
        <v/>
      </c>
      <c r="Z40" s="32"/>
      <c r="AA40" s="69" t="n">
        <f aca="false">IF(D40="",0,IF(L40&lt;&gt;"",L40,N(I40)))</f>
        <v>0</v>
      </c>
      <c r="AB40" s="69" t="n">
        <f aca="false">IF(D40="",0,IF(M40&lt;&gt;"",M40,N(J40)))</f>
        <v>0</v>
      </c>
      <c r="AC40" s="185" t="str">
        <f aca="false">IF(AND(D40&lt;&gt;"",O40="",ISNUMBER(X40)),X40+(1000-ROW())/1000000,"")</f>
        <v/>
      </c>
      <c r="AD40" s="185" t="n">
        <f aca="false">IF(AND(D40&lt;&gt;"",O40="",AA40&gt;0,AA40&lt;='ตั้งค่า Setup'!$C$15+'ตั้งค่า Setup'!$C$20),1,0)</f>
        <v>0</v>
      </c>
      <c r="AE40" s="185" t="str">
        <f aca="false">IF(AD40=1,SUM(AD$7:AD40),"")</f>
        <v/>
      </c>
    </row>
    <row r="41" customFormat="false" ht="15" hidden="false" customHeight="false" outlineLevel="0" collapsed="false">
      <c r="A41" s="181" t="str">
        <f aca="false">IF(OR(B41="",C41="",D41=""),"",IFERROR(MATCH(B41,'ตั้งค่า Setup'!$C$26:$C$65,0)&amp;"."&amp;MATCH(C41,'ตั้งค่า Setup'!$C$68:$C$107,0)&amp;"."&amp;TEXT(COUNTIFS(B$7:B41,B41,C$7:C41,C41),"00"),"?"))</f>
        <v/>
      </c>
      <c r="B41" s="32"/>
      <c r="C41" s="32"/>
      <c r="D41" s="32"/>
      <c r="E41" s="23"/>
      <c r="F41" s="113"/>
      <c r="G41" s="115" t="n">
        <f aca="false">IF(D41="",0,IF(F41&lt;&gt;"",F41,IF(SUM($E$7:$E$156)&gt;0,N(E41)/SUM($E$7:$E$156),0)))</f>
        <v>0</v>
      </c>
      <c r="H41" s="182" t="str">
        <f aca="false">IF(D41="","",G41*'ตั้งค่า Setup'!$C$9)</f>
        <v/>
      </c>
      <c r="I41" s="24"/>
      <c r="J41" s="24"/>
      <c r="K41" s="117" t="str">
        <f aca="false">IF(OR(I41="",J41=""),"",J41-I41+1)</f>
        <v/>
      </c>
      <c r="L41" s="24"/>
      <c r="M41" s="24"/>
      <c r="N41" s="24"/>
      <c r="O41" s="24"/>
      <c r="P41" s="113"/>
      <c r="Q41" s="115" t="str">
        <f aca="false">IF(OR(D41="",I41="",J41=""),"",MAX(0,MIN(1,('ตั้งค่า Setup'!$C$15-I41+1)/(J41-I41+1))))</f>
        <v/>
      </c>
      <c r="R41" s="115" t="str">
        <f aca="false">IF(OR(D41="",AA41=0),"",MAX(0,MIN(1,('ตั้งค่า Setup'!$C$15-AA41+1)/(AB41-AA41+1))))</f>
        <v/>
      </c>
      <c r="S41" s="182" t="str">
        <f aca="false">IF(Q41="","",H41*Q41)</f>
        <v/>
      </c>
      <c r="T41" s="182" t="str">
        <f aca="false">IF(D41="","",H41*N(P41))</f>
        <v/>
      </c>
      <c r="U41" s="182" t="str">
        <f aca="false">IF(OR(S41="",T41=""),"",T41-S41)</f>
        <v/>
      </c>
      <c r="V41" s="183" t="str">
        <f aca="false">IF(OR(S41="",T41=""),"",IF(S41=0,"",T41/S41))</f>
        <v/>
      </c>
      <c r="W41" s="127" t="str">
        <f aca="false">IF(OR(D41="",AA41=0),"",IF(O41&lt;&gt;"",O41,IF(AND(N(P41)&gt;0,N41&lt;&gt;""),N41+ROUND((MAX('ตั้งค่า Setup'!$C$15,N41)-N41+1)/P41,0)-1,MAX(AB41,'ตั้งค่า Setup'!$C$15+AB41-AA41))))</f>
        <v/>
      </c>
      <c r="X41" s="184" t="str">
        <f aca="false">IF(OR(W41="",J41=""),"",W41-J41)</f>
        <v/>
      </c>
      <c r="Y41" s="117" t="str">
        <f aca="false">IF(OR(D41="",I41="",J41=""),"",IF(O41&lt;&gt;"",IF(O41&lt;=J41,"เสร็จ / Completed","เสร็จช้า / Completed Late"),IF(AND(N41="",'ตั้งค่า Setup'!$C$15&lt;AA41),"ยังไม่ถึงกำหนด / Not Due",IF(N(P41)&gt;=Q41,"ตามแผน / On Track",IF('ตั้งค่า Setup'!$C$15&gt;J41,"เกินกำหนด / Overdue","ล่าช้า / Behind")))))</f>
        <v/>
      </c>
      <c r="Z41" s="32"/>
      <c r="AA41" s="69" t="n">
        <f aca="false">IF(D41="",0,IF(L41&lt;&gt;"",L41,N(I41)))</f>
        <v>0</v>
      </c>
      <c r="AB41" s="69" t="n">
        <f aca="false">IF(D41="",0,IF(M41&lt;&gt;"",M41,N(J41)))</f>
        <v>0</v>
      </c>
      <c r="AC41" s="185" t="str">
        <f aca="false">IF(AND(D41&lt;&gt;"",O41="",ISNUMBER(X41)),X41+(1000-ROW())/1000000,"")</f>
        <v/>
      </c>
      <c r="AD41" s="185" t="n">
        <f aca="false">IF(AND(D41&lt;&gt;"",O41="",AA41&gt;0,AA41&lt;='ตั้งค่า Setup'!$C$15+'ตั้งค่า Setup'!$C$20),1,0)</f>
        <v>0</v>
      </c>
      <c r="AE41" s="185" t="str">
        <f aca="false">IF(AD41=1,SUM(AD$7:AD41),"")</f>
        <v/>
      </c>
    </row>
    <row r="42" customFormat="false" ht="15" hidden="false" customHeight="false" outlineLevel="0" collapsed="false">
      <c r="A42" s="181" t="str">
        <f aca="false">IF(OR(B42="",C42="",D42=""),"",IFERROR(MATCH(B42,'ตั้งค่า Setup'!$C$26:$C$65,0)&amp;"."&amp;MATCH(C42,'ตั้งค่า Setup'!$C$68:$C$107,0)&amp;"."&amp;TEXT(COUNTIFS(B$7:B42,B42,C$7:C42,C42),"00"),"?"))</f>
        <v/>
      </c>
      <c r="B42" s="32"/>
      <c r="C42" s="32"/>
      <c r="D42" s="32"/>
      <c r="E42" s="23"/>
      <c r="F42" s="113"/>
      <c r="G42" s="115" t="n">
        <f aca="false">IF(D42="",0,IF(F42&lt;&gt;"",F42,IF(SUM($E$7:$E$156)&gt;0,N(E42)/SUM($E$7:$E$156),0)))</f>
        <v>0</v>
      </c>
      <c r="H42" s="182" t="str">
        <f aca="false">IF(D42="","",G42*'ตั้งค่า Setup'!$C$9)</f>
        <v/>
      </c>
      <c r="I42" s="24"/>
      <c r="J42" s="24"/>
      <c r="K42" s="117" t="str">
        <f aca="false">IF(OR(I42="",J42=""),"",J42-I42+1)</f>
        <v/>
      </c>
      <c r="L42" s="24"/>
      <c r="M42" s="24"/>
      <c r="N42" s="24"/>
      <c r="O42" s="24"/>
      <c r="P42" s="113"/>
      <c r="Q42" s="115" t="str">
        <f aca="false">IF(OR(D42="",I42="",J42=""),"",MAX(0,MIN(1,('ตั้งค่า Setup'!$C$15-I42+1)/(J42-I42+1))))</f>
        <v/>
      </c>
      <c r="R42" s="115" t="str">
        <f aca="false">IF(OR(D42="",AA42=0),"",MAX(0,MIN(1,('ตั้งค่า Setup'!$C$15-AA42+1)/(AB42-AA42+1))))</f>
        <v/>
      </c>
      <c r="S42" s="182" t="str">
        <f aca="false">IF(Q42="","",H42*Q42)</f>
        <v/>
      </c>
      <c r="T42" s="182" t="str">
        <f aca="false">IF(D42="","",H42*N(P42))</f>
        <v/>
      </c>
      <c r="U42" s="182" t="str">
        <f aca="false">IF(OR(S42="",T42=""),"",T42-S42)</f>
        <v/>
      </c>
      <c r="V42" s="183" t="str">
        <f aca="false">IF(OR(S42="",T42=""),"",IF(S42=0,"",T42/S42))</f>
        <v/>
      </c>
      <c r="W42" s="127" t="str">
        <f aca="false">IF(OR(D42="",AA42=0),"",IF(O42&lt;&gt;"",O42,IF(AND(N(P42)&gt;0,N42&lt;&gt;""),N42+ROUND((MAX('ตั้งค่า Setup'!$C$15,N42)-N42+1)/P42,0)-1,MAX(AB42,'ตั้งค่า Setup'!$C$15+AB42-AA42))))</f>
        <v/>
      </c>
      <c r="X42" s="184" t="str">
        <f aca="false">IF(OR(W42="",J42=""),"",W42-J42)</f>
        <v/>
      </c>
      <c r="Y42" s="117" t="str">
        <f aca="false">IF(OR(D42="",I42="",J42=""),"",IF(O42&lt;&gt;"",IF(O42&lt;=J42,"เสร็จ / Completed","เสร็จช้า / Completed Late"),IF(AND(N42="",'ตั้งค่า Setup'!$C$15&lt;AA42),"ยังไม่ถึงกำหนด / Not Due",IF(N(P42)&gt;=Q42,"ตามแผน / On Track",IF('ตั้งค่า Setup'!$C$15&gt;J42,"เกินกำหนด / Overdue","ล่าช้า / Behind")))))</f>
        <v/>
      </c>
      <c r="Z42" s="32"/>
      <c r="AA42" s="69" t="n">
        <f aca="false">IF(D42="",0,IF(L42&lt;&gt;"",L42,N(I42)))</f>
        <v>0</v>
      </c>
      <c r="AB42" s="69" t="n">
        <f aca="false">IF(D42="",0,IF(M42&lt;&gt;"",M42,N(J42)))</f>
        <v>0</v>
      </c>
      <c r="AC42" s="185" t="str">
        <f aca="false">IF(AND(D42&lt;&gt;"",O42="",ISNUMBER(X42)),X42+(1000-ROW())/1000000,"")</f>
        <v/>
      </c>
      <c r="AD42" s="185" t="n">
        <f aca="false">IF(AND(D42&lt;&gt;"",O42="",AA42&gt;0,AA42&lt;='ตั้งค่า Setup'!$C$15+'ตั้งค่า Setup'!$C$20),1,0)</f>
        <v>0</v>
      </c>
      <c r="AE42" s="185" t="str">
        <f aca="false">IF(AD42=1,SUM(AD$7:AD42),"")</f>
        <v/>
      </c>
    </row>
    <row r="43" customFormat="false" ht="15" hidden="false" customHeight="false" outlineLevel="0" collapsed="false">
      <c r="A43" s="181" t="str">
        <f aca="false">IF(OR(B43="",C43="",D43=""),"",IFERROR(MATCH(B43,'ตั้งค่า Setup'!$C$26:$C$65,0)&amp;"."&amp;MATCH(C43,'ตั้งค่า Setup'!$C$68:$C$107,0)&amp;"."&amp;TEXT(COUNTIFS(B$7:B43,B43,C$7:C43,C43),"00"),"?"))</f>
        <v/>
      </c>
      <c r="B43" s="32"/>
      <c r="C43" s="32"/>
      <c r="D43" s="32"/>
      <c r="E43" s="23"/>
      <c r="F43" s="113"/>
      <c r="G43" s="115" t="n">
        <f aca="false">IF(D43="",0,IF(F43&lt;&gt;"",F43,IF(SUM($E$7:$E$156)&gt;0,N(E43)/SUM($E$7:$E$156),0)))</f>
        <v>0</v>
      </c>
      <c r="H43" s="182" t="str">
        <f aca="false">IF(D43="","",G43*'ตั้งค่า Setup'!$C$9)</f>
        <v/>
      </c>
      <c r="I43" s="24"/>
      <c r="J43" s="24"/>
      <c r="K43" s="117" t="str">
        <f aca="false">IF(OR(I43="",J43=""),"",J43-I43+1)</f>
        <v/>
      </c>
      <c r="L43" s="24"/>
      <c r="M43" s="24"/>
      <c r="N43" s="24"/>
      <c r="O43" s="24"/>
      <c r="P43" s="113"/>
      <c r="Q43" s="115" t="str">
        <f aca="false">IF(OR(D43="",I43="",J43=""),"",MAX(0,MIN(1,('ตั้งค่า Setup'!$C$15-I43+1)/(J43-I43+1))))</f>
        <v/>
      </c>
      <c r="R43" s="115" t="str">
        <f aca="false">IF(OR(D43="",AA43=0),"",MAX(0,MIN(1,('ตั้งค่า Setup'!$C$15-AA43+1)/(AB43-AA43+1))))</f>
        <v/>
      </c>
      <c r="S43" s="182" t="str">
        <f aca="false">IF(Q43="","",H43*Q43)</f>
        <v/>
      </c>
      <c r="T43" s="182" t="str">
        <f aca="false">IF(D43="","",H43*N(P43))</f>
        <v/>
      </c>
      <c r="U43" s="182" t="str">
        <f aca="false">IF(OR(S43="",T43=""),"",T43-S43)</f>
        <v/>
      </c>
      <c r="V43" s="183" t="str">
        <f aca="false">IF(OR(S43="",T43=""),"",IF(S43=0,"",T43/S43))</f>
        <v/>
      </c>
      <c r="W43" s="127" t="str">
        <f aca="false">IF(OR(D43="",AA43=0),"",IF(O43&lt;&gt;"",O43,IF(AND(N(P43)&gt;0,N43&lt;&gt;""),N43+ROUND((MAX('ตั้งค่า Setup'!$C$15,N43)-N43+1)/P43,0)-1,MAX(AB43,'ตั้งค่า Setup'!$C$15+AB43-AA43))))</f>
        <v/>
      </c>
      <c r="X43" s="184" t="str">
        <f aca="false">IF(OR(W43="",J43=""),"",W43-J43)</f>
        <v/>
      </c>
      <c r="Y43" s="117" t="str">
        <f aca="false">IF(OR(D43="",I43="",J43=""),"",IF(O43&lt;&gt;"",IF(O43&lt;=J43,"เสร็จ / Completed","เสร็จช้า / Completed Late"),IF(AND(N43="",'ตั้งค่า Setup'!$C$15&lt;AA43),"ยังไม่ถึงกำหนด / Not Due",IF(N(P43)&gt;=Q43,"ตามแผน / On Track",IF('ตั้งค่า Setup'!$C$15&gt;J43,"เกินกำหนด / Overdue","ล่าช้า / Behind")))))</f>
        <v/>
      </c>
      <c r="Z43" s="32"/>
      <c r="AA43" s="69" t="n">
        <f aca="false">IF(D43="",0,IF(L43&lt;&gt;"",L43,N(I43)))</f>
        <v>0</v>
      </c>
      <c r="AB43" s="69" t="n">
        <f aca="false">IF(D43="",0,IF(M43&lt;&gt;"",M43,N(J43)))</f>
        <v>0</v>
      </c>
      <c r="AC43" s="185" t="str">
        <f aca="false">IF(AND(D43&lt;&gt;"",O43="",ISNUMBER(X43)),X43+(1000-ROW())/1000000,"")</f>
        <v/>
      </c>
      <c r="AD43" s="185" t="n">
        <f aca="false">IF(AND(D43&lt;&gt;"",O43="",AA43&gt;0,AA43&lt;='ตั้งค่า Setup'!$C$15+'ตั้งค่า Setup'!$C$20),1,0)</f>
        <v>0</v>
      </c>
      <c r="AE43" s="185" t="str">
        <f aca="false">IF(AD43=1,SUM(AD$7:AD43),"")</f>
        <v/>
      </c>
    </row>
    <row r="44" customFormat="false" ht="15" hidden="false" customHeight="false" outlineLevel="0" collapsed="false">
      <c r="A44" s="181" t="str">
        <f aca="false">IF(OR(B44="",C44="",D44=""),"",IFERROR(MATCH(B44,'ตั้งค่า Setup'!$C$26:$C$65,0)&amp;"."&amp;MATCH(C44,'ตั้งค่า Setup'!$C$68:$C$107,0)&amp;"."&amp;TEXT(COUNTIFS(B$7:B44,B44,C$7:C44,C44),"00"),"?"))</f>
        <v/>
      </c>
      <c r="B44" s="32"/>
      <c r="C44" s="32"/>
      <c r="D44" s="32"/>
      <c r="E44" s="23"/>
      <c r="F44" s="113"/>
      <c r="G44" s="115" t="n">
        <f aca="false">IF(D44="",0,IF(F44&lt;&gt;"",F44,IF(SUM($E$7:$E$156)&gt;0,N(E44)/SUM($E$7:$E$156),0)))</f>
        <v>0</v>
      </c>
      <c r="H44" s="182" t="str">
        <f aca="false">IF(D44="","",G44*'ตั้งค่า Setup'!$C$9)</f>
        <v/>
      </c>
      <c r="I44" s="24"/>
      <c r="J44" s="24"/>
      <c r="K44" s="117" t="str">
        <f aca="false">IF(OR(I44="",J44=""),"",J44-I44+1)</f>
        <v/>
      </c>
      <c r="L44" s="24"/>
      <c r="M44" s="24"/>
      <c r="N44" s="24"/>
      <c r="O44" s="24"/>
      <c r="P44" s="113"/>
      <c r="Q44" s="115" t="str">
        <f aca="false">IF(OR(D44="",I44="",J44=""),"",MAX(0,MIN(1,('ตั้งค่า Setup'!$C$15-I44+1)/(J44-I44+1))))</f>
        <v/>
      </c>
      <c r="R44" s="115" t="str">
        <f aca="false">IF(OR(D44="",AA44=0),"",MAX(0,MIN(1,('ตั้งค่า Setup'!$C$15-AA44+1)/(AB44-AA44+1))))</f>
        <v/>
      </c>
      <c r="S44" s="182" t="str">
        <f aca="false">IF(Q44="","",H44*Q44)</f>
        <v/>
      </c>
      <c r="T44" s="182" t="str">
        <f aca="false">IF(D44="","",H44*N(P44))</f>
        <v/>
      </c>
      <c r="U44" s="182" t="str">
        <f aca="false">IF(OR(S44="",T44=""),"",T44-S44)</f>
        <v/>
      </c>
      <c r="V44" s="183" t="str">
        <f aca="false">IF(OR(S44="",T44=""),"",IF(S44=0,"",T44/S44))</f>
        <v/>
      </c>
      <c r="W44" s="127" t="str">
        <f aca="false">IF(OR(D44="",AA44=0),"",IF(O44&lt;&gt;"",O44,IF(AND(N(P44)&gt;0,N44&lt;&gt;""),N44+ROUND((MAX('ตั้งค่า Setup'!$C$15,N44)-N44+1)/P44,0)-1,MAX(AB44,'ตั้งค่า Setup'!$C$15+AB44-AA44))))</f>
        <v/>
      </c>
      <c r="X44" s="184" t="str">
        <f aca="false">IF(OR(W44="",J44=""),"",W44-J44)</f>
        <v/>
      </c>
      <c r="Y44" s="117" t="str">
        <f aca="false">IF(OR(D44="",I44="",J44=""),"",IF(O44&lt;&gt;"",IF(O44&lt;=J44,"เสร็จ / Completed","เสร็จช้า / Completed Late"),IF(AND(N44="",'ตั้งค่า Setup'!$C$15&lt;AA44),"ยังไม่ถึงกำหนด / Not Due",IF(N(P44)&gt;=Q44,"ตามแผน / On Track",IF('ตั้งค่า Setup'!$C$15&gt;J44,"เกินกำหนด / Overdue","ล่าช้า / Behind")))))</f>
        <v/>
      </c>
      <c r="Z44" s="32"/>
      <c r="AA44" s="69" t="n">
        <f aca="false">IF(D44="",0,IF(L44&lt;&gt;"",L44,N(I44)))</f>
        <v>0</v>
      </c>
      <c r="AB44" s="69" t="n">
        <f aca="false">IF(D44="",0,IF(M44&lt;&gt;"",M44,N(J44)))</f>
        <v>0</v>
      </c>
      <c r="AC44" s="185" t="str">
        <f aca="false">IF(AND(D44&lt;&gt;"",O44="",ISNUMBER(X44)),X44+(1000-ROW())/1000000,"")</f>
        <v/>
      </c>
      <c r="AD44" s="185" t="n">
        <f aca="false">IF(AND(D44&lt;&gt;"",O44="",AA44&gt;0,AA44&lt;='ตั้งค่า Setup'!$C$15+'ตั้งค่า Setup'!$C$20),1,0)</f>
        <v>0</v>
      </c>
      <c r="AE44" s="185" t="str">
        <f aca="false">IF(AD44=1,SUM(AD$7:AD44),"")</f>
        <v/>
      </c>
    </row>
    <row r="45" customFormat="false" ht="15" hidden="false" customHeight="false" outlineLevel="0" collapsed="false">
      <c r="A45" s="181" t="str">
        <f aca="false">IF(OR(B45="",C45="",D45=""),"",IFERROR(MATCH(B45,'ตั้งค่า Setup'!$C$26:$C$65,0)&amp;"."&amp;MATCH(C45,'ตั้งค่า Setup'!$C$68:$C$107,0)&amp;"."&amp;TEXT(COUNTIFS(B$7:B45,B45,C$7:C45,C45),"00"),"?"))</f>
        <v/>
      </c>
      <c r="B45" s="32"/>
      <c r="C45" s="32"/>
      <c r="D45" s="32"/>
      <c r="E45" s="23"/>
      <c r="F45" s="113"/>
      <c r="G45" s="115" t="n">
        <f aca="false">IF(D45="",0,IF(F45&lt;&gt;"",F45,IF(SUM($E$7:$E$156)&gt;0,N(E45)/SUM($E$7:$E$156),0)))</f>
        <v>0</v>
      </c>
      <c r="H45" s="182" t="str">
        <f aca="false">IF(D45="","",G45*'ตั้งค่า Setup'!$C$9)</f>
        <v/>
      </c>
      <c r="I45" s="24"/>
      <c r="J45" s="24"/>
      <c r="K45" s="117" t="str">
        <f aca="false">IF(OR(I45="",J45=""),"",J45-I45+1)</f>
        <v/>
      </c>
      <c r="L45" s="24"/>
      <c r="M45" s="24"/>
      <c r="N45" s="24"/>
      <c r="O45" s="24"/>
      <c r="P45" s="113"/>
      <c r="Q45" s="115" t="str">
        <f aca="false">IF(OR(D45="",I45="",J45=""),"",MAX(0,MIN(1,('ตั้งค่า Setup'!$C$15-I45+1)/(J45-I45+1))))</f>
        <v/>
      </c>
      <c r="R45" s="115" t="str">
        <f aca="false">IF(OR(D45="",AA45=0),"",MAX(0,MIN(1,('ตั้งค่า Setup'!$C$15-AA45+1)/(AB45-AA45+1))))</f>
        <v/>
      </c>
      <c r="S45" s="182" t="str">
        <f aca="false">IF(Q45="","",H45*Q45)</f>
        <v/>
      </c>
      <c r="T45" s="182" t="str">
        <f aca="false">IF(D45="","",H45*N(P45))</f>
        <v/>
      </c>
      <c r="U45" s="182" t="str">
        <f aca="false">IF(OR(S45="",T45=""),"",T45-S45)</f>
        <v/>
      </c>
      <c r="V45" s="183" t="str">
        <f aca="false">IF(OR(S45="",T45=""),"",IF(S45=0,"",T45/S45))</f>
        <v/>
      </c>
      <c r="W45" s="127" t="str">
        <f aca="false">IF(OR(D45="",AA45=0),"",IF(O45&lt;&gt;"",O45,IF(AND(N(P45)&gt;0,N45&lt;&gt;""),N45+ROUND((MAX('ตั้งค่า Setup'!$C$15,N45)-N45+1)/P45,0)-1,MAX(AB45,'ตั้งค่า Setup'!$C$15+AB45-AA45))))</f>
        <v/>
      </c>
      <c r="X45" s="184" t="str">
        <f aca="false">IF(OR(W45="",J45=""),"",W45-J45)</f>
        <v/>
      </c>
      <c r="Y45" s="117" t="str">
        <f aca="false">IF(OR(D45="",I45="",J45=""),"",IF(O45&lt;&gt;"",IF(O45&lt;=J45,"เสร็จ / Completed","เสร็จช้า / Completed Late"),IF(AND(N45="",'ตั้งค่า Setup'!$C$15&lt;AA45),"ยังไม่ถึงกำหนด / Not Due",IF(N(P45)&gt;=Q45,"ตามแผน / On Track",IF('ตั้งค่า Setup'!$C$15&gt;J45,"เกินกำหนด / Overdue","ล่าช้า / Behind")))))</f>
        <v/>
      </c>
      <c r="Z45" s="32"/>
      <c r="AA45" s="69" t="n">
        <f aca="false">IF(D45="",0,IF(L45&lt;&gt;"",L45,N(I45)))</f>
        <v>0</v>
      </c>
      <c r="AB45" s="69" t="n">
        <f aca="false">IF(D45="",0,IF(M45&lt;&gt;"",M45,N(J45)))</f>
        <v>0</v>
      </c>
      <c r="AC45" s="185" t="str">
        <f aca="false">IF(AND(D45&lt;&gt;"",O45="",ISNUMBER(X45)),X45+(1000-ROW())/1000000,"")</f>
        <v/>
      </c>
      <c r="AD45" s="185" t="n">
        <f aca="false">IF(AND(D45&lt;&gt;"",O45="",AA45&gt;0,AA45&lt;='ตั้งค่า Setup'!$C$15+'ตั้งค่า Setup'!$C$20),1,0)</f>
        <v>0</v>
      </c>
      <c r="AE45" s="185" t="str">
        <f aca="false">IF(AD45=1,SUM(AD$7:AD45),"")</f>
        <v/>
      </c>
    </row>
    <row r="46" customFormat="false" ht="15" hidden="false" customHeight="false" outlineLevel="0" collapsed="false">
      <c r="A46" s="181" t="str">
        <f aca="false">IF(OR(B46="",C46="",D46=""),"",IFERROR(MATCH(B46,'ตั้งค่า Setup'!$C$26:$C$65,0)&amp;"."&amp;MATCH(C46,'ตั้งค่า Setup'!$C$68:$C$107,0)&amp;"."&amp;TEXT(COUNTIFS(B$7:B46,B46,C$7:C46,C46),"00"),"?"))</f>
        <v/>
      </c>
      <c r="B46" s="32"/>
      <c r="C46" s="32"/>
      <c r="D46" s="32"/>
      <c r="E46" s="23"/>
      <c r="F46" s="113"/>
      <c r="G46" s="115" t="n">
        <f aca="false">IF(D46="",0,IF(F46&lt;&gt;"",F46,IF(SUM($E$7:$E$156)&gt;0,N(E46)/SUM($E$7:$E$156),0)))</f>
        <v>0</v>
      </c>
      <c r="H46" s="182" t="str">
        <f aca="false">IF(D46="","",G46*'ตั้งค่า Setup'!$C$9)</f>
        <v/>
      </c>
      <c r="I46" s="24"/>
      <c r="J46" s="24"/>
      <c r="K46" s="117" t="str">
        <f aca="false">IF(OR(I46="",J46=""),"",J46-I46+1)</f>
        <v/>
      </c>
      <c r="L46" s="24"/>
      <c r="M46" s="24"/>
      <c r="N46" s="24"/>
      <c r="O46" s="24"/>
      <c r="P46" s="113"/>
      <c r="Q46" s="115" t="str">
        <f aca="false">IF(OR(D46="",I46="",J46=""),"",MAX(0,MIN(1,('ตั้งค่า Setup'!$C$15-I46+1)/(J46-I46+1))))</f>
        <v/>
      </c>
      <c r="R46" s="115" t="str">
        <f aca="false">IF(OR(D46="",AA46=0),"",MAX(0,MIN(1,('ตั้งค่า Setup'!$C$15-AA46+1)/(AB46-AA46+1))))</f>
        <v/>
      </c>
      <c r="S46" s="182" t="str">
        <f aca="false">IF(Q46="","",H46*Q46)</f>
        <v/>
      </c>
      <c r="T46" s="182" t="str">
        <f aca="false">IF(D46="","",H46*N(P46))</f>
        <v/>
      </c>
      <c r="U46" s="182" t="str">
        <f aca="false">IF(OR(S46="",T46=""),"",T46-S46)</f>
        <v/>
      </c>
      <c r="V46" s="183" t="str">
        <f aca="false">IF(OR(S46="",T46=""),"",IF(S46=0,"",T46/S46))</f>
        <v/>
      </c>
      <c r="W46" s="127" t="str">
        <f aca="false">IF(OR(D46="",AA46=0),"",IF(O46&lt;&gt;"",O46,IF(AND(N(P46)&gt;0,N46&lt;&gt;""),N46+ROUND((MAX('ตั้งค่า Setup'!$C$15,N46)-N46+1)/P46,0)-1,MAX(AB46,'ตั้งค่า Setup'!$C$15+AB46-AA46))))</f>
        <v/>
      </c>
      <c r="X46" s="184" t="str">
        <f aca="false">IF(OR(W46="",J46=""),"",W46-J46)</f>
        <v/>
      </c>
      <c r="Y46" s="117" t="str">
        <f aca="false">IF(OR(D46="",I46="",J46=""),"",IF(O46&lt;&gt;"",IF(O46&lt;=J46,"เสร็จ / Completed","เสร็จช้า / Completed Late"),IF(AND(N46="",'ตั้งค่า Setup'!$C$15&lt;AA46),"ยังไม่ถึงกำหนด / Not Due",IF(N(P46)&gt;=Q46,"ตามแผน / On Track",IF('ตั้งค่า Setup'!$C$15&gt;J46,"เกินกำหนด / Overdue","ล่าช้า / Behind")))))</f>
        <v/>
      </c>
      <c r="Z46" s="32"/>
      <c r="AA46" s="69" t="n">
        <f aca="false">IF(D46="",0,IF(L46&lt;&gt;"",L46,N(I46)))</f>
        <v>0</v>
      </c>
      <c r="AB46" s="69" t="n">
        <f aca="false">IF(D46="",0,IF(M46&lt;&gt;"",M46,N(J46)))</f>
        <v>0</v>
      </c>
      <c r="AC46" s="185" t="str">
        <f aca="false">IF(AND(D46&lt;&gt;"",O46="",ISNUMBER(X46)),X46+(1000-ROW())/1000000,"")</f>
        <v/>
      </c>
      <c r="AD46" s="185" t="n">
        <f aca="false">IF(AND(D46&lt;&gt;"",O46="",AA46&gt;0,AA46&lt;='ตั้งค่า Setup'!$C$15+'ตั้งค่า Setup'!$C$20),1,0)</f>
        <v>0</v>
      </c>
      <c r="AE46" s="185" t="str">
        <f aca="false">IF(AD46=1,SUM(AD$7:AD46),"")</f>
        <v/>
      </c>
    </row>
    <row r="47" customFormat="false" ht="15" hidden="false" customHeight="false" outlineLevel="0" collapsed="false">
      <c r="A47" s="181" t="str">
        <f aca="false">IF(OR(B47="",C47="",D47=""),"",IFERROR(MATCH(B47,'ตั้งค่า Setup'!$C$26:$C$65,0)&amp;"."&amp;MATCH(C47,'ตั้งค่า Setup'!$C$68:$C$107,0)&amp;"."&amp;TEXT(COUNTIFS(B$7:B47,B47,C$7:C47,C47),"00"),"?"))</f>
        <v/>
      </c>
      <c r="B47" s="32"/>
      <c r="C47" s="32"/>
      <c r="D47" s="32"/>
      <c r="E47" s="23"/>
      <c r="F47" s="113"/>
      <c r="G47" s="115" t="n">
        <f aca="false">IF(D47="",0,IF(F47&lt;&gt;"",F47,IF(SUM($E$7:$E$156)&gt;0,N(E47)/SUM($E$7:$E$156),0)))</f>
        <v>0</v>
      </c>
      <c r="H47" s="182" t="str">
        <f aca="false">IF(D47="","",G47*'ตั้งค่า Setup'!$C$9)</f>
        <v/>
      </c>
      <c r="I47" s="24"/>
      <c r="J47" s="24"/>
      <c r="K47" s="117" t="str">
        <f aca="false">IF(OR(I47="",J47=""),"",J47-I47+1)</f>
        <v/>
      </c>
      <c r="L47" s="24"/>
      <c r="M47" s="24"/>
      <c r="N47" s="24"/>
      <c r="O47" s="24"/>
      <c r="P47" s="113"/>
      <c r="Q47" s="115" t="str">
        <f aca="false">IF(OR(D47="",I47="",J47=""),"",MAX(0,MIN(1,('ตั้งค่า Setup'!$C$15-I47+1)/(J47-I47+1))))</f>
        <v/>
      </c>
      <c r="R47" s="115" t="str">
        <f aca="false">IF(OR(D47="",AA47=0),"",MAX(0,MIN(1,('ตั้งค่า Setup'!$C$15-AA47+1)/(AB47-AA47+1))))</f>
        <v/>
      </c>
      <c r="S47" s="182" t="str">
        <f aca="false">IF(Q47="","",H47*Q47)</f>
        <v/>
      </c>
      <c r="T47" s="182" t="str">
        <f aca="false">IF(D47="","",H47*N(P47))</f>
        <v/>
      </c>
      <c r="U47" s="182" t="str">
        <f aca="false">IF(OR(S47="",T47=""),"",T47-S47)</f>
        <v/>
      </c>
      <c r="V47" s="183" t="str">
        <f aca="false">IF(OR(S47="",T47=""),"",IF(S47=0,"",T47/S47))</f>
        <v/>
      </c>
      <c r="W47" s="127" t="str">
        <f aca="false">IF(OR(D47="",AA47=0),"",IF(O47&lt;&gt;"",O47,IF(AND(N(P47)&gt;0,N47&lt;&gt;""),N47+ROUND((MAX('ตั้งค่า Setup'!$C$15,N47)-N47+1)/P47,0)-1,MAX(AB47,'ตั้งค่า Setup'!$C$15+AB47-AA47))))</f>
        <v/>
      </c>
      <c r="X47" s="184" t="str">
        <f aca="false">IF(OR(W47="",J47=""),"",W47-J47)</f>
        <v/>
      </c>
      <c r="Y47" s="117" t="str">
        <f aca="false">IF(OR(D47="",I47="",J47=""),"",IF(O47&lt;&gt;"",IF(O47&lt;=J47,"เสร็จ / Completed","เสร็จช้า / Completed Late"),IF(AND(N47="",'ตั้งค่า Setup'!$C$15&lt;AA47),"ยังไม่ถึงกำหนด / Not Due",IF(N(P47)&gt;=Q47,"ตามแผน / On Track",IF('ตั้งค่า Setup'!$C$15&gt;J47,"เกินกำหนด / Overdue","ล่าช้า / Behind")))))</f>
        <v/>
      </c>
      <c r="Z47" s="32"/>
      <c r="AA47" s="69" t="n">
        <f aca="false">IF(D47="",0,IF(L47&lt;&gt;"",L47,N(I47)))</f>
        <v>0</v>
      </c>
      <c r="AB47" s="69" t="n">
        <f aca="false">IF(D47="",0,IF(M47&lt;&gt;"",M47,N(J47)))</f>
        <v>0</v>
      </c>
      <c r="AC47" s="185" t="str">
        <f aca="false">IF(AND(D47&lt;&gt;"",O47="",ISNUMBER(X47)),X47+(1000-ROW())/1000000,"")</f>
        <v/>
      </c>
      <c r="AD47" s="185" t="n">
        <f aca="false">IF(AND(D47&lt;&gt;"",O47="",AA47&gt;0,AA47&lt;='ตั้งค่า Setup'!$C$15+'ตั้งค่า Setup'!$C$20),1,0)</f>
        <v>0</v>
      </c>
      <c r="AE47" s="185" t="str">
        <f aca="false">IF(AD47=1,SUM(AD$7:AD47),"")</f>
        <v/>
      </c>
    </row>
    <row r="48" customFormat="false" ht="15" hidden="false" customHeight="false" outlineLevel="0" collapsed="false">
      <c r="A48" s="181" t="str">
        <f aca="false">IF(OR(B48="",C48="",D48=""),"",IFERROR(MATCH(B48,'ตั้งค่า Setup'!$C$26:$C$65,0)&amp;"."&amp;MATCH(C48,'ตั้งค่า Setup'!$C$68:$C$107,0)&amp;"."&amp;TEXT(COUNTIFS(B$7:B48,B48,C$7:C48,C48),"00"),"?"))</f>
        <v/>
      </c>
      <c r="B48" s="32"/>
      <c r="C48" s="32"/>
      <c r="D48" s="32"/>
      <c r="E48" s="23"/>
      <c r="F48" s="113"/>
      <c r="G48" s="115" t="n">
        <f aca="false">IF(D48="",0,IF(F48&lt;&gt;"",F48,IF(SUM($E$7:$E$156)&gt;0,N(E48)/SUM($E$7:$E$156),0)))</f>
        <v>0</v>
      </c>
      <c r="H48" s="182" t="str">
        <f aca="false">IF(D48="","",G48*'ตั้งค่า Setup'!$C$9)</f>
        <v/>
      </c>
      <c r="I48" s="24"/>
      <c r="J48" s="24"/>
      <c r="K48" s="117" t="str">
        <f aca="false">IF(OR(I48="",J48=""),"",J48-I48+1)</f>
        <v/>
      </c>
      <c r="L48" s="24"/>
      <c r="M48" s="24"/>
      <c r="N48" s="24"/>
      <c r="O48" s="24"/>
      <c r="P48" s="113"/>
      <c r="Q48" s="115" t="str">
        <f aca="false">IF(OR(D48="",I48="",J48=""),"",MAX(0,MIN(1,('ตั้งค่า Setup'!$C$15-I48+1)/(J48-I48+1))))</f>
        <v/>
      </c>
      <c r="R48" s="115" t="str">
        <f aca="false">IF(OR(D48="",AA48=0),"",MAX(0,MIN(1,('ตั้งค่า Setup'!$C$15-AA48+1)/(AB48-AA48+1))))</f>
        <v/>
      </c>
      <c r="S48" s="182" t="str">
        <f aca="false">IF(Q48="","",H48*Q48)</f>
        <v/>
      </c>
      <c r="T48" s="182" t="str">
        <f aca="false">IF(D48="","",H48*N(P48))</f>
        <v/>
      </c>
      <c r="U48" s="182" t="str">
        <f aca="false">IF(OR(S48="",T48=""),"",T48-S48)</f>
        <v/>
      </c>
      <c r="V48" s="183" t="str">
        <f aca="false">IF(OR(S48="",T48=""),"",IF(S48=0,"",T48/S48))</f>
        <v/>
      </c>
      <c r="W48" s="127" t="str">
        <f aca="false">IF(OR(D48="",AA48=0),"",IF(O48&lt;&gt;"",O48,IF(AND(N(P48)&gt;0,N48&lt;&gt;""),N48+ROUND((MAX('ตั้งค่า Setup'!$C$15,N48)-N48+1)/P48,0)-1,MAX(AB48,'ตั้งค่า Setup'!$C$15+AB48-AA48))))</f>
        <v/>
      </c>
      <c r="X48" s="184" t="str">
        <f aca="false">IF(OR(W48="",J48=""),"",W48-J48)</f>
        <v/>
      </c>
      <c r="Y48" s="117" t="str">
        <f aca="false">IF(OR(D48="",I48="",J48=""),"",IF(O48&lt;&gt;"",IF(O48&lt;=J48,"เสร็จ / Completed","เสร็จช้า / Completed Late"),IF(AND(N48="",'ตั้งค่า Setup'!$C$15&lt;AA48),"ยังไม่ถึงกำหนด / Not Due",IF(N(P48)&gt;=Q48,"ตามแผน / On Track",IF('ตั้งค่า Setup'!$C$15&gt;J48,"เกินกำหนด / Overdue","ล่าช้า / Behind")))))</f>
        <v/>
      </c>
      <c r="Z48" s="32"/>
      <c r="AA48" s="69" t="n">
        <f aca="false">IF(D48="",0,IF(L48&lt;&gt;"",L48,N(I48)))</f>
        <v>0</v>
      </c>
      <c r="AB48" s="69" t="n">
        <f aca="false">IF(D48="",0,IF(M48&lt;&gt;"",M48,N(J48)))</f>
        <v>0</v>
      </c>
      <c r="AC48" s="185" t="str">
        <f aca="false">IF(AND(D48&lt;&gt;"",O48="",ISNUMBER(X48)),X48+(1000-ROW())/1000000,"")</f>
        <v/>
      </c>
      <c r="AD48" s="185" t="n">
        <f aca="false">IF(AND(D48&lt;&gt;"",O48="",AA48&gt;0,AA48&lt;='ตั้งค่า Setup'!$C$15+'ตั้งค่า Setup'!$C$20),1,0)</f>
        <v>0</v>
      </c>
      <c r="AE48" s="185" t="str">
        <f aca="false">IF(AD48=1,SUM(AD$7:AD48),"")</f>
        <v/>
      </c>
    </row>
    <row r="49" customFormat="false" ht="15" hidden="false" customHeight="false" outlineLevel="0" collapsed="false">
      <c r="A49" s="181" t="str">
        <f aca="false">IF(OR(B49="",C49="",D49=""),"",IFERROR(MATCH(B49,'ตั้งค่า Setup'!$C$26:$C$65,0)&amp;"."&amp;MATCH(C49,'ตั้งค่า Setup'!$C$68:$C$107,0)&amp;"."&amp;TEXT(COUNTIFS(B$7:B49,B49,C$7:C49,C49),"00"),"?"))</f>
        <v/>
      </c>
      <c r="B49" s="32"/>
      <c r="C49" s="32"/>
      <c r="D49" s="32"/>
      <c r="E49" s="23"/>
      <c r="F49" s="113"/>
      <c r="G49" s="115" t="n">
        <f aca="false">IF(D49="",0,IF(F49&lt;&gt;"",F49,IF(SUM($E$7:$E$156)&gt;0,N(E49)/SUM($E$7:$E$156),0)))</f>
        <v>0</v>
      </c>
      <c r="H49" s="182" t="str">
        <f aca="false">IF(D49="","",G49*'ตั้งค่า Setup'!$C$9)</f>
        <v/>
      </c>
      <c r="I49" s="24"/>
      <c r="J49" s="24"/>
      <c r="K49" s="117" t="str">
        <f aca="false">IF(OR(I49="",J49=""),"",J49-I49+1)</f>
        <v/>
      </c>
      <c r="L49" s="24"/>
      <c r="M49" s="24"/>
      <c r="N49" s="24"/>
      <c r="O49" s="24"/>
      <c r="P49" s="113"/>
      <c r="Q49" s="115" t="str">
        <f aca="false">IF(OR(D49="",I49="",J49=""),"",MAX(0,MIN(1,('ตั้งค่า Setup'!$C$15-I49+1)/(J49-I49+1))))</f>
        <v/>
      </c>
      <c r="R49" s="115" t="str">
        <f aca="false">IF(OR(D49="",AA49=0),"",MAX(0,MIN(1,('ตั้งค่า Setup'!$C$15-AA49+1)/(AB49-AA49+1))))</f>
        <v/>
      </c>
      <c r="S49" s="182" t="str">
        <f aca="false">IF(Q49="","",H49*Q49)</f>
        <v/>
      </c>
      <c r="T49" s="182" t="str">
        <f aca="false">IF(D49="","",H49*N(P49))</f>
        <v/>
      </c>
      <c r="U49" s="182" t="str">
        <f aca="false">IF(OR(S49="",T49=""),"",T49-S49)</f>
        <v/>
      </c>
      <c r="V49" s="183" t="str">
        <f aca="false">IF(OR(S49="",T49=""),"",IF(S49=0,"",T49/S49))</f>
        <v/>
      </c>
      <c r="W49" s="127" t="str">
        <f aca="false">IF(OR(D49="",AA49=0),"",IF(O49&lt;&gt;"",O49,IF(AND(N(P49)&gt;0,N49&lt;&gt;""),N49+ROUND((MAX('ตั้งค่า Setup'!$C$15,N49)-N49+1)/P49,0)-1,MAX(AB49,'ตั้งค่า Setup'!$C$15+AB49-AA49))))</f>
        <v/>
      </c>
      <c r="X49" s="184" t="str">
        <f aca="false">IF(OR(W49="",J49=""),"",W49-J49)</f>
        <v/>
      </c>
      <c r="Y49" s="117" t="str">
        <f aca="false">IF(OR(D49="",I49="",J49=""),"",IF(O49&lt;&gt;"",IF(O49&lt;=J49,"เสร็จ / Completed","เสร็จช้า / Completed Late"),IF(AND(N49="",'ตั้งค่า Setup'!$C$15&lt;AA49),"ยังไม่ถึงกำหนด / Not Due",IF(N(P49)&gt;=Q49,"ตามแผน / On Track",IF('ตั้งค่า Setup'!$C$15&gt;J49,"เกินกำหนด / Overdue","ล่าช้า / Behind")))))</f>
        <v/>
      </c>
      <c r="Z49" s="32"/>
      <c r="AA49" s="69" t="n">
        <f aca="false">IF(D49="",0,IF(L49&lt;&gt;"",L49,N(I49)))</f>
        <v>0</v>
      </c>
      <c r="AB49" s="69" t="n">
        <f aca="false">IF(D49="",0,IF(M49&lt;&gt;"",M49,N(J49)))</f>
        <v>0</v>
      </c>
      <c r="AC49" s="185" t="str">
        <f aca="false">IF(AND(D49&lt;&gt;"",O49="",ISNUMBER(X49)),X49+(1000-ROW())/1000000,"")</f>
        <v/>
      </c>
      <c r="AD49" s="185" t="n">
        <f aca="false">IF(AND(D49&lt;&gt;"",O49="",AA49&gt;0,AA49&lt;='ตั้งค่า Setup'!$C$15+'ตั้งค่า Setup'!$C$20),1,0)</f>
        <v>0</v>
      </c>
      <c r="AE49" s="185" t="str">
        <f aca="false">IF(AD49=1,SUM(AD$7:AD49),"")</f>
        <v/>
      </c>
    </row>
    <row r="50" customFormat="false" ht="15" hidden="false" customHeight="false" outlineLevel="0" collapsed="false">
      <c r="A50" s="181" t="str">
        <f aca="false">IF(OR(B50="",C50="",D50=""),"",IFERROR(MATCH(B50,'ตั้งค่า Setup'!$C$26:$C$65,0)&amp;"."&amp;MATCH(C50,'ตั้งค่า Setup'!$C$68:$C$107,0)&amp;"."&amp;TEXT(COUNTIFS(B$7:B50,B50,C$7:C50,C50),"00"),"?"))</f>
        <v/>
      </c>
      <c r="B50" s="32"/>
      <c r="C50" s="32"/>
      <c r="D50" s="32"/>
      <c r="E50" s="23"/>
      <c r="F50" s="113"/>
      <c r="G50" s="115" t="n">
        <f aca="false">IF(D50="",0,IF(F50&lt;&gt;"",F50,IF(SUM($E$7:$E$156)&gt;0,N(E50)/SUM($E$7:$E$156),0)))</f>
        <v>0</v>
      </c>
      <c r="H50" s="182" t="str">
        <f aca="false">IF(D50="","",G50*'ตั้งค่า Setup'!$C$9)</f>
        <v/>
      </c>
      <c r="I50" s="24"/>
      <c r="J50" s="24"/>
      <c r="K50" s="117" t="str">
        <f aca="false">IF(OR(I50="",J50=""),"",J50-I50+1)</f>
        <v/>
      </c>
      <c r="L50" s="24"/>
      <c r="M50" s="24"/>
      <c r="N50" s="24"/>
      <c r="O50" s="24"/>
      <c r="P50" s="113"/>
      <c r="Q50" s="115" t="str">
        <f aca="false">IF(OR(D50="",I50="",J50=""),"",MAX(0,MIN(1,('ตั้งค่า Setup'!$C$15-I50+1)/(J50-I50+1))))</f>
        <v/>
      </c>
      <c r="R50" s="115" t="str">
        <f aca="false">IF(OR(D50="",AA50=0),"",MAX(0,MIN(1,('ตั้งค่า Setup'!$C$15-AA50+1)/(AB50-AA50+1))))</f>
        <v/>
      </c>
      <c r="S50" s="182" t="str">
        <f aca="false">IF(Q50="","",H50*Q50)</f>
        <v/>
      </c>
      <c r="T50" s="182" t="str">
        <f aca="false">IF(D50="","",H50*N(P50))</f>
        <v/>
      </c>
      <c r="U50" s="182" t="str">
        <f aca="false">IF(OR(S50="",T50=""),"",T50-S50)</f>
        <v/>
      </c>
      <c r="V50" s="183" t="str">
        <f aca="false">IF(OR(S50="",T50=""),"",IF(S50=0,"",T50/S50))</f>
        <v/>
      </c>
      <c r="W50" s="127" t="str">
        <f aca="false">IF(OR(D50="",AA50=0),"",IF(O50&lt;&gt;"",O50,IF(AND(N(P50)&gt;0,N50&lt;&gt;""),N50+ROUND((MAX('ตั้งค่า Setup'!$C$15,N50)-N50+1)/P50,0)-1,MAX(AB50,'ตั้งค่า Setup'!$C$15+AB50-AA50))))</f>
        <v/>
      </c>
      <c r="X50" s="184" t="str">
        <f aca="false">IF(OR(W50="",J50=""),"",W50-J50)</f>
        <v/>
      </c>
      <c r="Y50" s="117" t="str">
        <f aca="false">IF(OR(D50="",I50="",J50=""),"",IF(O50&lt;&gt;"",IF(O50&lt;=J50,"เสร็จ / Completed","เสร็จช้า / Completed Late"),IF(AND(N50="",'ตั้งค่า Setup'!$C$15&lt;AA50),"ยังไม่ถึงกำหนด / Not Due",IF(N(P50)&gt;=Q50,"ตามแผน / On Track",IF('ตั้งค่า Setup'!$C$15&gt;J50,"เกินกำหนด / Overdue","ล่าช้า / Behind")))))</f>
        <v/>
      </c>
      <c r="Z50" s="32"/>
      <c r="AA50" s="69" t="n">
        <f aca="false">IF(D50="",0,IF(L50&lt;&gt;"",L50,N(I50)))</f>
        <v>0</v>
      </c>
      <c r="AB50" s="69" t="n">
        <f aca="false">IF(D50="",0,IF(M50&lt;&gt;"",M50,N(J50)))</f>
        <v>0</v>
      </c>
      <c r="AC50" s="185" t="str">
        <f aca="false">IF(AND(D50&lt;&gt;"",O50="",ISNUMBER(X50)),X50+(1000-ROW())/1000000,"")</f>
        <v/>
      </c>
      <c r="AD50" s="185" t="n">
        <f aca="false">IF(AND(D50&lt;&gt;"",O50="",AA50&gt;0,AA50&lt;='ตั้งค่า Setup'!$C$15+'ตั้งค่า Setup'!$C$20),1,0)</f>
        <v>0</v>
      </c>
      <c r="AE50" s="185" t="str">
        <f aca="false">IF(AD50=1,SUM(AD$7:AD50),"")</f>
        <v/>
      </c>
    </row>
    <row r="51" customFormat="false" ht="15" hidden="false" customHeight="false" outlineLevel="0" collapsed="false">
      <c r="A51" s="181" t="str">
        <f aca="false">IF(OR(B51="",C51="",D51=""),"",IFERROR(MATCH(B51,'ตั้งค่า Setup'!$C$26:$C$65,0)&amp;"."&amp;MATCH(C51,'ตั้งค่า Setup'!$C$68:$C$107,0)&amp;"."&amp;TEXT(COUNTIFS(B$7:B51,B51,C$7:C51,C51),"00"),"?"))</f>
        <v/>
      </c>
      <c r="B51" s="32"/>
      <c r="C51" s="32"/>
      <c r="D51" s="32"/>
      <c r="E51" s="23"/>
      <c r="F51" s="113"/>
      <c r="G51" s="115" t="n">
        <f aca="false">IF(D51="",0,IF(F51&lt;&gt;"",F51,IF(SUM($E$7:$E$156)&gt;0,N(E51)/SUM($E$7:$E$156),0)))</f>
        <v>0</v>
      </c>
      <c r="H51" s="182" t="str">
        <f aca="false">IF(D51="","",G51*'ตั้งค่า Setup'!$C$9)</f>
        <v/>
      </c>
      <c r="I51" s="24"/>
      <c r="J51" s="24"/>
      <c r="K51" s="117" t="str">
        <f aca="false">IF(OR(I51="",J51=""),"",J51-I51+1)</f>
        <v/>
      </c>
      <c r="L51" s="24"/>
      <c r="M51" s="24"/>
      <c r="N51" s="24"/>
      <c r="O51" s="24"/>
      <c r="P51" s="113"/>
      <c r="Q51" s="115" t="str">
        <f aca="false">IF(OR(D51="",I51="",J51=""),"",MAX(0,MIN(1,('ตั้งค่า Setup'!$C$15-I51+1)/(J51-I51+1))))</f>
        <v/>
      </c>
      <c r="R51" s="115" t="str">
        <f aca="false">IF(OR(D51="",AA51=0),"",MAX(0,MIN(1,('ตั้งค่า Setup'!$C$15-AA51+1)/(AB51-AA51+1))))</f>
        <v/>
      </c>
      <c r="S51" s="182" t="str">
        <f aca="false">IF(Q51="","",H51*Q51)</f>
        <v/>
      </c>
      <c r="T51" s="182" t="str">
        <f aca="false">IF(D51="","",H51*N(P51))</f>
        <v/>
      </c>
      <c r="U51" s="182" t="str">
        <f aca="false">IF(OR(S51="",T51=""),"",T51-S51)</f>
        <v/>
      </c>
      <c r="V51" s="183" t="str">
        <f aca="false">IF(OR(S51="",T51=""),"",IF(S51=0,"",T51/S51))</f>
        <v/>
      </c>
      <c r="W51" s="127" t="str">
        <f aca="false">IF(OR(D51="",AA51=0),"",IF(O51&lt;&gt;"",O51,IF(AND(N(P51)&gt;0,N51&lt;&gt;""),N51+ROUND((MAX('ตั้งค่า Setup'!$C$15,N51)-N51+1)/P51,0)-1,MAX(AB51,'ตั้งค่า Setup'!$C$15+AB51-AA51))))</f>
        <v/>
      </c>
      <c r="X51" s="184" t="str">
        <f aca="false">IF(OR(W51="",J51=""),"",W51-J51)</f>
        <v/>
      </c>
      <c r="Y51" s="117" t="str">
        <f aca="false">IF(OR(D51="",I51="",J51=""),"",IF(O51&lt;&gt;"",IF(O51&lt;=J51,"เสร็จ / Completed","เสร็จช้า / Completed Late"),IF(AND(N51="",'ตั้งค่า Setup'!$C$15&lt;AA51),"ยังไม่ถึงกำหนด / Not Due",IF(N(P51)&gt;=Q51,"ตามแผน / On Track",IF('ตั้งค่า Setup'!$C$15&gt;J51,"เกินกำหนด / Overdue","ล่าช้า / Behind")))))</f>
        <v/>
      </c>
      <c r="Z51" s="32"/>
      <c r="AA51" s="69" t="n">
        <f aca="false">IF(D51="",0,IF(L51&lt;&gt;"",L51,N(I51)))</f>
        <v>0</v>
      </c>
      <c r="AB51" s="69" t="n">
        <f aca="false">IF(D51="",0,IF(M51&lt;&gt;"",M51,N(J51)))</f>
        <v>0</v>
      </c>
      <c r="AC51" s="185" t="str">
        <f aca="false">IF(AND(D51&lt;&gt;"",O51="",ISNUMBER(X51)),X51+(1000-ROW())/1000000,"")</f>
        <v/>
      </c>
      <c r="AD51" s="185" t="n">
        <f aca="false">IF(AND(D51&lt;&gt;"",O51="",AA51&gt;0,AA51&lt;='ตั้งค่า Setup'!$C$15+'ตั้งค่า Setup'!$C$20),1,0)</f>
        <v>0</v>
      </c>
      <c r="AE51" s="185" t="str">
        <f aca="false">IF(AD51=1,SUM(AD$7:AD51),"")</f>
        <v/>
      </c>
    </row>
    <row r="52" customFormat="false" ht="15" hidden="false" customHeight="false" outlineLevel="0" collapsed="false">
      <c r="A52" s="181" t="str">
        <f aca="false">IF(OR(B52="",C52="",D52=""),"",IFERROR(MATCH(B52,'ตั้งค่า Setup'!$C$26:$C$65,0)&amp;"."&amp;MATCH(C52,'ตั้งค่า Setup'!$C$68:$C$107,0)&amp;"."&amp;TEXT(COUNTIFS(B$7:B52,B52,C$7:C52,C52),"00"),"?"))</f>
        <v/>
      </c>
      <c r="B52" s="32"/>
      <c r="C52" s="32"/>
      <c r="D52" s="32"/>
      <c r="E52" s="23"/>
      <c r="F52" s="113"/>
      <c r="G52" s="115" t="n">
        <f aca="false">IF(D52="",0,IF(F52&lt;&gt;"",F52,IF(SUM($E$7:$E$156)&gt;0,N(E52)/SUM($E$7:$E$156),0)))</f>
        <v>0</v>
      </c>
      <c r="H52" s="182" t="str">
        <f aca="false">IF(D52="","",G52*'ตั้งค่า Setup'!$C$9)</f>
        <v/>
      </c>
      <c r="I52" s="24"/>
      <c r="J52" s="24"/>
      <c r="K52" s="117" t="str">
        <f aca="false">IF(OR(I52="",J52=""),"",J52-I52+1)</f>
        <v/>
      </c>
      <c r="L52" s="24"/>
      <c r="M52" s="24"/>
      <c r="N52" s="24"/>
      <c r="O52" s="24"/>
      <c r="P52" s="113"/>
      <c r="Q52" s="115" t="str">
        <f aca="false">IF(OR(D52="",I52="",J52=""),"",MAX(0,MIN(1,('ตั้งค่า Setup'!$C$15-I52+1)/(J52-I52+1))))</f>
        <v/>
      </c>
      <c r="R52" s="115" t="str">
        <f aca="false">IF(OR(D52="",AA52=0),"",MAX(0,MIN(1,('ตั้งค่า Setup'!$C$15-AA52+1)/(AB52-AA52+1))))</f>
        <v/>
      </c>
      <c r="S52" s="182" t="str">
        <f aca="false">IF(Q52="","",H52*Q52)</f>
        <v/>
      </c>
      <c r="T52" s="182" t="str">
        <f aca="false">IF(D52="","",H52*N(P52))</f>
        <v/>
      </c>
      <c r="U52" s="182" t="str">
        <f aca="false">IF(OR(S52="",T52=""),"",T52-S52)</f>
        <v/>
      </c>
      <c r="V52" s="183" t="str">
        <f aca="false">IF(OR(S52="",T52=""),"",IF(S52=0,"",T52/S52))</f>
        <v/>
      </c>
      <c r="W52" s="127" t="str">
        <f aca="false">IF(OR(D52="",AA52=0),"",IF(O52&lt;&gt;"",O52,IF(AND(N(P52)&gt;0,N52&lt;&gt;""),N52+ROUND((MAX('ตั้งค่า Setup'!$C$15,N52)-N52+1)/P52,0)-1,MAX(AB52,'ตั้งค่า Setup'!$C$15+AB52-AA52))))</f>
        <v/>
      </c>
      <c r="X52" s="184" t="str">
        <f aca="false">IF(OR(W52="",J52=""),"",W52-J52)</f>
        <v/>
      </c>
      <c r="Y52" s="117" t="str">
        <f aca="false">IF(OR(D52="",I52="",J52=""),"",IF(O52&lt;&gt;"",IF(O52&lt;=J52,"เสร็จ / Completed","เสร็จช้า / Completed Late"),IF(AND(N52="",'ตั้งค่า Setup'!$C$15&lt;AA52),"ยังไม่ถึงกำหนด / Not Due",IF(N(P52)&gt;=Q52,"ตามแผน / On Track",IF('ตั้งค่า Setup'!$C$15&gt;J52,"เกินกำหนด / Overdue","ล่าช้า / Behind")))))</f>
        <v/>
      </c>
      <c r="Z52" s="32"/>
      <c r="AA52" s="69" t="n">
        <f aca="false">IF(D52="",0,IF(L52&lt;&gt;"",L52,N(I52)))</f>
        <v>0</v>
      </c>
      <c r="AB52" s="69" t="n">
        <f aca="false">IF(D52="",0,IF(M52&lt;&gt;"",M52,N(J52)))</f>
        <v>0</v>
      </c>
      <c r="AC52" s="185" t="str">
        <f aca="false">IF(AND(D52&lt;&gt;"",O52="",ISNUMBER(X52)),X52+(1000-ROW())/1000000,"")</f>
        <v/>
      </c>
      <c r="AD52" s="185" t="n">
        <f aca="false">IF(AND(D52&lt;&gt;"",O52="",AA52&gt;0,AA52&lt;='ตั้งค่า Setup'!$C$15+'ตั้งค่า Setup'!$C$20),1,0)</f>
        <v>0</v>
      </c>
      <c r="AE52" s="185" t="str">
        <f aca="false">IF(AD52=1,SUM(AD$7:AD52),"")</f>
        <v/>
      </c>
    </row>
    <row r="53" customFormat="false" ht="15" hidden="false" customHeight="false" outlineLevel="0" collapsed="false">
      <c r="A53" s="181" t="str">
        <f aca="false">IF(OR(B53="",C53="",D53=""),"",IFERROR(MATCH(B53,'ตั้งค่า Setup'!$C$26:$C$65,0)&amp;"."&amp;MATCH(C53,'ตั้งค่า Setup'!$C$68:$C$107,0)&amp;"."&amp;TEXT(COUNTIFS(B$7:B53,B53,C$7:C53,C53),"00"),"?"))</f>
        <v/>
      </c>
      <c r="B53" s="32"/>
      <c r="C53" s="32"/>
      <c r="D53" s="32"/>
      <c r="E53" s="23"/>
      <c r="F53" s="113"/>
      <c r="G53" s="115" t="n">
        <f aca="false">IF(D53="",0,IF(F53&lt;&gt;"",F53,IF(SUM($E$7:$E$156)&gt;0,N(E53)/SUM($E$7:$E$156),0)))</f>
        <v>0</v>
      </c>
      <c r="H53" s="182" t="str">
        <f aca="false">IF(D53="","",G53*'ตั้งค่า Setup'!$C$9)</f>
        <v/>
      </c>
      <c r="I53" s="24"/>
      <c r="J53" s="24"/>
      <c r="K53" s="117" t="str">
        <f aca="false">IF(OR(I53="",J53=""),"",J53-I53+1)</f>
        <v/>
      </c>
      <c r="L53" s="24"/>
      <c r="M53" s="24"/>
      <c r="N53" s="24"/>
      <c r="O53" s="24"/>
      <c r="P53" s="113"/>
      <c r="Q53" s="115" t="str">
        <f aca="false">IF(OR(D53="",I53="",J53=""),"",MAX(0,MIN(1,('ตั้งค่า Setup'!$C$15-I53+1)/(J53-I53+1))))</f>
        <v/>
      </c>
      <c r="R53" s="115" t="str">
        <f aca="false">IF(OR(D53="",AA53=0),"",MAX(0,MIN(1,('ตั้งค่า Setup'!$C$15-AA53+1)/(AB53-AA53+1))))</f>
        <v/>
      </c>
      <c r="S53" s="182" t="str">
        <f aca="false">IF(Q53="","",H53*Q53)</f>
        <v/>
      </c>
      <c r="T53" s="182" t="str">
        <f aca="false">IF(D53="","",H53*N(P53))</f>
        <v/>
      </c>
      <c r="U53" s="182" t="str">
        <f aca="false">IF(OR(S53="",T53=""),"",T53-S53)</f>
        <v/>
      </c>
      <c r="V53" s="183" t="str">
        <f aca="false">IF(OR(S53="",T53=""),"",IF(S53=0,"",T53/S53))</f>
        <v/>
      </c>
      <c r="W53" s="127" t="str">
        <f aca="false">IF(OR(D53="",AA53=0),"",IF(O53&lt;&gt;"",O53,IF(AND(N(P53)&gt;0,N53&lt;&gt;""),N53+ROUND((MAX('ตั้งค่า Setup'!$C$15,N53)-N53+1)/P53,0)-1,MAX(AB53,'ตั้งค่า Setup'!$C$15+AB53-AA53))))</f>
        <v/>
      </c>
      <c r="X53" s="184" t="str">
        <f aca="false">IF(OR(W53="",J53=""),"",W53-J53)</f>
        <v/>
      </c>
      <c r="Y53" s="117" t="str">
        <f aca="false">IF(OR(D53="",I53="",J53=""),"",IF(O53&lt;&gt;"",IF(O53&lt;=J53,"เสร็จ / Completed","เสร็จช้า / Completed Late"),IF(AND(N53="",'ตั้งค่า Setup'!$C$15&lt;AA53),"ยังไม่ถึงกำหนด / Not Due",IF(N(P53)&gt;=Q53,"ตามแผน / On Track",IF('ตั้งค่า Setup'!$C$15&gt;J53,"เกินกำหนด / Overdue","ล่าช้า / Behind")))))</f>
        <v/>
      </c>
      <c r="Z53" s="32"/>
      <c r="AA53" s="69" t="n">
        <f aca="false">IF(D53="",0,IF(L53&lt;&gt;"",L53,N(I53)))</f>
        <v>0</v>
      </c>
      <c r="AB53" s="69" t="n">
        <f aca="false">IF(D53="",0,IF(M53&lt;&gt;"",M53,N(J53)))</f>
        <v>0</v>
      </c>
      <c r="AC53" s="185" t="str">
        <f aca="false">IF(AND(D53&lt;&gt;"",O53="",ISNUMBER(X53)),X53+(1000-ROW())/1000000,"")</f>
        <v/>
      </c>
      <c r="AD53" s="185" t="n">
        <f aca="false">IF(AND(D53&lt;&gt;"",O53="",AA53&gt;0,AA53&lt;='ตั้งค่า Setup'!$C$15+'ตั้งค่า Setup'!$C$20),1,0)</f>
        <v>0</v>
      </c>
      <c r="AE53" s="185" t="str">
        <f aca="false">IF(AD53=1,SUM(AD$7:AD53),"")</f>
        <v/>
      </c>
    </row>
    <row r="54" customFormat="false" ht="15" hidden="false" customHeight="false" outlineLevel="0" collapsed="false">
      <c r="A54" s="181" t="str">
        <f aca="false">IF(OR(B54="",C54="",D54=""),"",IFERROR(MATCH(B54,'ตั้งค่า Setup'!$C$26:$C$65,0)&amp;"."&amp;MATCH(C54,'ตั้งค่า Setup'!$C$68:$C$107,0)&amp;"."&amp;TEXT(COUNTIFS(B$7:B54,B54,C$7:C54,C54),"00"),"?"))</f>
        <v/>
      </c>
      <c r="B54" s="32"/>
      <c r="C54" s="32"/>
      <c r="D54" s="32"/>
      <c r="E54" s="23"/>
      <c r="F54" s="113"/>
      <c r="G54" s="115" t="n">
        <f aca="false">IF(D54="",0,IF(F54&lt;&gt;"",F54,IF(SUM($E$7:$E$156)&gt;0,N(E54)/SUM($E$7:$E$156),0)))</f>
        <v>0</v>
      </c>
      <c r="H54" s="182" t="str">
        <f aca="false">IF(D54="","",G54*'ตั้งค่า Setup'!$C$9)</f>
        <v/>
      </c>
      <c r="I54" s="24"/>
      <c r="J54" s="24"/>
      <c r="K54" s="117" t="str">
        <f aca="false">IF(OR(I54="",J54=""),"",J54-I54+1)</f>
        <v/>
      </c>
      <c r="L54" s="24"/>
      <c r="M54" s="24"/>
      <c r="N54" s="24"/>
      <c r="O54" s="24"/>
      <c r="P54" s="113"/>
      <c r="Q54" s="115" t="str">
        <f aca="false">IF(OR(D54="",I54="",J54=""),"",MAX(0,MIN(1,('ตั้งค่า Setup'!$C$15-I54+1)/(J54-I54+1))))</f>
        <v/>
      </c>
      <c r="R54" s="115" t="str">
        <f aca="false">IF(OR(D54="",AA54=0),"",MAX(0,MIN(1,('ตั้งค่า Setup'!$C$15-AA54+1)/(AB54-AA54+1))))</f>
        <v/>
      </c>
      <c r="S54" s="182" t="str">
        <f aca="false">IF(Q54="","",H54*Q54)</f>
        <v/>
      </c>
      <c r="T54" s="182" t="str">
        <f aca="false">IF(D54="","",H54*N(P54))</f>
        <v/>
      </c>
      <c r="U54" s="182" t="str">
        <f aca="false">IF(OR(S54="",T54=""),"",T54-S54)</f>
        <v/>
      </c>
      <c r="V54" s="183" t="str">
        <f aca="false">IF(OR(S54="",T54=""),"",IF(S54=0,"",T54/S54))</f>
        <v/>
      </c>
      <c r="W54" s="127" t="str">
        <f aca="false">IF(OR(D54="",AA54=0),"",IF(O54&lt;&gt;"",O54,IF(AND(N(P54)&gt;0,N54&lt;&gt;""),N54+ROUND((MAX('ตั้งค่า Setup'!$C$15,N54)-N54+1)/P54,0)-1,MAX(AB54,'ตั้งค่า Setup'!$C$15+AB54-AA54))))</f>
        <v/>
      </c>
      <c r="X54" s="184" t="str">
        <f aca="false">IF(OR(W54="",J54=""),"",W54-J54)</f>
        <v/>
      </c>
      <c r="Y54" s="117" t="str">
        <f aca="false">IF(OR(D54="",I54="",J54=""),"",IF(O54&lt;&gt;"",IF(O54&lt;=J54,"เสร็จ / Completed","เสร็จช้า / Completed Late"),IF(AND(N54="",'ตั้งค่า Setup'!$C$15&lt;AA54),"ยังไม่ถึงกำหนด / Not Due",IF(N(P54)&gt;=Q54,"ตามแผน / On Track",IF('ตั้งค่า Setup'!$C$15&gt;J54,"เกินกำหนด / Overdue","ล่าช้า / Behind")))))</f>
        <v/>
      </c>
      <c r="Z54" s="32"/>
      <c r="AA54" s="69" t="n">
        <f aca="false">IF(D54="",0,IF(L54&lt;&gt;"",L54,N(I54)))</f>
        <v>0</v>
      </c>
      <c r="AB54" s="69" t="n">
        <f aca="false">IF(D54="",0,IF(M54&lt;&gt;"",M54,N(J54)))</f>
        <v>0</v>
      </c>
      <c r="AC54" s="185" t="str">
        <f aca="false">IF(AND(D54&lt;&gt;"",O54="",ISNUMBER(X54)),X54+(1000-ROW())/1000000,"")</f>
        <v/>
      </c>
      <c r="AD54" s="185" t="n">
        <f aca="false">IF(AND(D54&lt;&gt;"",O54="",AA54&gt;0,AA54&lt;='ตั้งค่า Setup'!$C$15+'ตั้งค่า Setup'!$C$20),1,0)</f>
        <v>0</v>
      </c>
      <c r="AE54" s="185" t="str">
        <f aca="false">IF(AD54=1,SUM(AD$7:AD54),"")</f>
        <v/>
      </c>
    </row>
    <row r="55" customFormat="false" ht="15" hidden="false" customHeight="false" outlineLevel="0" collapsed="false">
      <c r="A55" s="181" t="str">
        <f aca="false">IF(OR(B55="",C55="",D55=""),"",IFERROR(MATCH(B55,'ตั้งค่า Setup'!$C$26:$C$65,0)&amp;"."&amp;MATCH(C55,'ตั้งค่า Setup'!$C$68:$C$107,0)&amp;"."&amp;TEXT(COUNTIFS(B$7:B55,B55,C$7:C55,C55),"00"),"?"))</f>
        <v/>
      </c>
      <c r="B55" s="32"/>
      <c r="C55" s="32"/>
      <c r="D55" s="32"/>
      <c r="E55" s="23"/>
      <c r="F55" s="113"/>
      <c r="G55" s="115" t="n">
        <f aca="false">IF(D55="",0,IF(F55&lt;&gt;"",F55,IF(SUM($E$7:$E$156)&gt;0,N(E55)/SUM($E$7:$E$156),0)))</f>
        <v>0</v>
      </c>
      <c r="H55" s="182" t="str">
        <f aca="false">IF(D55="","",G55*'ตั้งค่า Setup'!$C$9)</f>
        <v/>
      </c>
      <c r="I55" s="24"/>
      <c r="J55" s="24"/>
      <c r="K55" s="117" t="str">
        <f aca="false">IF(OR(I55="",J55=""),"",J55-I55+1)</f>
        <v/>
      </c>
      <c r="L55" s="24"/>
      <c r="M55" s="24"/>
      <c r="N55" s="24"/>
      <c r="O55" s="24"/>
      <c r="P55" s="113"/>
      <c r="Q55" s="115" t="str">
        <f aca="false">IF(OR(D55="",I55="",J55=""),"",MAX(0,MIN(1,('ตั้งค่า Setup'!$C$15-I55+1)/(J55-I55+1))))</f>
        <v/>
      </c>
      <c r="R55" s="115" t="str">
        <f aca="false">IF(OR(D55="",AA55=0),"",MAX(0,MIN(1,('ตั้งค่า Setup'!$C$15-AA55+1)/(AB55-AA55+1))))</f>
        <v/>
      </c>
      <c r="S55" s="182" t="str">
        <f aca="false">IF(Q55="","",H55*Q55)</f>
        <v/>
      </c>
      <c r="T55" s="182" t="str">
        <f aca="false">IF(D55="","",H55*N(P55))</f>
        <v/>
      </c>
      <c r="U55" s="182" t="str">
        <f aca="false">IF(OR(S55="",T55=""),"",T55-S55)</f>
        <v/>
      </c>
      <c r="V55" s="183" t="str">
        <f aca="false">IF(OR(S55="",T55=""),"",IF(S55=0,"",T55/S55))</f>
        <v/>
      </c>
      <c r="W55" s="127" t="str">
        <f aca="false">IF(OR(D55="",AA55=0),"",IF(O55&lt;&gt;"",O55,IF(AND(N(P55)&gt;0,N55&lt;&gt;""),N55+ROUND((MAX('ตั้งค่า Setup'!$C$15,N55)-N55+1)/P55,0)-1,MAX(AB55,'ตั้งค่า Setup'!$C$15+AB55-AA55))))</f>
        <v/>
      </c>
      <c r="X55" s="184" t="str">
        <f aca="false">IF(OR(W55="",J55=""),"",W55-J55)</f>
        <v/>
      </c>
      <c r="Y55" s="117" t="str">
        <f aca="false">IF(OR(D55="",I55="",J55=""),"",IF(O55&lt;&gt;"",IF(O55&lt;=J55,"เสร็จ / Completed","เสร็จช้า / Completed Late"),IF(AND(N55="",'ตั้งค่า Setup'!$C$15&lt;AA55),"ยังไม่ถึงกำหนด / Not Due",IF(N(P55)&gt;=Q55,"ตามแผน / On Track",IF('ตั้งค่า Setup'!$C$15&gt;J55,"เกินกำหนด / Overdue","ล่าช้า / Behind")))))</f>
        <v/>
      </c>
      <c r="Z55" s="32"/>
      <c r="AA55" s="69" t="n">
        <f aca="false">IF(D55="",0,IF(L55&lt;&gt;"",L55,N(I55)))</f>
        <v>0</v>
      </c>
      <c r="AB55" s="69" t="n">
        <f aca="false">IF(D55="",0,IF(M55&lt;&gt;"",M55,N(J55)))</f>
        <v>0</v>
      </c>
      <c r="AC55" s="185" t="str">
        <f aca="false">IF(AND(D55&lt;&gt;"",O55="",ISNUMBER(X55)),X55+(1000-ROW())/1000000,"")</f>
        <v/>
      </c>
      <c r="AD55" s="185" t="n">
        <f aca="false">IF(AND(D55&lt;&gt;"",O55="",AA55&gt;0,AA55&lt;='ตั้งค่า Setup'!$C$15+'ตั้งค่า Setup'!$C$20),1,0)</f>
        <v>0</v>
      </c>
      <c r="AE55" s="185" t="str">
        <f aca="false">IF(AD55=1,SUM(AD$7:AD55),"")</f>
        <v/>
      </c>
    </row>
    <row r="56" customFormat="false" ht="15" hidden="false" customHeight="false" outlineLevel="0" collapsed="false">
      <c r="A56" s="181" t="str">
        <f aca="false">IF(OR(B56="",C56="",D56=""),"",IFERROR(MATCH(B56,'ตั้งค่า Setup'!$C$26:$C$65,0)&amp;"."&amp;MATCH(C56,'ตั้งค่า Setup'!$C$68:$C$107,0)&amp;"."&amp;TEXT(COUNTIFS(B$7:B56,B56,C$7:C56,C56),"00"),"?"))</f>
        <v/>
      </c>
      <c r="B56" s="32"/>
      <c r="C56" s="32"/>
      <c r="D56" s="32"/>
      <c r="E56" s="23"/>
      <c r="F56" s="113"/>
      <c r="G56" s="115" t="n">
        <f aca="false">IF(D56="",0,IF(F56&lt;&gt;"",F56,IF(SUM($E$7:$E$156)&gt;0,N(E56)/SUM($E$7:$E$156),0)))</f>
        <v>0</v>
      </c>
      <c r="H56" s="182" t="str">
        <f aca="false">IF(D56="","",G56*'ตั้งค่า Setup'!$C$9)</f>
        <v/>
      </c>
      <c r="I56" s="24"/>
      <c r="J56" s="24"/>
      <c r="K56" s="117" t="str">
        <f aca="false">IF(OR(I56="",J56=""),"",J56-I56+1)</f>
        <v/>
      </c>
      <c r="L56" s="24"/>
      <c r="M56" s="24"/>
      <c r="N56" s="24"/>
      <c r="O56" s="24"/>
      <c r="P56" s="113"/>
      <c r="Q56" s="115" t="str">
        <f aca="false">IF(OR(D56="",I56="",J56=""),"",MAX(0,MIN(1,('ตั้งค่า Setup'!$C$15-I56+1)/(J56-I56+1))))</f>
        <v/>
      </c>
      <c r="R56" s="115" t="str">
        <f aca="false">IF(OR(D56="",AA56=0),"",MAX(0,MIN(1,('ตั้งค่า Setup'!$C$15-AA56+1)/(AB56-AA56+1))))</f>
        <v/>
      </c>
      <c r="S56" s="182" t="str">
        <f aca="false">IF(Q56="","",H56*Q56)</f>
        <v/>
      </c>
      <c r="T56" s="182" t="str">
        <f aca="false">IF(D56="","",H56*N(P56))</f>
        <v/>
      </c>
      <c r="U56" s="182" t="str">
        <f aca="false">IF(OR(S56="",T56=""),"",T56-S56)</f>
        <v/>
      </c>
      <c r="V56" s="183" t="str">
        <f aca="false">IF(OR(S56="",T56=""),"",IF(S56=0,"",T56/S56))</f>
        <v/>
      </c>
      <c r="W56" s="127" t="str">
        <f aca="false">IF(OR(D56="",AA56=0),"",IF(O56&lt;&gt;"",O56,IF(AND(N(P56)&gt;0,N56&lt;&gt;""),N56+ROUND((MAX('ตั้งค่า Setup'!$C$15,N56)-N56+1)/P56,0)-1,MAX(AB56,'ตั้งค่า Setup'!$C$15+AB56-AA56))))</f>
        <v/>
      </c>
      <c r="X56" s="184" t="str">
        <f aca="false">IF(OR(W56="",J56=""),"",W56-J56)</f>
        <v/>
      </c>
      <c r="Y56" s="117" t="str">
        <f aca="false">IF(OR(D56="",I56="",J56=""),"",IF(O56&lt;&gt;"",IF(O56&lt;=J56,"เสร็จ / Completed","เสร็จช้า / Completed Late"),IF(AND(N56="",'ตั้งค่า Setup'!$C$15&lt;AA56),"ยังไม่ถึงกำหนด / Not Due",IF(N(P56)&gt;=Q56,"ตามแผน / On Track",IF('ตั้งค่า Setup'!$C$15&gt;J56,"เกินกำหนด / Overdue","ล่าช้า / Behind")))))</f>
        <v/>
      </c>
      <c r="Z56" s="32"/>
      <c r="AA56" s="69" t="n">
        <f aca="false">IF(D56="",0,IF(L56&lt;&gt;"",L56,N(I56)))</f>
        <v>0</v>
      </c>
      <c r="AB56" s="69" t="n">
        <f aca="false">IF(D56="",0,IF(M56&lt;&gt;"",M56,N(J56)))</f>
        <v>0</v>
      </c>
      <c r="AC56" s="185" t="str">
        <f aca="false">IF(AND(D56&lt;&gt;"",O56="",ISNUMBER(X56)),X56+(1000-ROW())/1000000,"")</f>
        <v/>
      </c>
      <c r="AD56" s="185" t="n">
        <f aca="false">IF(AND(D56&lt;&gt;"",O56="",AA56&gt;0,AA56&lt;='ตั้งค่า Setup'!$C$15+'ตั้งค่า Setup'!$C$20),1,0)</f>
        <v>0</v>
      </c>
      <c r="AE56" s="185" t="str">
        <f aca="false">IF(AD56=1,SUM(AD$7:AD56),"")</f>
        <v/>
      </c>
    </row>
    <row r="57" customFormat="false" ht="15" hidden="false" customHeight="false" outlineLevel="0" collapsed="false">
      <c r="A57" s="181" t="str">
        <f aca="false">IF(OR(B57="",C57="",D57=""),"",IFERROR(MATCH(B57,'ตั้งค่า Setup'!$C$26:$C$65,0)&amp;"."&amp;MATCH(C57,'ตั้งค่า Setup'!$C$68:$C$107,0)&amp;"."&amp;TEXT(COUNTIFS(B$7:B57,B57,C$7:C57,C57),"00"),"?"))</f>
        <v/>
      </c>
      <c r="B57" s="32"/>
      <c r="C57" s="32"/>
      <c r="D57" s="32"/>
      <c r="E57" s="23"/>
      <c r="F57" s="113"/>
      <c r="G57" s="115" t="n">
        <f aca="false">IF(D57="",0,IF(F57&lt;&gt;"",F57,IF(SUM($E$7:$E$156)&gt;0,N(E57)/SUM($E$7:$E$156),0)))</f>
        <v>0</v>
      </c>
      <c r="H57" s="182" t="str">
        <f aca="false">IF(D57="","",G57*'ตั้งค่า Setup'!$C$9)</f>
        <v/>
      </c>
      <c r="I57" s="24"/>
      <c r="J57" s="24"/>
      <c r="K57" s="117" t="str">
        <f aca="false">IF(OR(I57="",J57=""),"",J57-I57+1)</f>
        <v/>
      </c>
      <c r="L57" s="24"/>
      <c r="M57" s="24"/>
      <c r="N57" s="24"/>
      <c r="O57" s="24"/>
      <c r="P57" s="113"/>
      <c r="Q57" s="115" t="str">
        <f aca="false">IF(OR(D57="",I57="",J57=""),"",MAX(0,MIN(1,('ตั้งค่า Setup'!$C$15-I57+1)/(J57-I57+1))))</f>
        <v/>
      </c>
      <c r="R57" s="115" t="str">
        <f aca="false">IF(OR(D57="",AA57=0),"",MAX(0,MIN(1,('ตั้งค่า Setup'!$C$15-AA57+1)/(AB57-AA57+1))))</f>
        <v/>
      </c>
      <c r="S57" s="182" t="str">
        <f aca="false">IF(Q57="","",H57*Q57)</f>
        <v/>
      </c>
      <c r="T57" s="182" t="str">
        <f aca="false">IF(D57="","",H57*N(P57))</f>
        <v/>
      </c>
      <c r="U57" s="182" t="str">
        <f aca="false">IF(OR(S57="",T57=""),"",T57-S57)</f>
        <v/>
      </c>
      <c r="V57" s="183" t="str">
        <f aca="false">IF(OR(S57="",T57=""),"",IF(S57=0,"",T57/S57))</f>
        <v/>
      </c>
      <c r="W57" s="127" t="str">
        <f aca="false">IF(OR(D57="",AA57=0),"",IF(O57&lt;&gt;"",O57,IF(AND(N(P57)&gt;0,N57&lt;&gt;""),N57+ROUND((MAX('ตั้งค่า Setup'!$C$15,N57)-N57+1)/P57,0)-1,MAX(AB57,'ตั้งค่า Setup'!$C$15+AB57-AA57))))</f>
        <v/>
      </c>
      <c r="X57" s="184" t="str">
        <f aca="false">IF(OR(W57="",J57=""),"",W57-J57)</f>
        <v/>
      </c>
      <c r="Y57" s="117" t="str">
        <f aca="false">IF(OR(D57="",I57="",J57=""),"",IF(O57&lt;&gt;"",IF(O57&lt;=J57,"เสร็จ / Completed","เสร็จช้า / Completed Late"),IF(AND(N57="",'ตั้งค่า Setup'!$C$15&lt;AA57),"ยังไม่ถึงกำหนด / Not Due",IF(N(P57)&gt;=Q57,"ตามแผน / On Track",IF('ตั้งค่า Setup'!$C$15&gt;J57,"เกินกำหนด / Overdue","ล่าช้า / Behind")))))</f>
        <v/>
      </c>
      <c r="Z57" s="32"/>
      <c r="AA57" s="69" t="n">
        <f aca="false">IF(D57="",0,IF(L57&lt;&gt;"",L57,N(I57)))</f>
        <v>0</v>
      </c>
      <c r="AB57" s="69" t="n">
        <f aca="false">IF(D57="",0,IF(M57&lt;&gt;"",M57,N(J57)))</f>
        <v>0</v>
      </c>
      <c r="AC57" s="185" t="str">
        <f aca="false">IF(AND(D57&lt;&gt;"",O57="",ISNUMBER(X57)),X57+(1000-ROW())/1000000,"")</f>
        <v/>
      </c>
      <c r="AD57" s="185" t="n">
        <f aca="false">IF(AND(D57&lt;&gt;"",O57="",AA57&gt;0,AA57&lt;='ตั้งค่า Setup'!$C$15+'ตั้งค่า Setup'!$C$20),1,0)</f>
        <v>0</v>
      </c>
      <c r="AE57" s="185" t="str">
        <f aca="false">IF(AD57=1,SUM(AD$7:AD57),"")</f>
        <v/>
      </c>
    </row>
    <row r="58" customFormat="false" ht="15" hidden="false" customHeight="false" outlineLevel="0" collapsed="false">
      <c r="A58" s="181" t="str">
        <f aca="false">IF(OR(B58="",C58="",D58=""),"",IFERROR(MATCH(B58,'ตั้งค่า Setup'!$C$26:$C$65,0)&amp;"."&amp;MATCH(C58,'ตั้งค่า Setup'!$C$68:$C$107,0)&amp;"."&amp;TEXT(COUNTIFS(B$7:B58,B58,C$7:C58,C58),"00"),"?"))</f>
        <v/>
      </c>
      <c r="B58" s="32"/>
      <c r="C58" s="32"/>
      <c r="D58" s="32"/>
      <c r="E58" s="23"/>
      <c r="F58" s="113"/>
      <c r="G58" s="115" t="n">
        <f aca="false">IF(D58="",0,IF(F58&lt;&gt;"",F58,IF(SUM($E$7:$E$156)&gt;0,N(E58)/SUM($E$7:$E$156),0)))</f>
        <v>0</v>
      </c>
      <c r="H58" s="182" t="str">
        <f aca="false">IF(D58="","",G58*'ตั้งค่า Setup'!$C$9)</f>
        <v/>
      </c>
      <c r="I58" s="24"/>
      <c r="J58" s="24"/>
      <c r="K58" s="117" t="str">
        <f aca="false">IF(OR(I58="",J58=""),"",J58-I58+1)</f>
        <v/>
      </c>
      <c r="L58" s="24"/>
      <c r="M58" s="24"/>
      <c r="N58" s="24"/>
      <c r="O58" s="24"/>
      <c r="P58" s="113"/>
      <c r="Q58" s="115" t="str">
        <f aca="false">IF(OR(D58="",I58="",J58=""),"",MAX(0,MIN(1,('ตั้งค่า Setup'!$C$15-I58+1)/(J58-I58+1))))</f>
        <v/>
      </c>
      <c r="R58" s="115" t="str">
        <f aca="false">IF(OR(D58="",AA58=0),"",MAX(0,MIN(1,('ตั้งค่า Setup'!$C$15-AA58+1)/(AB58-AA58+1))))</f>
        <v/>
      </c>
      <c r="S58" s="182" t="str">
        <f aca="false">IF(Q58="","",H58*Q58)</f>
        <v/>
      </c>
      <c r="T58" s="182" t="str">
        <f aca="false">IF(D58="","",H58*N(P58))</f>
        <v/>
      </c>
      <c r="U58" s="182" t="str">
        <f aca="false">IF(OR(S58="",T58=""),"",T58-S58)</f>
        <v/>
      </c>
      <c r="V58" s="183" t="str">
        <f aca="false">IF(OR(S58="",T58=""),"",IF(S58=0,"",T58/S58))</f>
        <v/>
      </c>
      <c r="W58" s="127" t="str">
        <f aca="false">IF(OR(D58="",AA58=0),"",IF(O58&lt;&gt;"",O58,IF(AND(N(P58)&gt;0,N58&lt;&gt;""),N58+ROUND((MAX('ตั้งค่า Setup'!$C$15,N58)-N58+1)/P58,0)-1,MAX(AB58,'ตั้งค่า Setup'!$C$15+AB58-AA58))))</f>
        <v/>
      </c>
      <c r="X58" s="184" t="str">
        <f aca="false">IF(OR(W58="",J58=""),"",W58-J58)</f>
        <v/>
      </c>
      <c r="Y58" s="117" t="str">
        <f aca="false">IF(OR(D58="",I58="",J58=""),"",IF(O58&lt;&gt;"",IF(O58&lt;=J58,"เสร็จ / Completed","เสร็จช้า / Completed Late"),IF(AND(N58="",'ตั้งค่า Setup'!$C$15&lt;AA58),"ยังไม่ถึงกำหนด / Not Due",IF(N(P58)&gt;=Q58,"ตามแผน / On Track",IF('ตั้งค่า Setup'!$C$15&gt;J58,"เกินกำหนด / Overdue","ล่าช้า / Behind")))))</f>
        <v/>
      </c>
      <c r="Z58" s="32"/>
      <c r="AA58" s="69" t="n">
        <f aca="false">IF(D58="",0,IF(L58&lt;&gt;"",L58,N(I58)))</f>
        <v>0</v>
      </c>
      <c r="AB58" s="69" t="n">
        <f aca="false">IF(D58="",0,IF(M58&lt;&gt;"",M58,N(J58)))</f>
        <v>0</v>
      </c>
      <c r="AC58" s="185" t="str">
        <f aca="false">IF(AND(D58&lt;&gt;"",O58="",ISNUMBER(X58)),X58+(1000-ROW())/1000000,"")</f>
        <v/>
      </c>
      <c r="AD58" s="185" t="n">
        <f aca="false">IF(AND(D58&lt;&gt;"",O58="",AA58&gt;0,AA58&lt;='ตั้งค่า Setup'!$C$15+'ตั้งค่า Setup'!$C$20),1,0)</f>
        <v>0</v>
      </c>
      <c r="AE58" s="185" t="str">
        <f aca="false">IF(AD58=1,SUM(AD$7:AD58),"")</f>
        <v/>
      </c>
    </row>
    <row r="59" customFormat="false" ht="15" hidden="false" customHeight="false" outlineLevel="0" collapsed="false">
      <c r="A59" s="181" t="str">
        <f aca="false">IF(OR(B59="",C59="",D59=""),"",IFERROR(MATCH(B59,'ตั้งค่า Setup'!$C$26:$C$65,0)&amp;"."&amp;MATCH(C59,'ตั้งค่า Setup'!$C$68:$C$107,0)&amp;"."&amp;TEXT(COUNTIFS(B$7:B59,B59,C$7:C59,C59),"00"),"?"))</f>
        <v/>
      </c>
      <c r="B59" s="32"/>
      <c r="C59" s="32"/>
      <c r="D59" s="32"/>
      <c r="E59" s="23"/>
      <c r="F59" s="113"/>
      <c r="G59" s="115" t="n">
        <f aca="false">IF(D59="",0,IF(F59&lt;&gt;"",F59,IF(SUM($E$7:$E$156)&gt;0,N(E59)/SUM($E$7:$E$156),0)))</f>
        <v>0</v>
      </c>
      <c r="H59" s="182" t="str">
        <f aca="false">IF(D59="","",G59*'ตั้งค่า Setup'!$C$9)</f>
        <v/>
      </c>
      <c r="I59" s="24"/>
      <c r="J59" s="24"/>
      <c r="K59" s="117" t="str">
        <f aca="false">IF(OR(I59="",J59=""),"",J59-I59+1)</f>
        <v/>
      </c>
      <c r="L59" s="24"/>
      <c r="M59" s="24"/>
      <c r="N59" s="24"/>
      <c r="O59" s="24"/>
      <c r="P59" s="113"/>
      <c r="Q59" s="115" t="str">
        <f aca="false">IF(OR(D59="",I59="",J59=""),"",MAX(0,MIN(1,('ตั้งค่า Setup'!$C$15-I59+1)/(J59-I59+1))))</f>
        <v/>
      </c>
      <c r="R59" s="115" t="str">
        <f aca="false">IF(OR(D59="",AA59=0),"",MAX(0,MIN(1,('ตั้งค่า Setup'!$C$15-AA59+1)/(AB59-AA59+1))))</f>
        <v/>
      </c>
      <c r="S59" s="182" t="str">
        <f aca="false">IF(Q59="","",H59*Q59)</f>
        <v/>
      </c>
      <c r="T59" s="182" t="str">
        <f aca="false">IF(D59="","",H59*N(P59))</f>
        <v/>
      </c>
      <c r="U59" s="182" t="str">
        <f aca="false">IF(OR(S59="",T59=""),"",T59-S59)</f>
        <v/>
      </c>
      <c r="V59" s="183" t="str">
        <f aca="false">IF(OR(S59="",T59=""),"",IF(S59=0,"",T59/S59))</f>
        <v/>
      </c>
      <c r="W59" s="127" t="str">
        <f aca="false">IF(OR(D59="",AA59=0),"",IF(O59&lt;&gt;"",O59,IF(AND(N(P59)&gt;0,N59&lt;&gt;""),N59+ROUND((MAX('ตั้งค่า Setup'!$C$15,N59)-N59+1)/P59,0)-1,MAX(AB59,'ตั้งค่า Setup'!$C$15+AB59-AA59))))</f>
        <v/>
      </c>
      <c r="X59" s="184" t="str">
        <f aca="false">IF(OR(W59="",J59=""),"",W59-J59)</f>
        <v/>
      </c>
      <c r="Y59" s="117" t="str">
        <f aca="false">IF(OR(D59="",I59="",J59=""),"",IF(O59&lt;&gt;"",IF(O59&lt;=J59,"เสร็จ / Completed","เสร็จช้า / Completed Late"),IF(AND(N59="",'ตั้งค่า Setup'!$C$15&lt;AA59),"ยังไม่ถึงกำหนด / Not Due",IF(N(P59)&gt;=Q59,"ตามแผน / On Track",IF('ตั้งค่า Setup'!$C$15&gt;J59,"เกินกำหนด / Overdue","ล่าช้า / Behind")))))</f>
        <v/>
      </c>
      <c r="Z59" s="32"/>
      <c r="AA59" s="69" t="n">
        <f aca="false">IF(D59="",0,IF(L59&lt;&gt;"",L59,N(I59)))</f>
        <v>0</v>
      </c>
      <c r="AB59" s="69" t="n">
        <f aca="false">IF(D59="",0,IF(M59&lt;&gt;"",M59,N(J59)))</f>
        <v>0</v>
      </c>
      <c r="AC59" s="185" t="str">
        <f aca="false">IF(AND(D59&lt;&gt;"",O59="",ISNUMBER(X59)),X59+(1000-ROW())/1000000,"")</f>
        <v/>
      </c>
      <c r="AD59" s="185" t="n">
        <f aca="false">IF(AND(D59&lt;&gt;"",O59="",AA59&gt;0,AA59&lt;='ตั้งค่า Setup'!$C$15+'ตั้งค่า Setup'!$C$20),1,0)</f>
        <v>0</v>
      </c>
      <c r="AE59" s="185" t="str">
        <f aca="false">IF(AD59=1,SUM(AD$7:AD59),"")</f>
        <v/>
      </c>
    </row>
    <row r="60" customFormat="false" ht="15" hidden="false" customHeight="false" outlineLevel="0" collapsed="false">
      <c r="A60" s="181" t="str">
        <f aca="false">IF(OR(B60="",C60="",D60=""),"",IFERROR(MATCH(B60,'ตั้งค่า Setup'!$C$26:$C$65,0)&amp;"."&amp;MATCH(C60,'ตั้งค่า Setup'!$C$68:$C$107,0)&amp;"."&amp;TEXT(COUNTIFS(B$7:B60,B60,C$7:C60,C60),"00"),"?"))</f>
        <v/>
      </c>
      <c r="B60" s="32"/>
      <c r="C60" s="32"/>
      <c r="D60" s="32"/>
      <c r="E60" s="23"/>
      <c r="F60" s="113"/>
      <c r="G60" s="115" t="n">
        <f aca="false">IF(D60="",0,IF(F60&lt;&gt;"",F60,IF(SUM($E$7:$E$156)&gt;0,N(E60)/SUM($E$7:$E$156),0)))</f>
        <v>0</v>
      </c>
      <c r="H60" s="182" t="str">
        <f aca="false">IF(D60="","",G60*'ตั้งค่า Setup'!$C$9)</f>
        <v/>
      </c>
      <c r="I60" s="24"/>
      <c r="J60" s="24"/>
      <c r="K60" s="117" t="str">
        <f aca="false">IF(OR(I60="",J60=""),"",J60-I60+1)</f>
        <v/>
      </c>
      <c r="L60" s="24"/>
      <c r="M60" s="24"/>
      <c r="N60" s="24"/>
      <c r="O60" s="24"/>
      <c r="P60" s="113"/>
      <c r="Q60" s="115" t="str">
        <f aca="false">IF(OR(D60="",I60="",J60=""),"",MAX(0,MIN(1,('ตั้งค่า Setup'!$C$15-I60+1)/(J60-I60+1))))</f>
        <v/>
      </c>
      <c r="R60" s="115" t="str">
        <f aca="false">IF(OR(D60="",AA60=0),"",MAX(0,MIN(1,('ตั้งค่า Setup'!$C$15-AA60+1)/(AB60-AA60+1))))</f>
        <v/>
      </c>
      <c r="S60" s="182" t="str">
        <f aca="false">IF(Q60="","",H60*Q60)</f>
        <v/>
      </c>
      <c r="T60" s="182" t="str">
        <f aca="false">IF(D60="","",H60*N(P60))</f>
        <v/>
      </c>
      <c r="U60" s="182" t="str">
        <f aca="false">IF(OR(S60="",T60=""),"",T60-S60)</f>
        <v/>
      </c>
      <c r="V60" s="183" t="str">
        <f aca="false">IF(OR(S60="",T60=""),"",IF(S60=0,"",T60/S60))</f>
        <v/>
      </c>
      <c r="W60" s="127" t="str">
        <f aca="false">IF(OR(D60="",AA60=0),"",IF(O60&lt;&gt;"",O60,IF(AND(N(P60)&gt;0,N60&lt;&gt;""),N60+ROUND((MAX('ตั้งค่า Setup'!$C$15,N60)-N60+1)/P60,0)-1,MAX(AB60,'ตั้งค่า Setup'!$C$15+AB60-AA60))))</f>
        <v/>
      </c>
      <c r="X60" s="184" t="str">
        <f aca="false">IF(OR(W60="",J60=""),"",W60-J60)</f>
        <v/>
      </c>
      <c r="Y60" s="117" t="str">
        <f aca="false">IF(OR(D60="",I60="",J60=""),"",IF(O60&lt;&gt;"",IF(O60&lt;=J60,"เสร็จ / Completed","เสร็จช้า / Completed Late"),IF(AND(N60="",'ตั้งค่า Setup'!$C$15&lt;AA60),"ยังไม่ถึงกำหนด / Not Due",IF(N(P60)&gt;=Q60,"ตามแผน / On Track",IF('ตั้งค่า Setup'!$C$15&gt;J60,"เกินกำหนด / Overdue","ล่าช้า / Behind")))))</f>
        <v/>
      </c>
      <c r="Z60" s="32"/>
      <c r="AA60" s="69" t="n">
        <f aca="false">IF(D60="",0,IF(L60&lt;&gt;"",L60,N(I60)))</f>
        <v>0</v>
      </c>
      <c r="AB60" s="69" t="n">
        <f aca="false">IF(D60="",0,IF(M60&lt;&gt;"",M60,N(J60)))</f>
        <v>0</v>
      </c>
      <c r="AC60" s="185" t="str">
        <f aca="false">IF(AND(D60&lt;&gt;"",O60="",ISNUMBER(X60)),X60+(1000-ROW())/1000000,"")</f>
        <v/>
      </c>
      <c r="AD60" s="185" t="n">
        <f aca="false">IF(AND(D60&lt;&gt;"",O60="",AA60&gt;0,AA60&lt;='ตั้งค่า Setup'!$C$15+'ตั้งค่า Setup'!$C$20),1,0)</f>
        <v>0</v>
      </c>
      <c r="AE60" s="185" t="str">
        <f aca="false">IF(AD60=1,SUM(AD$7:AD60),"")</f>
        <v/>
      </c>
    </row>
    <row r="61" customFormat="false" ht="15" hidden="false" customHeight="false" outlineLevel="0" collapsed="false">
      <c r="A61" s="181" t="str">
        <f aca="false">IF(OR(B61="",C61="",D61=""),"",IFERROR(MATCH(B61,'ตั้งค่า Setup'!$C$26:$C$65,0)&amp;"."&amp;MATCH(C61,'ตั้งค่า Setup'!$C$68:$C$107,0)&amp;"."&amp;TEXT(COUNTIFS(B$7:B61,B61,C$7:C61,C61),"00"),"?"))</f>
        <v/>
      </c>
      <c r="B61" s="32"/>
      <c r="C61" s="32"/>
      <c r="D61" s="32"/>
      <c r="E61" s="23"/>
      <c r="F61" s="113"/>
      <c r="G61" s="115" t="n">
        <f aca="false">IF(D61="",0,IF(F61&lt;&gt;"",F61,IF(SUM($E$7:$E$156)&gt;0,N(E61)/SUM($E$7:$E$156),0)))</f>
        <v>0</v>
      </c>
      <c r="H61" s="182" t="str">
        <f aca="false">IF(D61="","",G61*'ตั้งค่า Setup'!$C$9)</f>
        <v/>
      </c>
      <c r="I61" s="24"/>
      <c r="J61" s="24"/>
      <c r="K61" s="117" t="str">
        <f aca="false">IF(OR(I61="",J61=""),"",J61-I61+1)</f>
        <v/>
      </c>
      <c r="L61" s="24"/>
      <c r="M61" s="24"/>
      <c r="N61" s="24"/>
      <c r="O61" s="24"/>
      <c r="P61" s="113"/>
      <c r="Q61" s="115" t="str">
        <f aca="false">IF(OR(D61="",I61="",J61=""),"",MAX(0,MIN(1,('ตั้งค่า Setup'!$C$15-I61+1)/(J61-I61+1))))</f>
        <v/>
      </c>
      <c r="R61" s="115" t="str">
        <f aca="false">IF(OR(D61="",AA61=0),"",MAX(0,MIN(1,('ตั้งค่า Setup'!$C$15-AA61+1)/(AB61-AA61+1))))</f>
        <v/>
      </c>
      <c r="S61" s="182" t="str">
        <f aca="false">IF(Q61="","",H61*Q61)</f>
        <v/>
      </c>
      <c r="T61" s="182" t="str">
        <f aca="false">IF(D61="","",H61*N(P61))</f>
        <v/>
      </c>
      <c r="U61" s="182" t="str">
        <f aca="false">IF(OR(S61="",T61=""),"",T61-S61)</f>
        <v/>
      </c>
      <c r="V61" s="183" t="str">
        <f aca="false">IF(OR(S61="",T61=""),"",IF(S61=0,"",T61/S61))</f>
        <v/>
      </c>
      <c r="W61" s="127" t="str">
        <f aca="false">IF(OR(D61="",AA61=0),"",IF(O61&lt;&gt;"",O61,IF(AND(N(P61)&gt;0,N61&lt;&gt;""),N61+ROUND((MAX('ตั้งค่า Setup'!$C$15,N61)-N61+1)/P61,0)-1,MAX(AB61,'ตั้งค่า Setup'!$C$15+AB61-AA61))))</f>
        <v/>
      </c>
      <c r="X61" s="184" t="str">
        <f aca="false">IF(OR(W61="",J61=""),"",W61-J61)</f>
        <v/>
      </c>
      <c r="Y61" s="117" t="str">
        <f aca="false">IF(OR(D61="",I61="",J61=""),"",IF(O61&lt;&gt;"",IF(O61&lt;=J61,"เสร็จ / Completed","เสร็จช้า / Completed Late"),IF(AND(N61="",'ตั้งค่า Setup'!$C$15&lt;AA61),"ยังไม่ถึงกำหนด / Not Due",IF(N(P61)&gt;=Q61,"ตามแผน / On Track",IF('ตั้งค่า Setup'!$C$15&gt;J61,"เกินกำหนด / Overdue","ล่าช้า / Behind")))))</f>
        <v/>
      </c>
      <c r="Z61" s="32"/>
      <c r="AA61" s="69" t="n">
        <f aca="false">IF(D61="",0,IF(L61&lt;&gt;"",L61,N(I61)))</f>
        <v>0</v>
      </c>
      <c r="AB61" s="69" t="n">
        <f aca="false">IF(D61="",0,IF(M61&lt;&gt;"",M61,N(J61)))</f>
        <v>0</v>
      </c>
      <c r="AC61" s="185" t="str">
        <f aca="false">IF(AND(D61&lt;&gt;"",O61="",ISNUMBER(X61)),X61+(1000-ROW())/1000000,"")</f>
        <v/>
      </c>
      <c r="AD61" s="185" t="n">
        <f aca="false">IF(AND(D61&lt;&gt;"",O61="",AA61&gt;0,AA61&lt;='ตั้งค่า Setup'!$C$15+'ตั้งค่า Setup'!$C$20),1,0)</f>
        <v>0</v>
      </c>
      <c r="AE61" s="185" t="str">
        <f aca="false">IF(AD61=1,SUM(AD$7:AD61),"")</f>
        <v/>
      </c>
    </row>
    <row r="62" customFormat="false" ht="15" hidden="false" customHeight="false" outlineLevel="0" collapsed="false">
      <c r="A62" s="181" t="str">
        <f aca="false">IF(OR(B62="",C62="",D62=""),"",IFERROR(MATCH(B62,'ตั้งค่า Setup'!$C$26:$C$65,0)&amp;"."&amp;MATCH(C62,'ตั้งค่า Setup'!$C$68:$C$107,0)&amp;"."&amp;TEXT(COUNTIFS(B$7:B62,B62,C$7:C62,C62),"00"),"?"))</f>
        <v/>
      </c>
      <c r="B62" s="32"/>
      <c r="C62" s="32"/>
      <c r="D62" s="32"/>
      <c r="E62" s="23"/>
      <c r="F62" s="113"/>
      <c r="G62" s="115" t="n">
        <f aca="false">IF(D62="",0,IF(F62&lt;&gt;"",F62,IF(SUM($E$7:$E$156)&gt;0,N(E62)/SUM($E$7:$E$156),0)))</f>
        <v>0</v>
      </c>
      <c r="H62" s="182" t="str">
        <f aca="false">IF(D62="","",G62*'ตั้งค่า Setup'!$C$9)</f>
        <v/>
      </c>
      <c r="I62" s="24"/>
      <c r="J62" s="24"/>
      <c r="K62" s="117" t="str">
        <f aca="false">IF(OR(I62="",J62=""),"",J62-I62+1)</f>
        <v/>
      </c>
      <c r="L62" s="24"/>
      <c r="M62" s="24"/>
      <c r="N62" s="24"/>
      <c r="O62" s="24"/>
      <c r="P62" s="113"/>
      <c r="Q62" s="115" t="str">
        <f aca="false">IF(OR(D62="",I62="",J62=""),"",MAX(0,MIN(1,('ตั้งค่า Setup'!$C$15-I62+1)/(J62-I62+1))))</f>
        <v/>
      </c>
      <c r="R62" s="115" t="str">
        <f aca="false">IF(OR(D62="",AA62=0),"",MAX(0,MIN(1,('ตั้งค่า Setup'!$C$15-AA62+1)/(AB62-AA62+1))))</f>
        <v/>
      </c>
      <c r="S62" s="182" t="str">
        <f aca="false">IF(Q62="","",H62*Q62)</f>
        <v/>
      </c>
      <c r="T62" s="182" t="str">
        <f aca="false">IF(D62="","",H62*N(P62))</f>
        <v/>
      </c>
      <c r="U62" s="182" t="str">
        <f aca="false">IF(OR(S62="",T62=""),"",T62-S62)</f>
        <v/>
      </c>
      <c r="V62" s="183" t="str">
        <f aca="false">IF(OR(S62="",T62=""),"",IF(S62=0,"",T62/S62))</f>
        <v/>
      </c>
      <c r="W62" s="127" t="str">
        <f aca="false">IF(OR(D62="",AA62=0),"",IF(O62&lt;&gt;"",O62,IF(AND(N(P62)&gt;0,N62&lt;&gt;""),N62+ROUND((MAX('ตั้งค่า Setup'!$C$15,N62)-N62+1)/P62,0)-1,MAX(AB62,'ตั้งค่า Setup'!$C$15+AB62-AA62))))</f>
        <v/>
      </c>
      <c r="X62" s="184" t="str">
        <f aca="false">IF(OR(W62="",J62=""),"",W62-J62)</f>
        <v/>
      </c>
      <c r="Y62" s="117" t="str">
        <f aca="false">IF(OR(D62="",I62="",J62=""),"",IF(O62&lt;&gt;"",IF(O62&lt;=J62,"เสร็จ / Completed","เสร็จช้า / Completed Late"),IF(AND(N62="",'ตั้งค่า Setup'!$C$15&lt;AA62),"ยังไม่ถึงกำหนด / Not Due",IF(N(P62)&gt;=Q62,"ตามแผน / On Track",IF('ตั้งค่า Setup'!$C$15&gt;J62,"เกินกำหนด / Overdue","ล่าช้า / Behind")))))</f>
        <v/>
      </c>
      <c r="Z62" s="32"/>
      <c r="AA62" s="69" t="n">
        <f aca="false">IF(D62="",0,IF(L62&lt;&gt;"",L62,N(I62)))</f>
        <v>0</v>
      </c>
      <c r="AB62" s="69" t="n">
        <f aca="false">IF(D62="",0,IF(M62&lt;&gt;"",M62,N(J62)))</f>
        <v>0</v>
      </c>
      <c r="AC62" s="185" t="str">
        <f aca="false">IF(AND(D62&lt;&gt;"",O62="",ISNUMBER(X62)),X62+(1000-ROW())/1000000,"")</f>
        <v/>
      </c>
      <c r="AD62" s="185" t="n">
        <f aca="false">IF(AND(D62&lt;&gt;"",O62="",AA62&gt;0,AA62&lt;='ตั้งค่า Setup'!$C$15+'ตั้งค่า Setup'!$C$20),1,0)</f>
        <v>0</v>
      </c>
      <c r="AE62" s="185" t="str">
        <f aca="false">IF(AD62=1,SUM(AD$7:AD62),"")</f>
        <v/>
      </c>
    </row>
    <row r="63" customFormat="false" ht="15" hidden="false" customHeight="false" outlineLevel="0" collapsed="false">
      <c r="A63" s="181" t="str">
        <f aca="false">IF(OR(B63="",C63="",D63=""),"",IFERROR(MATCH(B63,'ตั้งค่า Setup'!$C$26:$C$65,0)&amp;"."&amp;MATCH(C63,'ตั้งค่า Setup'!$C$68:$C$107,0)&amp;"."&amp;TEXT(COUNTIFS(B$7:B63,B63,C$7:C63,C63),"00"),"?"))</f>
        <v/>
      </c>
      <c r="B63" s="32"/>
      <c r="C63" s="32"/>
      <c r="D63" s="32"/>
      <c r="E63" s="23"/>
      <c r="F63" s="113"/>
      <c r="G63" s="115" t="n">
        <f aca="false">IF(D63="",0,IF(F63&lt;&gt;"",F63,IF(SUM($E$7:$E$156)&gt;0,N(E63)/SUM($E$7:$E$156),0)))</f>
        <v>0</v>
      </c>
      <c r="H63" s="182" t="str">
        <f aca="false">IF(D63="","",G63*'ตั้งค่า Setup'!$C$9)</f>
        <v/>
      </c>
      <c r="I63" s="24"/>
      <c r="J63" s="24"/>
      <c r="K63" s="117" t="str">
        <f aca="false">IF(OR(I63="",J63=""),"",J63-I63+1)</f>
        <v/>
      </c>
      <c r="L63" s="24"/>
      <c r="M63" s="24"/>
      <c r="N63" s="24"/>
      <c r="O63" s="24"/>
      <c r="P63" s="113"/>
      <c r="Q63" s="115" t="str">
        <f aca="false">IF(OR(D63="",I63="",J63=""),"",MAX(0,MIN(1,('ตั้งค่า Setup'!$C$15-I63+1)/(J63-I63+1))))</f>
        <v/>
      </c>
      <c r="R63" s="115" t="str">
        <f aca="false">IF(OR(D63="",AA63=0),"",MAX(0,MIN(1,('ตั้งค่า Setup'!$C$15-AA63+1)/(AB63-AA63+1))))</f>
        <v/>
      </c>
      <c r="S63" s="182" t="str">
        <f aca="false">IF(Q63="","",H63*Q63)</f>
        <v/>
      </c>
      <c r="T63" s="182" t="str">
        <f aca="false">IF(D63="","",H63*N(P63))</f>
        <v/>
      </c>
      <c r="U63" s="182" t="str">
        <f aca="false">IF(OR(S63="",T63=""),"",T63-S63)</f>
        <v/>
      </c>
      <c r="V63" s="183" t="str">
        <f aca="false">IF(OR(S63="",T63=""),"",IF(S63=0,"",T63/S63))</f>
        <v/>
      </c>
      <c r="W63" s="127" t="str">
        <f aca="false">IF(OR(D63="",AA63=0),"",IF(O63&lt;&gt;"",O63,IF(AND(N(P63)&gt;0,N63&lt;&gt;""),N63+ROUND((MAX('ตั้งค่า Setup'!$C$15,N63)-N63+1)/P63,0)-1,MAX(AB63,'ตั้งค่า Setup'!$C$15+AB63-AA63))))</f>
        <v/>
      </c>
      <c r="X63" s="184" t="str">
        <f aca="false">IF(OR(W63="",J63=""),"",W63-J63)</f>
        <v/>
      </c>
      <c r="Y63" s="117" t="str">
        <f aca="false">IF(OR(D63="",I63="",J63=""),"",IF(O63&lt;&gt;"",IF(O63&lt;=J63,"เสร็จ / Completed","เสร็จช้า / Completed Late"),IF(AND(N63="",'ตั้งค่า Setup'!$C$15&lt;AA63),"ยังไม่ถึงกำหนด / Not Due",IF(N(P63)&gt;=Q63,"ตามแผน / On Track",IF('ตั้งค่า Setup'!$C$15&gt;J63,"เกินกำหนด / Overdue","ล่าช้า / Behind")))))</f>
        <v/>
      </c>
      <c r="Z63" s="32"/>
      <c r="AA63" s="69" t="n">
        <f aca="false">IF(D63="",0,IF(L63&lt;&gt;"",L63,N(I63)))</f>
        <v>0</v>
      </c>
      <c r="AB63" s="69" t="n">
        <f aca="false">IF(D63="",0,IF(M63&lt;&gt;"",M63,N(J63)))</f>
        <v>0</v>
      </c>
      <c r="AC63" s="185" t="str">
        <f aca="false">IF(AND(D63&lt;&gt;"",O63="",ISNUMBER(X63)),X63+(1000-ROW())/1000000,"")</f>
        <v/>
      </c>
      <c r="AD63" s="185" t="n">
        <f aca="false">IF(AND(D63&lt;&gt;"",O63="",AA63&gt;0,AA63&lt;='ตั้งค่า Setup'!$C$15+'ตั้งค่า Setup'!$C$20),1,0)</f>
        <v>0</v>
      </c>
      <c r="AE63" s="185" t="str">
        <f aca="false">IF(AD63=1,SUM(AD$7:AD63),"")</f>
        <v/>
      </c>
    </row>
    <row r="64" customFormat="false" ht="15" hidden="false" customHeight="false" outlineLevel="0" collapsed="false">
      <c r="A64" s="181" t="str">
        <f aca="false">IF(OR(B64="",C64="",D64=""),"",IFERROR(MATCH(B64,'ตั้งค่า Setup'!$C$26:$C$65,0)&amp;"."&amp;MATCH(C64,'ตั้งค่า Setup'!$C$68:$C$107,0)&amp;"."&amp;TEXT(COUNTIFS(B$7:B64,B64,C$7:C64,C64),"00"),"?"))</f>
        <v/>
      </c>
      <c r="B64" s="32"/>
      <c r="C64" s="32"/>
      <c r="D64" s="32"/>
      <c r="E64" s="23"/>
      <c r="F64" s="113"/>
      <c r="G64" s="115" t="n">
        <f aca="false">IF(D64="",0,IF(F64&lt;&gt;"",F64,IF(SUM($E$7:$E$156)&gt;0,N(E64)/SUM($E$7:$E$156),0)))</f>
        <v>0</v>
      </c>
      <c r="H64" s="182" t="str">
        <f aca="false">IF(D64="","",G64*'ตั้งค่า Setup'!$C$9)</f>
        <v/>
      </c>
      <c r="I64" s="24"/>
      <c r="J64" s="24"/>
      <c r="K64" s="117" t="str">
        <f aca="false">IF(OR(I64="",J64=""),"",J64-I64+1)</f>
        <v/>
      </c>
      <c r="L64" s="24"/>
      <c r="M64" s="24"/>
      <c r="N64" s="24"/>
      <c r="O64" s="24"/>
      <c r="P64" s="113"/>
      <c r="Q64" s="115" t="str">
        <f aca="false">IF(OR(D64="",I64="",J64=""),"",MAX(0,MIN(1,('ตั้งค่า Setup'!$C$15-I64+1)/(J64-I64+1))))</f>
        <v/>
      </c>
      <c r="R64" s="115" t="str">
        <f aca="false">IF(OR(D64="",AA64=0),"",MAX(0,MIN(1,('ตั้งค่า Setup'!$C$15-AA64+1)/(AB64-AA64+1))))</f>
        <v/>
      </c>
      <c r="S64" s="182" t="str">
        <f aca="false">IF(Q64="","",H64*Q64)</f>
        <v/>
      </c>
      <c r="T64" s="182" t="str">
        <f aca="false">IF(D64="","",H64*N(P64))</f>
        <v/>
      </c>
      <c r="U64" s="182" t="str">
        <f aca="false">IF(OR(S64="",T64=""),"",T64-S64)</f>
        <v/>
      </c>
      <c r="V64" s="183" t="str">
        <f aca="false">IF(OR(S64="",T64=""),"",IF(S64=0,"",T64/S64))</f>
        <v/>
      </c>
      <c r="W64" s="127" t="str">
        <f aca="false">IF(OR(D64="",AA64=0),"",IF(O64&lt;&gt;"",O64,IF(AND(N(P64)&gt;0,N64&lt;&gt;""),N64+ROUND((MAX('ตั้งค่า Setup'!$C$15,N64)-N64+1)/P64,0)-1,MAX(AB64,'ตั้งค่า Setup'!$C$15+AB64-AA64))))</f>
        <v/>
      </c>
      <c r="X64" s="184" t="str">
        <f aca="false">IF(OR(W64="",J64=""),"",W64-J64)</f>
        <v/>
      </c>
      <c r="Y64" s="117" t="str">
        <f aca="false">IF(OR(D64="",I64="",J64=""),"",IF(O64&lt;&gt;"",IF(O64&lt;=J64,"เสร็จ / Completed","เสร็จช้า / Completed Late"),IF(AND(N64="",'ตั้งค่า Setup'!$C$15&lt;AA64),"ยังไม่ถึงกำหนด / Not Due",IF(N(P64)&gt;=Q64,"ตามแผน / On Track",IF('ตั้งค่า Setup'!$C$15&gt;J64,"เกินกำหนด / Overdue","ล่าช้า / Behind")))))</f>
        <v/>
      </c>
      <c r="Z64" s="32"/>
      <c r="AA64" s="69" t="n">
        <f aca="false">IF(D64="",0,IF(L64&lt;&gt;"",L64,N(I64)))</f>
        <v>0</v>
      </c>
      <c r="AB64" s="69" t="n">
        <f aca="false">IF(D64="",0,IF(M64&lt;&gt;"",M64,N(J64)))</f>
        <v>0</v>
      </c>
      <c r="AC64" s="185" t="str">
        <f aca="false">IF(AND(D64&lt;&gt;"",O64="",ISNUMBER(X64)),X64+(1000-ROW())/1000000,"")</f>
        <v/>
      </c>
      <c r="AD64" s="185" t="n">
        <f aca="false">IF(AND(D64&lt;&gt;"",O64="",AA64&gt;0,AA64&lt;='ตั้งค่า Setup'!$C$15+'ตั้งค่า Setup'!$C$20),1,0)</f>
        <v>0</v>
      </c>
      <c r="AE64" s="185" t="str">
        <f aca="false">IF(AD64=1,SUM(AD$7:AD64),"")</f>
        <v/>
      </c>
    </row>
    <row r="65" customFormat="false" ht="15" hidden="false" customHeight="false" outlineLevel="0" collapsed="false">
      <c r="A65" s="181" t="str">
        <f aca="false">IF(OR(B65="",C65="",D65=""),"",IFERROR(MATCH(B65,'ตั้งค่า Setup'!$C$26:$C$65,0)&amp;"."&amp;MATCH(C65,'ตั้งค่า Setup'!$C$68:$C$107,0)&amp;"."&amp;TEXT(COUNTIFS(B$7:B65,B65,C$7:C65,C65),"00"),"?"))</f>
        <v/>
      </c>
      <c r="B65" s="32"/>
      <c r="C65" s="32"/>
      <c r="D65" s="32"/>
      <c r="E65" s="23"/>
      <c r="F65" s="113"/>
      <c r="G65" s="115" t="n">
        <f aca="false">IF(D65="",0,IF(F65&lt;&gt;"",F65,IF(SUM($E$7:$E$156)&gt;0,N(E65)/SUM($E$7:$E$156),0)))</f>
        <v>0</v>
      </c>
      <c r="H65" s="182" t="str">
        <f aca="false">IF(D65="","",G65*'ตั้งค่า Setup'!$C$9)</f>
        <v/>
      </c>
      <c r="I65" s="24"/>
      <c r="J65" s="24"/>
      <c r="K65" s="117" t="str">
        <f aca="false">IF(OR(I65="",J65=""),"",J65-I65+1)</f>
        <v/>
      </c>
      <c r="L65" s="24"/>
      <c r="M65" s="24"/>
      <c r="N65" s="24"/>
      <c r="O65" s="24"/>
      <c r="P65" s="113"/>
      <c r="Q65" s="115" t="str">
        <f aca="false">IF(OR(D65="",I65="",J65=""),"",MAX(0,MIN(1,('ตั้งค่า Setup'!$C$15-I65+1)/(J65-I65+1))))</f>
        <v/>
      </c>
      <c r="R65" s="115" t="str">
        <f aca="false">IF(OR(D65="",AA65=0),"",MAX(0,MIN(1,('ตั้งค่า Setup'!$C$15-AA65+1)/(AB65-AA65+1))))</f>
        <v/>
      </c>
      <c r="S65" s="182" t="str">
        <f aca="false">IF(Q65="","",H65*Q65)</f>
        <v/>
      </c>
      <c r="T65" s="182" t="str">
        <f aca="false">IF(D65="","",H65*N(P65))</f>
        <v/>
      </c>
      <c r="U65" s="182" t="str">
        <f aca="false">IF(OR(S65="",T65=""),"",T65-S65)</f>
        <v/>
      </c>
      <c r="V65" s="183" t="str">
        <f aca="false">IF(OR(S65="",T65=""),"",IF(S65=0,"",T65/S65))</f>
        <v/>
      </c>
      <c r="W65" s="127" t="str">
        <f aca="false">IF(OR(D65="",AA65=0),"",IF(O65&lt;&gt;"",O65,IF(AND(N(P65)&gt;0,N65&lt;&gt;""),N65+ROUND((MAX('ตั้งค่า Setup'!$C$15,N65)-N65+1)/P65,0)-1,MAX(AB65,'ตั้งค่า Setup'!$C$15+AB65-AA65))))</f>
        <v/>
      </c>
      <c r="X65" s="184" t="str">
        <f aca="false">IF(OR(W65="",J65=""),"",W65-J65)</f>
        <v/>
      </c>
      <c r="Y65" s="117" t="str">
        <f aca="false">IF(OR(D65="",I65="",J65=""),"",IF(O65&lt;&gt;"",IF(O65&lt;=J65,"เสร็จ / Completed","เสร็จช้า / Completed Late"),IF(AND(N65="",'ตั้งค่า Setup'!$C$15&lt;AA65),"ยังไม่ถึงกำหนด / Not Due",IF(N(P65)&gt;=Q65,"ตามแผน / On Track",IF('ตั้งค่า Setup'!$C$15&gt;J65,"เกินกำหนด / Overdue","ล่าช้า / Behind")))))</f>
        <v/>
      </c>
      <c r="Z65" s="32"/>
      <c r="AA65" s="69" t="n">
        <f aca="false">IF(D65="",0,IF(L65&lt;&gt;"",L65,N(I65)))</f>
        <v>0</v>
      </c>
      <c r="AB65" s="69" t="n">
        <f aca="false">IF(D65="",0,IF(M65&lt;&gt;"",M65,N(J65)))</f>
        <v>0</v>
      </c>
      <c r="AC65" s="185" t="str">
        <f aca="false">IF(AND(D65&lt;&gt;"",O65="",ISNUMBER(X65)),X65+(1000-ROW())/1000000,"")</f>
        <v/>
      </c>
      <c r="AD65" s="185" t="n">
        <f aca="false">IF(AND(D65&lt;&gt;"",O65="",AA65&gt;0,AA65&lt;='ตั้งค่า Setup'!$C$15+'ตั้งค่า Setup'!$C$20),1,0)</f>
        <v>0</v>
      </c>
      <c r="AE65" s="185" t="str">
        <f aca="false">IF(AD65=1,SUM(AD$7:AD65),"")</f>
        <v/>
      </c>
    </row>
    <row r="66" customFormat="false" ht="15" hidden="false" customHeight="false" outlineLevel="0" collapsed="false">
      <c r="A66" s="181" t="str">
        <f aca="false">IF(OR(B66="",C66="",D66=""),"",IFERROR(MATCH(B66,'ตั้งค่า Setup'!$C$26:$C$65,0)&amp;"."&amp;MATCH(C66,'ตั้งค่า Setup'!$C$68:$C$107,0)&amp;"."&amp;TEXT(COUNTIFS(B$7:B66,B66,C$7:C66,C66),"00"),"?"))</f>
        <v/>
      </c>
      <c r="B66" s="32"/>
      <c r="C66" s="32"/>
      <c r="D66" s="32"/>
      <c r="E66" s="23"/>
      <c r="F66" s="113"/>
      <c r="G66" s="115" t="n">
        <f aca="false">IF(D66="",0,IF(F66&lt;&gt;"",F66,IF(SUM($E$7:$E$156)&gt;0,N(E66)/SUM($E$7:$E$156),0)))</f>
        <v>0</v>
      </c>
      <c r="H66" s="182" t="str">
        <f aca="false">IF(D66="","",G66*'ตั้งค่า Setup'!$C$9)</f>
        <v/>
      </c>
      <c r="I66" s="24"/>
      <c r="J66" s="24"/>
      <c r="K66" s="117" t="str">
        <f aca="false">IF(OR(I66="",J66=""),"",J66-I66+1)</f>
        <v/>
      </c>
      <c r="L66" s="24"/>
      <c r="M66" s="24"/>
      <c r="N66" s="24"/>
      <c r="O66" s="24"/>
      <c r="P66" s="113"/>
      <c r="Q66" s="115" t="str">
        <f aca="false">IF(OR(D66="",I66="",J66=""),"",MAX(0,MIN(1,('ตั้งค่า Setup'!$C$15-I66+1)/(J66-I66+1))))</f>
        <v/>
      </c>
      <c r="R66" s="115" t="str">
        <f aca="false">IF(OR(D66="",AA66=0),"",MAX(0,MIN(1,('ตั้งค่า Setup'!$C$15-AA66+1)/(AB66-AA66+1))))</f>
        <v/>
      </c>
      <c r="S66" s="182" t="str">
        <f aca="false">IF(Q66="","",H66*Q66)</f>
        <v/>
      </c>
      <c r="T66" s="182" t="str">
        <f aca="false">IF(D66="","",H66*N(P66))</f>
        <v/>
      </c>
      <c r="U66" s="182" t="str">
        <f aca="false">IF(OR(S66="",T66=""),"",T66-S66)</f>
        <v/>
      </c>
      <c r="V66" s="183" t="str">
        <f aca="false">IF(OR(S66="",T66=""),"",IF(S66=0,"",T66/S66))</f>
        <v/>
      </c>
      <c r="W66" s="127" t="str">
        <f aca="false">IF(OR(D66="",AA66=0),"",IF(O66&lt;&gt;"",O66,IF(AND(N(P66)&gt;0,N66&lt;&gt;""),N66+ROUND((MAX('ตั้งค่า Setup'!$C$15,N66)-N66+1)/P66,0)-1,MAX(AB66,'ตั้งค่า Setup'!$C$15+AB66-AA66))))</f>
        <v/>
      </c>
      <c r="X66" s="184" t="str">
        <f aca="false">IF(OR(W66="",J66=""),"",W66-J66)</f>
        <v/>
      </c>
      <c r="Y66" s="117" t="str">
        <f aca="false">IF(OR(D66="",I66="",J66=""),"",IF(O66&lt;&gt;"",IF(O66&lt;=J66,"เสร็จ / Completed","เสร็จช้า / Completed Late"),IF(AND(N66="",'ตั้งค่า Setup'!$C$15&lt;AA66),"ยังไม่ถึงกำหนด / Not Due",IF(N(P66)&gt;=Q66,"ตามแผน / On Track",IF('ตั้งค่า Setup'!$C$15&gt;J66,"เกินกำหนด / Overdue","ล่าช้า / Behind")))))</f>
        <v/>
      </c>
      <c r="Z66" s="32"/>
      <c r="AA66" s="69" t="n">
        <f aca="false">IF(D66="",0,IF(L66&lt;&gt;"",L66,N(I66)))</f>
        <v>0</v>
      </c>
      <c r="AB66" s="69" t="n">
        <f aca="false">IF(D66="",0,IF(M66&lt;&gt;"",M66,N(J66)))</f>
        <v>0</v>
      </c>
      <c r="AC66" s="185" t="str">
        <f aca="false">IF(AND(D66&lt;&gt;"",O66="",ISNUMBER(X66)),X66+(1000-ROW())/1000000,"")</f>
        <v/>
      </c>
      <c r="AD66" s="185" t="n">
        <f aca="false">IF(AND(D66&lt;&gt;"",O66="",AA66&gt;0,AA66&lt;='ตั้งค่า Setup'!$C$15+'ตั้งค่า Setup'!$C$20),1,0)</f>
        <v>0</v>
      </c>
      <c r="AE66" s="185" t="str">
        <f aca="false">IF(AD66=1,SUM(AD$7:AD66),"")</f>
        <v/>
      </c>
    </row>
    <row r="67" customFormat="false" ht="15" hidden="false" customHeight="false" outlineLevel="0" collapsed="false">
      <c r="A67" s="181" t="str">
        <f aca="false">IF(OR(B67="",C67="",D67=""),"",IFERROR(MATCH(B67,'ตั้งค่า Setup'!$C$26:$C$65,0)&amp;"."&amp;MATCH(C67,'ตั้งค่า Setup'!$C$68:$C$107,0)&amp;"."&amp;TEXT(COUNTIFS(B$7:B67,B67,C$7:C67,C67),"00"),"?"))</f>
        <v/>
      </c>
      <c r="B67" s="32"/>
      <c r="C67" s="32"/>
      <c r="D67" s="32"/>
      <c r="E67" s="23"/>
      <c r="F67" s="113"/>
      <c r="G67" s="115" t="n">
        <f aca="false">IF(D67="",0,IF(F67&lt;&gt;"",F67,IF(SUM($E$7:$E$156)&gt;0,N(E67)/SUM($E$7:$E$156),0)))</f>
        <v>0</v>
      </c>
      <c r="H67" s="182" t="str">
        <f aca="false">IF(D67="","",G67*'ตั้งค่า Setup'!$C$9)</f>
        <v/>
      </c>
      <c r="I67" s="24"/>
      <c r="J67" s="24"/>
      <c r="K67" s="117" t="str">
        <f aca="false">IF(OR(I67="",J67=""),"",J67-I67+1)</f>
        <v/>
      </c>
      <c r="L67" s="24"/>
      <c r="M67" s="24"/>
      <c r="N67" s="24"/>
      <c r="O67" s="24"/>
      <c r="P67" s="113"/>
      <c r="Q67" s="115" t="str">
        <f aca="false">IF(OR(D67="",I67="",J67=""),"",MAX(0,MIN(1,('ตั้งค่า Setup'!$C$15-I67+1)/(J67-I67+1))))</f>
        <v/>
      </c>
      <c r="R67" s="115" t="str">
        <f aca="false">IF(OR(D67="",AA67=0),"",MAX(0,MIN(1,('ตั้งค่า Setup'!$C$15-AA67+1)/(AB67-AA67+1))))</f>
        <v/>
      </c>
      <c r="S67" s="182" t="str">
        <f aca="false">IF(Q67="","",H67*Q67)</f>
        <v/>
      </c>
      <c r="T67" s="182" t="str">
        <f aca="false">IF(D67="","",H67*N(P67))</f>
        <v/>
      </c>
      <c r="U67" s="182" t="str">
        <f aca="false">IF(OR(S67="",T67=""),"",T67-S67)</f>
        <v/>
      </c>
      <c r="V67" s="183" t="str">
        <f aca="false">IF(OR(S67="",T67=""),"",IF(S67=0,"",T67/S67))</f>
        <v/>
      </c>
      <c r="W67" s="127" t="str">
        <f aca="false">IF(OR(D67="",AA67=0),"",IF(O67&lt;&gt;"",O67,IF(AND(N(P67)&gt;0,N67&lt;&gt;""),N67+ROUND((MAX('ตั้งค่า Setup'!$C$15,N67)-N67+1)/P67,0)-1,MAX(AB67,'ตั้งค่า Setup'!$C$15+AB67-AA67))))</f>
        <v/>
      </c>
      <c r="X67" s="184" t="str">
        <f aca="false">IF(OR(W67="",J67=""),"",W67-J67)</f>
        <v/>
      </c>
      <c r="Y67" s="117" t="str">
        <f aca="false">IF(OR(D67="",I67="",J67=""),"",IF(O67&lt;&gt;"",IF(O67&lt;=J67,"เสร็จ / Completed","เสร็จช้า / Completed Late"),IF(AND(N67="",'ตั้งค่า Setup'!$C$15&lt;AA67),"ยังไม่ถึงกำหนด / Not Due",IF(N(P67)&gt;=Q67,"ตามแผน / On Track",IF('ตั้งค่า Setup'!$C$15&gt;J67,"เกินกำหนด / Overdue","ล่าช้า / Behind")))))</f>
        <v/>
      </c>
      <c r="Z67" s="32"/>
      <c r="AA67" s="69" t="n">
        <f aca="false">IF(D67="",0,IF(L67&lt;&gt;"",L67,N(I67)))</f>
        <v>0</v>
      </c>
      <c r="AB67" s="69" t="n">
        <f aca="false">IF(D67="",0,IF(M67&lt;&gt;"",M67,N(J67)))</f>
        <v>0</v>
      </c>
      <c r="AC67" s="185" t="str">
        <f aca="false">IF(AND(D67&lt;&gt;"",O67="",ISNUMBER(X67)),X67+(1000-ROW())/1000000,"")</f>
        <v/>
      </c>
      <c r="AD67" s="185" t="n">
        <f aca="false">IF(AND(D67&lt;&gt;"",O67="",AA67&gt;0,AA67&lt;='ตั้งค่า Setup'!$C$15+'ตั้งค่า Setup'!$C$20),1,0)</f>
        <v>0</v>
      </c>
      <c r="AE67" s="185" t="str">
        <f aca="false">IF(AD67=1,SUM(AD$7:AD67),"")</f>
        <v/>
      </c>
    </row>
    <row r="68" customFormat="false" ht="15" hidden="false" customHeight="false" outlineLevel="0" collapsed="false">
      <c r="A68" s="181" t="str">
        <f aca="false">IF(OR(B68="",C68="",D68=""),"",IFERROR(MATCH(B68,'ตั้งค่า Setup'!$C$26:$C$65,0)&amp;"."&amp;MATCH(C68,'ตั้งค่า Setup'!$C$68:$C$107,0)&amp;"."&amp;TEXT(COUNTIFS(B$7:B68,B68,C$7:C68,C68),"00"),"?"))</f>
        <v/>
      </c>
      <c r="B68" s="32"/>
      <c r="C68" s="32"/>
      <c r="D68" s="32"/>
      <c r="E68" s="23"/>
      <c r="F68" s="113"/>
      <c r="G68" s="115" t="n">
        <f aca="false">IF(D68="",0,IF(F68&lt;&gt;"",F68,IF(SUM($E$7:$E$156)&gt;0,N(E68)/SUM($E$7:$E$156),0)))</f>
        <v>0</v>
      </c>
      <c r="H68" s="182" t="str">
        <f aca="false">IF(D68="","",G68*'ตั้งค่า Setup'!$C$9)</f>
        <v/>
      </c>
      <c r="I68" s="24"/>
      <c r="J68" s="24"/>
      <c r="K68" s="117" t="str">
        <f aca="false">IF(OR(I68="",J68=""),"",J68-I68+1)</f>
        <v/>
      </c>
      <c r="L68" s="24"/>
      <c r="M68" s="24"/>
      <c r="N68" s="24"/>
      <c r="O68" s="24"/>
      <c r="P68" s="113"/>
      <c r="Q68" s="115" t="str">
        <f aca="false">IF(OR(D68="",I68="",J68=""),"",MAX(0,MIN(1,('ตั้งค่า Setup'!$C$15-I68+1)/(J68-I68+1))))</f>
        <v/>
      </c>
      <c r="R68" s="115" t="str">
        <f aca="false">IF(OR(D68="",AA68=0),"",MAX(0,MIN(1,('ตั้งค่า Setup'!$C$15-AA68+1)/(AB68-AA68+1))))</f>
        <v/>
      </c>
      <c r="S68" s="182" t="str">
        <f aca="false">IF(Q68="","",H68*Q68)</f>
        <v/>
      </c>
      <c r="T68" s="182" t="str">
        <f aca="false">IF(D68="","",H68*N(P68))</f>
        <v/>
      </c>
      <c r="U68" s="182" t="str">
        <f aca="false">IF(OR(S68="",T68=""),"",T68-S68)</f>
        <v/>
      </c>
      <c r="V68" s="183" t="str">
        <f aca="false">IF(OR(S68="",T68=""),"",IF(S68=0,"",T68/S68))</f>
        <v/>
      </c>
      <c r="W68" s="127" t="str">
        <f aca="false">IF(OR(D68="",AA68=0),"",IF(O68&lt;&gt;"",O68,IF(AND(N(P68)&gt;0,N68&lt;&gt;""),N68+ROUND((MAX('ตั้งค่า Setup'!$C$15,N68)-N68+1)/P68,0)-1,MAX(AB68,'ตั้งค่า Setup'!$C$15+AB68-AA68))))</f>
        <v/>
      </c>
      <c r="X68" s="184" t="str">
        <f aca="false">IF(OR(W68="",J68=""),"",W68-J68)</f>
        <v/>
      </c>
      <c r="Y68" s="117" t="str">
        <f aca="false">IF(OR(D68="",I68="",J68=""),"",IF(O68&lt;&gt;"",IF(O68&lt;=J68,"เสร็จ / Completed","เสร็จช้า / Completed Late"),IF(AND(N68="",'ตั้งค่า Setup'!$C$15&lt;AA68),"ยังไม่ถึงกำหนด / Not Due",IF(N(P68)&gt;=Q68,"ตามแผน / On Track",IF('ตั้งค่า Setup'!$C$15&gt;J68,"เกินกำหนด / Overdue","ล่าช้า / Behind")))))</f>
        <v/>
      </c>
      <c r="Z68" s="32"/>
      <c r="AA68" s="69" t="n">
        <f aca="false">IF(D68="",0,IF(L68&lt;&gt;"",L68,N(I68)))</f>
        <v>0</v>
      </c>
      <c r="AB68" s="69" t="n">
        <f aca="false">IF(D68="",0,IF(M68&lt;&gt;"",M68,N(J68)))</f>
        <v>0</v>
      </c>
      <c r="AC68" s="185" t="str">
        <f aca="false">IF(AND(D68&lt;&gt;"",O68="",ISNUMBER(X68)),X68+(1000-ROW())/1000000,"")</f>
        <v/>
      </c>
      <c r="AD68" s="185" t="n">
        <f aca="false">IF(AND(D68&lt;&gt;"",O68="",AA68&gt;0,AA68&lt;='ตั้งค่า Setup'!$C$15+'ตั้งค่า Setup'!$C$20),1,0)</f>
        <v>0</v>
      </c>
      <c r="AE68" s="185" t="str">
        <f aca="false">IF(AD68=1,SUM(AD$7:AD68),"")</f>
        <v/>
      </c>
    </row>
    <row r="69" customFormat="false" ht="15" hidden="false" customHeight="false" outlineLevel="0" collapsed="false">
      <c r="A69" s="181" t="str">
        <f aca="false">IF(OR(B69="",C69="",D69=""),"",IFERROR(MATCH(B69,'ตั้งค่า Setup'!$C$26:$C$65,0)&amp;"."&amp;MATCH(C69,'ตั้งค่า Setup'!$C$68:$C$107,0)&amp;"."&amp;TEXT(COUNTIFS(B$7:B69,B69,C$7:C69,C69),"00"),"?"))</f>
        <v/>
      </c>
      <c r="B69" s="32"/>
      <c r="C69" s="32"/>
      <c r="D69" s="32"/>
      <c r="E69" s="23"/>
      <c r="F69" s="113"/>
      <c r="G69" s="115" t="n">
        <f aca="false">IF(D69="",0,IF(F69&lt;&gt;"",F69,IF(SUM($E$7:$E$156)&gt;0,N(E69)/SUM($E$7:$E$156),0)))</f>
        <v>0</v>
      </c>
      <c r="H69" s="182" t="str">
        <f aca="false">IF(D69="","",G69*'ตั้งค่า Setup'!$C$9)</f>
        <v/>
      </c>
      <c r="I69" s="24"/>
      <c r="J69" s="24"/>
      <c r="K69" s="117" t="str">
        <f aca="false">IF(OR(I69="",J69=""),"",J69-I69+1)</f>
        <v/>
      </c>
      <c r="L69" s="24"/>
      <c r="M69" s="24"/>
      <c r="N69" s="24"/>
      <c r="O69" s="24"/>
      <c r="P69" s="113"/>
      <c r="Q69" s="115" t="str">
        <f aca="false">IF(OR(D69="",I69="",J69=""),"",MAX(0,MIN(1,('ตั้งค่า Setup'!$C$15-I69+1)/(J69-I69+1))))</f>
        <v/>
      </c>
      <c r="R69" s="115" t="str">
        <f aca="false">IF(OR(D69="",AA69=0),"",MAX(0,MIN(1,('ตั้งค่า Setup'!$C$15-AA69+1)/(AB69-AA69+1))))</f>
        <v/>
      </c>
      <c r="S69" s="182" t="str">
        <f aca="false">IF(Q69="","",H69*Q69)</f>
        <v/>
      </c>
      <c r="T69" s="182" t="str">
        <f aca="false">IF(D69="","",H69*N(P69))</f>
        <v/>
      </c>
      <c r="U69" s="182" t="str">
        <f aca="false">IF(OR(S69="",T69=""),"",T69-S69)</f>
        <v/>
      </c>
      <c r="V69" s="183" t="str">
        <f aca="false">IF(OR(S69="",T69=""),"",IF(S69=0,"",T69/S69))</f>
        <v/>
      </c>
      <c r="W69" s="127" t="str">
        <f aca="false">IF(OR(D69="",AA69=0),"",IF(O69&lt;&gt;"",O69,IF(AND(N(P69)&gt;0,N69&lt;&gt;""),N69+ROUND((MAX('ตั้งค่า Setup'!$C$15,N69)-N69+1)/P69,0)-1,MAX(AB69,'ตั้งค่า Setup'!$C$15+AB69-AA69))))</f>
        <v/>
      </c>
      <c r="X69" s="184" t="str">
        <f aca="false">IF(OR(W69="",J69=""),"",W69-J69)</f>
        <v/>
      </c>
      <c r="Y69" s="117" t="str">
        <f aca="false">IF(OR(D69="",I69="",J69=""),"",IF(O69&lt;&gt;"",IF(O69&lt;=J69,"เสร็จ / Completed","เสร็จช้า / Completed Late"),IF(AND(N69="",'ตั้งค่า Setup'!$C$15&lt;AA69),"ยังไม่ถึงกำหนด / Not Due",IF(N(P69)&gt;=Q69,"ตามแผน / On Track",IF('ตั้งค่า Setup'!$C$15&gt;J69,"เกินกำหนด / Overdue","ล่าช้า / Behind")))))</f>
        <v/>
      </c>
      <c r="Z69" s="32"/>
      <c r="AA69" s="69" t="n">
        <f aca="false">IF(D69="",0,IF(L69&lt;&gt;"",L69,N(I69)))</f>
        <v>0</v>
      </c>
      <c r="AB69" s="69" t="n">
        <f aca="false">IF(D69="",0,IF(M69&lt;&gt;"",M69,N(J69)))</f>
        <v>0</v>
      </c>
      <c r="AC69" s="185" t="str">
        <f aca="false">IF(AND(D69&lt;&gt;"",O69="",ISNUMBER(X69)),X69+(1000-ROW())/1000000,"")</f>
        <v/>
      </c>
      <c r="AD69" s="185" t="n">
        <f aca="false">IF(AND(D69&lt;&gt;"",O69="",AA69&gt;0,AA69&lt;='ตั้งค่า Setup'!$C$15+'ตั้งค่า Setup'!$C$20),1,0)</f>
        <v>0</v>
      </c>
      <c r="AE69" s="185" t="str">
        <f aca="false">IF(AD69=1,SUM(AD$7:AD69),"")</f>
        <v/>
      </c>
    </row>
    <row r="70" customFormat="false" ht="15" hidden="false" customHeight="false" outlineLevel="0" collapsed="false">
      <c r="A70" s="181" t="str">
        <f aca="false">IF(OR(B70="",C70="",D70=""),"",IFERROR(MATCH(B70,'ตั้งค่า Setup'!$C$26:$C$65,0)&amp;"."&amp;MATCH(C70,'ตั้งค่า Setup'!$C$68:$C$107,0)&amp;"."&amp;TEXT(COUNTIFS(B$7:B70,B70,C$7:C70,C70),"00"),"?"))</f>
        <v/>
      </c>
      <c r="B70" s="32"/>
      <c r="C70" s="32"/>
      <c r="D70" s="32"/>
      <c r="E70" s="23"/>
      <c r="F70" s="113"/>
      <c r="G70" s="115" t="n">
        <f aca="false">IF(D70="",0,IF(F70&lt;&gt;"",F70,IF(SUM($E$7:$E$156)&gt;0,N(E70)/SUM($E$7:$E$156),0)))</f>
        <v>0</v>
      </c>
      <c r="H70" s="182" t="str">
        <f aca="false">IF(D70="","",G70*'ตั้งค่า Setup'!$C$9)</f>
        <v/>
      </c>
      <c r="I70" s="24"/>
      <c r="J70" s="24"/>
      <c r="K70" s="117" t="str">
        <f aca="false">IF(OR(I70="",J70=""),"",J70-I70+1)</f>
        <v/>
      </c>
      <c r="L70" s="24"/>
      <c r="M70" s="24"/>
      <c r="N70" s="24"/>
      <c r="O70" s="24"/>
      <c r="P70" s="113"/>
      <c r="Q70" s="115" t="str">
        <f aca="false">IF(OR(D70="",I70="",J70=""),"",MAX(0,MIN(1,('ตั้งค่า Setup'!$C$15-I70+1)/(J70-I70+1))))</f>
        <v/>
      </c>
      <c r="R70" s="115" t="str">
        <f aca="false">IF(OR(D70="",AA70=0),"",MAX(0,MIN(1,('ตั้งค่า Setup'!$C$15-AA70+1)/(AB70-AA70+1))))</f>
        <v/>
      </c>
      <c r="S70" s="182" t="str">
        <f aca="false">IF(Q70="","",H70*Q70)</f>
        <v/>
      </c>
      <c r="T70" s="182" t="str">
        <f aca="false">IF(D70="","",H70*N(P70))</f>
        <v/>
      </c>
      <c r="U70" s="182" t="str">
        <f aca="false">IF(OR(S70="",T70=""),"",T70-S70)</f>
        <v/>
      </c>
      <c r="V70" s="183" t="str">
        <f aca="false">IF(OR(S70="",T70=""),"",IF(S70=0,"",T70/S70))</f>
        <v/>
      </c>
      <c r="W70" s="127" t="str">
        <f aca="false">IF(OR(D70="",AA70=0),"",IF(O70&lt;&gt;"",O70,IF(AND(N(P70)&gt;0,N70&lt;&gt;""),N70+ROUND((MAX('ตั้งค่า Setup'!$C$15,N70)-N70+1)/P70,0)-1,MAX(AB70,'ตั้งค่า Setup'!$C$15+AB70-AA70))))</f>
        <v/>
      </c>
      <c r="X70" s="184" t="str">
        <f aca="false">IF(OR(W70="",J70=""),"",W70-J70)</f>
        <v/>
      </c>
      <c r="Y70" s="117" t="str">
        <f aca="false">IF(OR(D70="",I70="",J70=""),"",IF(O70&lt;&gt;"",IF(O70&lt;=J70,"เสร็จ / Completed","เสร็จช้า / Completed Late"),IF(AND(N70="",'ตั้งค่า Setup'!$C$15&lt;AA70),"ยังไม่ถึงกำหนด / Not Due",IF(N(P70)&gt;=Q70,"ตามแผน / On Track",IF('ตั้งค่า Setup'!$C$15&gt;J70,"เกินกำหนด / Overdue","ล่าช้า / Behind")))))</f>
        <v/>
      </c>
      <c r="Z70" s="32"/>
      <c r="AA70" s="69" t="n">
        <f aca="false">IF(D70="",0,IF(L70&lt;&gt;"",L70,N(I70)))</f>
        <v>0</v>
      </c>
      <c r="AB70" s="69" t="n">
        <f aca="false">IF(D70="",0,IF(M70&lt;&gt;"",M70,N(J70)))</f>
        <v>0</v>
      </c>
      <c r="AC70" s="185" t="str">
        <f aca="false">IF(AND(D70&lt;&gt;"",O70="",ISNUMBER(X70)),X70+(1000-ROW())/1000000,"")</f>
        <v/>
      </c>
      <c r="AD70" s="185" t="n">
        <f aca="false">IF(AND(D70&lt;&gt;"",O70="",AA70&gt;0,AA70&lt;='ตั้งค่า Setup'!$C$15+'ตั้งค่า Setup'!$C$20),1,0)</f>
        <v>0</v>
      </c>
      <c r="AE70" s="185" t="str">
        <f aca="false">IF(AD70=1,SUM(AD$7:AD70),"")</f>
        <v/>
      </c>
    </row>
    <row r="71" customFormat="false" ht="15" hidden="false" customHeight="false" outlineLevel="0" collapsed="false">
      <c r="A71" s="181" t="str">
        <f aca="false">IF(OR(B71="",C71="",D71=""),"",IFERROR(MATCH(B71,'ตั้งค่า Setup'!$C$26:$C$65,0)&amp;"."&amp;MATCH(C71,'ตั้งค่า Setup'!$C$68:$C$107,0)&amp;"."&amp;TEXT(COUNTIFS(B$7:B71,B71,C$7:C71,C71),"00"),"?"))</f>
        <v/>
      </c>
      <c r="B71" s="32"/>
      <c r="C71" s="32"/>
      <c r="D71" s="32"/>
      <c r="E71" s="23"/>
      <c r="F71" s="113"/>
      <c r="G71" s="115" t="n">
        <f aca="false">IF(D71="",0,IF(F71&lt;&gt;"",F71,IF(SUM($E$7:$E$156)&gt;0,N(E71)/SUM($E$7:$E$156),0)))</f>
        <v>0</v>
      </c>
      <c r="H71" s="182" t="str">
        <f aca="false">IF(D71="","",G71*'ตั้งค่า Setup'!$C$9)</f>
        <v/>
      </c>
      <c r="I71" s="24"/>
      <c r="J71" s="24"/>
      <c r="K71" s="117" t="str">
        <f aca="false">IF(OR(I71="",J71=""),"",J71-I71+1)</f>
        <v/>
      </c>
      <c r="L71" s="24"/>
      <c r="M71" s="24"/>
      <c r="N71" s="24"/>
      <c r="O71" s="24"/>
      <c r="P71" s="113"/>
      <c r="Q71" s="115" t="str">
        <f aca="false">IF(OR(D71="",I71="",J71=""),"",MAX(0,MIN(1,('ตั้งค่า Setup'!$C$15-I71+1)/(J71-I71+1))))</f>
        <v/>
      </c>
      <c r="R71" s="115" t="str">
        <f aca="false">IF(OR(D71="",AA71=0),"",MAX(0,MIN(1,('ตั้งค่า Setup'!$C$15-AA71+1)/(AB71-AA71+1))))</f>
        <v/>
      </c>
      <c r="S71" s="182" t="str">
        <f aca="false">IF(Q71="","",H71*Q71)</f>
        <v/>
      </c>
      <c r="T71" s="182" t="str">
        <f aca="false">IF(D71="","",H71*N(P71))</f>
        <v/>
      </c>
      <c r="U71" s="182" t="str">
        <f aca="false">IF(OR(S71="",T71=""),"",T71-S71)</f>
        <v/>
      </c>
      <c r="V71" s="183" t="str">
        <f aca="false">IF(OR(S71="",T71=""),"",IF(S71=0,"",T71/S71))</f>
        <v/>
      </c>
      <c r="W71" s="127" t="str">
        <f aca="false">IF(OR(D71="",AA71=0),"",IF(O71&lt;&gt;"",O71,IF(AND(N(P71)&gt;0,N71&lt;&gt;""),N71+ROUND((MAX('ตั้งค่า Setup'!$C$15,N71)-N71+1)/P71,0)-1,MAX(AB71,'ตั้งค่า Setup'!$C$15+AB71-AA71))))</f>
        <v/>
      </c>
      <c r="X71" s="184" t="str">
        <f aca="false">IF(OR(W71="",J71=""),"",W71-J71)</f>
        <v/>
      </c>
      <c r="Y71" s="117" t="str">
        <f aca="false">IF(OR(D71="",I71="",J71=""),"",IF(O71&lt;&gt;"",IF(O71&lt;=J71,"เสร็จ / Completed","เสร็จช้า / Completed Late"),IF(AND(N71="",'ตั้งค่า Setup'!$C$15&lt;AA71),"ยังไม่ถึงกำหนด / Not Due",IF(N(P71)&gt;=Q71,"ตามแผน / On Track",IF('ตั้งค่า Setup'!$C$15&gt;J71,"เกินกำหนด / Overdue","ล่าช้า / Behind")))))</f>
        <v/>
      </c>
      <c r="Z71" s="32"/>
      <c r="AA71" s="69" t="n">
        <f aca="false">IF(D71="",0,IF(L71&lt;&gt;"",L71,N(I71)))</f>
        <v>0</v>
      </c>
      <c r="AB71" s="69" t="n">
        <f aca="false">IF(D71="",0,IF(M71&lt;&gt;"",M71,N(J71)))</f>
        <v>0</v>
      </c>
      <c r="AC71" s="185" t="str">
        <f aca="false">IF(AND(D71&lt;&gt;"",O71="",ISNUMBER(X71)),X71+(1000-ROW())/1000000,"")</f>
        <v/>
      </c>
      <c r="AD71" s="185" t="n">
        <f aca="false">IF(AND(D71&lt;&gt;"",O71="",AA71&gt;0,AA71&lt;='ตั้งค่า Setup'!$C$15+'ตั้งค่า Setup'!$C$20),1,0)</f>
        <v>0</v>
      </c>
      <c r="AE71" s="185" t="str">
        <f aca="false">IF(AD71=1,SUM(AD$7:AD71),"")</f>
        <v/>
      </c>
    </row>
    <row r="72" customFormat="false" ht="15" hidden="false" customHeight="false" outlineLevel="0" collapsed="false">
      <c r="A72" s="181" t="str">
        <f aca="false">IF(OR(B72="",C72="",D72=""),"",IFERROR(MATCH(B72,'ตั้งค่า Setup'!$C$26:$C$65,0)&amp;"."&amp;MATCH(C72,'ตั้งค่า Setup'!$C$68:$C$107,0)&amp;"."&amp;TEXT(COUNTIFS(B$7:B72,B72,C$7:C72,C72),"00"),"?"))</f>
        <v/>
      </c>
      <c r="B72" s="32"/>
      <c r="C72" s="32"/>
      <c r="D72" s="32"/>
      <c r="E72" s="23"/>
      <c r="F72" s="113"/>
      <c r="G72" s="115" t="n">
        <f aca="false">IF(D72="",0,IF(F72&lt;&gt;"",F72,IF(SUM($E$7:$E$156)&gt;0,N(E72)/SUM($E$7:$E$156),0)))</f>
        <v>0</v>
      </c>
      <c r="H72" s="182" t="str">
        <f aca="false">IF(D72="","",G72*'ตั้งค่า Setup'!$C$9)</f>
        <v/>
      </c>
      <c r="I72" s="24"/>
      <c r="J72" s="24"/>
      <c r="K72" s="117" t="str">
        <f aca="false">IF(OR(I72="",J72=""),"",J72-I72+1)</f>
        <v/>
      </c>
      <c r="L72" s="24"/>
      <c r="M72" s="24"/>
      <c r="N72" s="24"/>
      <c r="O72" s="24"/>
      <c r="P72" s="113"/>
      <c r="Q72" s="115" t="str">
        <f aca="false">IF(OR(D72="",I72="",J72=""),"",MAX(0,MIN(1,('ตั้งค่า Setup'!$C$15-I72+1)/(J72-I72+1))))</f>
        <v/>
      </c>
      <c r="R72" s="115" t="str">
        <f aca="false">IF(OR(D72="",AA72=0),"",MAX(0,MIN(1,('ตั้งค่า Setup'!$C$15-AA72+1)/(AB72-AA72+1))))</f>
        <v/>
      </c>
      <c r="S72" s="182" t="str">
        <f aca="false">IF(Q72="","",H72*Q72)</f>
        <v/>
      </c>
      <c r="T72" s="182" t="str">
        <f aca="false">IF(D72="","",H72*N(P72))</f>
        <v/>
      </c>
      <c r="U72" s="182" t="str">
        <f aca="false">IF(OR(S72="",T72=""),"",T72-S72)</f>
        <v/>
      </c>
      <c r="V72" s="183" t="str">
        <f aca="false">IF(OR(S72="",T72=""),"",IF(S72=0,"",T72/S72))</f>
        <v/>
      </c>
      <c r="W72" s="127" t="str">
        <f aca="false">IF(OR(D72="",AA72=0),"",IF(O72&lt;&gt;"",O72,IF(AND(N(P72)&gt;0,N72&lt;&gt;""),N72+ROUND((MAX('ตั้งค่า Setup'!$C$15,N72)-N72+1)/P72,0)-1,MAX(AB72,'ตั้งค่า Setup'!$C$15+AB72-AA72))))</f>
        <v/>
      </c>
      <c r="X72" s="184" t="str">
        <f aca="false">IF(OR(W72="",J72=""),"",W72-J72)</f>
        <v/>
      </c>
      <c r="Y72" s="117" t="str">
        <f aca="false">IF(OR(D72="",I72="",J72=""),"",IF(O72&lt;&gt;"",IF(O72&lt;=J72,"เสร็จ / Completed","เสร็จช้า / Completed Late"),IF(AND(N72="",'ตั้งค่า Setup'!$C$15&lt;AA72),"ยังไม่ถึงกำหนด / Not Due",IF(N(P72)&gt;=Q72,"ตามแผน / On Track",IF('ตั้งค่า Setup'!$C$15&gt;J72,"เกินกำหนด / Overdue","ล่าช้า / Behind")))))</f>
        <v/>
      </c>
      <c r="Z72" s="32"/>
      <c r="AA72" s="69" t="n">
        <f aca="false">IF(D72="",0,IF(L72&lt;&gt;"",L72,N(I72)))</f>
        <v>0</v>
      </c>
      <c r="AB72" s="69" t="n">
        <f aca="false">IF(D72="",0,IF(M72&lt;&gt;"",M72,N(J72)))</f>
        <v>0</v>
      </c>
      <c r="AC72" s="185" t="str">
        <f aca="false">IF(AND(D72&lt;&gt;"",O72="",ISNUMBER(X72)),X72+(1000-ROW())/1000000,"")</f>
        <v/>
      </c>
      <c r="AD72" s="185" t="n">
        <f aca="false">IF(AND(D72&lt;&gt;"",O72="",AA72&gt;0,AA72&lt;='ตั้งค่า Setup'!$C$15+'ตั้งค่า Setup'!$C$20),1,0)</f>
        <v>0</v>
      </c>
      <c r="AE72" s="185" t="str">
        <f aca="false">IF(AD72=1,SUM(AD$7:AD72),"")</f>
        <v/>
      </c>
    </row>
    <row r="73" customFormat="false" ht="15" hidden="false" customHeight="false" outlineLevel="0" collapsed="false">
      <c r="A73" s="181" t="str">
        <f aca="false">IF(OR(B73="",C73="",D73=""),"",IFERROR(MATCH(B73,'ตั้งค่า Setup'!$C$26:$C$65,0)&amp;"."&amp;MATCH(C73,'ตั้งค่า Setup'!$C$68:$C$107,0)&amp;"."&amp;TEXT(COUNTIFS(B$7:B73,B73,C$7:C73,C73),"00"),"?"))</f>
        <v/>
      </c>
      <c r="B73" s="32"/>
      <c r="C73" s="32"/>
      <c r="D73" s="32"/>
      <c r="E73" s="23"/>
      <c r="F73" s="113"/>
      <c r="G73" s="115" t="n">
        <f aca="false">IF(D73="",0,IF(F73&lt;&gt;"",F73,IF(SUM($E$7:$E$156)&gt;0,N(E73)/SUM($E$7:$E$156),0)))</f>
        <v>0</v>
      </c>
      <c r="H73" s="182" t="str">
        <f aca="false">IF(D73="","",G73*'ตั้งค่า Setup'!$C$9)</f>
        <v/>
      </c>
      <c r="I73" s="24"/>
      <c r="J73" s="24"/>
      <c r="K73" s="117" t="str">
        <f aca="false">IF(OR(I73="",J73=""),"",J73-I73+1)</f>
        <v/>
      </c>
      <c r="L73" s="24"/>
      <c r="M73" s="24"/>
      <c r="N73" s="24"/>
      <c r="O73" s="24"/>
      <c r="P73" s="113"/>
      <c r="Q73" s="115" t="str">
        <f aca="false">IF(OR(D73="",I73="",J73=""),"",MAX(0,MIN(1,('ตั้งค่า Setup'!$C$15-I73+1)/(J73-I73+1))))</f>
        <v/>
      </c>
      <c r="R73" s="115" t="str">
        <f aca="false">IF(OR(D73="",AA73=0),"",MAX(0,MIN(1,('ตั้งค่า Setup'!$C$15-AA73+1)/(AB73-AA73+1))))</f>
        <v/>
      </c>
      <c r="S73" s="182" t="str">
        <f aca="false">IF(Q73="","",H73*Q73)</f>
        <v/>
      </c>
      <c r="T73" s="182" t="str">
        <f aca="false">IF(D73="","",H73*N(P73))</f>
        <v/>
      </c>
      <c r="U73" s="182" t="str">
        <f aca="false">IF(OR(S73="",T73=""),"",T73-S73)</f>
        <v/>
      </c>
      <c r="V73" s="183" t="str">
        <f aca="false">IF(OR(S73="",T73=""),"",IF(S73=0,"",T73/S73))</f>
        <v/>
      </c>
      <c r="W73" s="127" t="str">
        <f aca="false">IF(OR(D73="",AA73=0),"",IF(O73&lt;&gt;"",O73,IF(AND(N(P73)&gt;0,N73&lt;&gt;""),N73+ROUND((MAX('ตั้งค่า Setup'!$C$15,N73)-N73+1)/P73,0)-1,MAX(AB73,'ตั้งค่า Setup'!$C$15+AB73-AA73))))</f>
        <v/>
      </c>
      <c r="X73" s="184" t="str">
        <f aca="false">IF(OR(W73="",J73=""),"",W73-J73)</f>
        <v/>
      </c>
      <c r="Y73" s="117" t="str">
        <f aca="false">IF(OR(D73="",I73="",J73=""),"",IF(O73&lt;&gt;"",IF(O73&lt;=J73,"เสร็จ / Completed","เสร็จช้า / Completed Late"),IF(AND(N73="",'ตั้งค่า Setup'!$C$15&lt;AA73),"ยังไม่ถึงกำหนด / Not Due",IF(N(P73)&gt;=Q73,"ตามแผน / On Track",IF('ตั้งค่า Setup'!$C$15&gt;J73,"เกินกำหนด / Overdue","ล่าช้า / Behind")))))</f>
        <v/>
      </c>
      <c r="Z73" s="32"/>
      <c r="AA73" s="69" t="n">
        <f aca="false">IF(D73="",0,IF(L73&lt;&gt;"",L73,N(I73)))</f>
        <v>0</v>
      </c>
      <c r="AB73" s="69" t="n">
        <f aca="false">IF(D73="",0,IF(M73&lt;&gt;"",M73,N(J73)))</f>
        <v>0</v>
      </c>
      <c r="AC73" s="185" t="str">
        <f aca="false">IF(AND(D73&lt;&gt;"",O73="",ISNUMBER(X73)),X73+(1000-ROW())/1000000,"")</f>
        <v/>
      </c>
      <c r="AD73" s="185" t="n">
        <f aca="false">IF(AND(D73&lt;&gt;"",O73="",AA73&gt;0,AA73&lt;='ตั้งค่า Setup'!$C$15+'ตั้งค่า Setup'!$C$20),1,0)</f>
        <v>0</v>
      </c>
      <c r="AE73" s="185" t="str">
        <f aca="false">IF(AD73=1,SUM(AD$7:AD73),"")</f>
        <v/>
      </c>
    </row>
    <row r="74" customFormat="false" ht="15" hidden="false" customHeight="false" outlineLevel="0" collapsed="false">
      <c r="A74" s="181" t="str">
        <f aca="false">IF(OR(B74="",C74="",D74=""),"",IFERROR(MATCH(B74,'ตั้งค่า Setup'!$C$26:$C$65,0)&amp;"."&amp;MATCH(C74,'ตั้งค่า Setup'!$C$68:$C$107,0)&amp;"."&amp;TEXT(COUNTIFS(B$7:B74,B74,C$7:C74,C74),"00"),"?"))</f>
        <v/>
      </c>
      <c r="B74" s="32"/>
      <c r="C74" s="32"/>
      <c r="D74" s="32"/>
      <c r="E74" s="23"/>
      <c r="F74" s="113"/>
      <c r="G74" s="115" t="n">
        <f aca="false">IF(D74="",0,IF(F74&lt;&gt;"",F74,IF(SUM($E$7:$E$156)&gt;0,N(E74)/SUM($E$7:$E$156),0)))</f>
        <v>0</v>
      </c>
      <c r="H74" s="182" t="str">
        <f aca="false">IF(D74="","",G74*'ตั้งค่า Setup'!$C$9)</f>
        <v/>
      </c>
      <c r="I74" s="24"/>
      <c r="J74" s="24"/>
      <c r="K74" s="117" t="str">
        <f aca="false">IF(OR(I74="",J74=""),"",J74-I74+1)</f>
        <v/>
      </c>
      <c r="L74" s="24"/>
      <c r="M74" s="24"/>
      <c r="N74" s="24"/>
      <c r="O74" s="24"/>
      <c r="P74" s="113"/>
      <c r="Q74" s="115" t="str">
        <f aca="false">IF(OR(D74="",I74="",J74=""),"",MAX(0,MIN(1,('ตั้งค่า Setup'!$C$15-I74+1)/(J74-I74+1))))</f>
        <v/>
      </c>
      <c r="R74" s="115" t="str">
        <f aca="false">IF(OR(D74="",AA74=0),"",MAX(0,MIN(1,('ตั้งค่า Setup'!$C$15-AA74+1)/(AB74-AA74+1))))</f>
        <v/>
      </c>
      <c r="S74" s="182" t="str">
        <f aca="false">IF(Q74="","",H74*Q74)</f>
        <v/>
      </c>
      <c r="T74" s="182" t="str">
        <f aca="false">IF(D74="","",H74*N(P74))</f>
        <v/>
      </c>
      <c r="U74" s="182" t="str">
        <f aca="false">IF(OR(S74="",T74=""),"",T74-S74)</f>
        <v/>
      </c>
      <c r="V74" s="183" t="str">
        <f aca="false">IF(OR(S74="",T74=""),"",IF(S74=0,"",T74/S74))</f>
        <v/>
      </c>
      <c r="W74" s="127" t="str">
        <f aca="false">IF(OR(D74="",AA74=0),"",IF(O74&lt;&gt;"",O74,IF(AND(N(P74)&gt;0,N74&lt;&gt;""),N74+ROUND((MAX('ตั้งค่า Setup'!$C$15,N74)-N74+1)/P74,0)-1,MAX(AB74,'ตั้งค่า Setup'!$C$15+AB74-AA74))))</f>
        <v/>
      </c>
      <c r="X74" s="184" t="str">
        <f aca="false">IF(OR(W74="",J74=""),"",W74-J74)</f>
        <v/>
      </c>
      <c r="Y74" s="117" t="str">
        <f aca="false">IF(OR(D74="",I74="",J74=""),"",IF(O74&lt;&gt;"",IF(O74&lt;=J74,"เสร็จ / Completed","เสร็จช้า / Completed Late"),IF(AND(N74="",'ตั้งค่า Setup'!$C$15&lt;AA74),"ยังไม่ถึงกำหนด / Not Due",IF(N(P74)&gt;=Q74,"ตามแผน / On Track",IF('ตั้งค่า Setup'!$C$15&gt;J74,"เกินกำหนด / Overdue","ล่าช้า / Behind")))))</f>
        <v/>
      </c>
      <c r="Z74" s="32"/>
      <c r="AA74" s="69" t="n">
        <f aca="false">IF(D74="",0,IF(L74&lt;&gt;"",L74,N(I74)))</f>
        <v>0</v>
      </c>
      <c r="AB74" s="69" t="n">
        <f aca="false">IF(D74="",0,IF(M74&lt;&gt;"",M74,N(J74)))</f>
        <v>0</v>
      </c>
      <c r="AC74" s="185" t="str">
        <f aca="false">IF(AND(D74&lt;&gt;"",O74="",ISNUMBER(X74)),X74+(1000-ROW())/1000000,"")</f>
        <v/>
      </c>
      <c r="AD74" s="185" t="n">
        <f aca="false">IF(AND(D74&lt;&gt;"",O74="",AA74&gt;0,AA74&lt;='ตั้งค่า Setup'!$C$15+'ตั้งค่า Setup'!$C$20),1,0)</f>
        <v>0</v>
      </c>
      <c r="AE74" s="185" t="str">
        <f aca="false">IF(AD74=1,SUM(AD$7:AD74),"")</f>
        <v/>
      </c>
    </row>
    <row r="75" customFormat="false" ht="15" hidden="false" customHeight="false" outlineLevel="0" collapsed="false">
      <c r="A75" s="181" t="str">
        <f aca="false">IF(OR(B75="",C75="",D75=""),"",IFERROR(MATCH(B75,'ตั้งค่า Setup'!$C$26:$C$65,0)&amp;"."&amp;MATCH(C75,'ตั้งค่า Setup'!$C$68:$C$107,0)&amp;"."&amp;TEXT(COUNTIFS(B$7:B75,B75,C$7:C75,C75),"00"),"?"))</f>
        <v/>
      </c>
      <c r="B75" s="32"/>
      <c r="C75" s="32"/>
      <c r="D75" s="32"/>
      <c r="E75" s="23"/>
      <c r="F75" s="113"/>
      <c r="G75" s="115" t="n">
        <f aca="false">IF(D75="",0,IF(F75&lt;&gt;"",F75,IF(SUM($E$7:$E$156)&gt;0,N(E75)/SUM($E$7:$E$156),0)))</f>
        <v>0</v>
      </c>
      <c r="H75" s="182" t="str">
        <f aca="false">IF(D75="","",G75*'ตั้งค่า Setup'!$C$9)</f>
        <v/>
      </c>
      <c r="I75" s="24"/>
      <c r="J75" s="24"/>
      <c r="K75" s="117" t="str">
        <f aca="false">IF(OR(I75="",J75=""),"",J75-I75+1)</f>
        <v/>
      </c>
      <c r="L75" s="24"/>
      <c r="M75" s="24"/>
      <c r="N75" s="24"/>
      <c r="O75" s="24"/>
      <c r="P75" s="113"/>
      <c r="Q75" s="115" t="str">
        <f aca="false">IF(OR(D75="",I75="",J75=""),"",MAX(0,MIN(1,('ตั้งค่า Setup'!$C$15-I75+1)/(J75-I75+1))))</f>
        <v/>
      </c>
      <c r="R75" s="115" t="str">
        <f aca="false">IF(OR(D75="",AA75=0),"",MAX(0,MIN(1,('ตั้งค่า Setup'!$C$15-AA75+1)/(AB75-AA75+1))))</f>
        <v/>
      </c>
      <c r="S75" s="182" t="str">
        <f aca="false">IF(Q75="","",H75*Q75)</f>
        <v/>
      </c>
      <c r="T75" s="182" t="str">
        <f aca="false">IF(D75="","",H75*N(P75))</f>
        <v/>
      </c>
      <c r="U75" s="182" t="str">
        <f aca="false">IF(OR(S75="",T75=""),"",T75-S75)</f>
        <v/>
      </c>
      <c r="V75" s="183" t="str">
        <f aca="false">IF(OR(S75="",T75=""),"",IF(S75=0,"",T75/S75))</f>
        <v/>
      </c>
      <c r="W75" s="127" t="str">
        <f aca="false">IF(OR(D75="",AA75=0),"",IF(O75&lt;&gt;"",O75,IF(AND(N(P75)&gt;0,N75&lt;&gt;""),N75+ROUND((MAX('ตั้งค่า Setup'!$C$15,N75)-N75+1)/P75,0)-1,MAX(AB75,'ตั้งค่า Setup'!$C$15+AB75-AA75))))</f>
        <v/>
      </c>
      <c r="X75" s="184" t="str">
        <f aca="false">IF(OR(W75="",J75=""),"",W75-J75)</f>
        <v/>
      </c>
      <c r="Y75" s="117" t="str">
        <f aca="false">IF(OR(D75="",I75="",J75=""),"",IF(O75&lt;&gt;"",IF(O75&lt;=J75,"เสร็จ / Completed","เสร็จช้า / Completed Late"),IF(AND(N75="",'ตั้งค่า Setup'!$C$15&lt;AA75),"ยังไม่ถึงกำหนด / Not Due",IF(N(P75)&gt;=Q75,"ตามแผน / On Track",IF('ตั้งค่า Setup'!$C$15&gt;J75,"เกินกำหนด / Overdue","ล่าช้า / Behind")))))</f>
        <v/>
      </c>
      <c r="Z75" s="32"/>
      <c r="AA75" s="69" t="n">
        <f aca="false">IF(D75="",0,IF(L75&lt;&gt;"",L75,N(I75)))</f>
        <v>0</v>
      </c>
      <c r="AB75" s="69" t="n">
        <f aca="false">IF(D75="",0,IF(M75&lt;&gt;"",M75,N(J75)))</f>
        <v>0</v>
      </c>
      <c r="AC75" s="185" t="str">
        <f aca="false">IF(AND(D75&lt;&gt;"",O75="",ISNUMBER(X75)),X75+(1000-ROW())/1000000,"")</f>
        <v/>
      </c>
      <c r="AD75" s="185" t="n">
        <f aca="false">IF(AND(D75&lt;&gt;"",O75="",AA75&gt;0,AA75&lt;='ตั้งค่า Setup'!$C$15+'ตั้งค่า Setup'!$C$20),1,0)</f>
        <v>0</v>
      </c>
      <c r="AE75" s="185" t="str">
        <f aca="false">IF(AD75=1,SUM(AD$7:AD75),"")</f>
        <v/>
      </c>
    </row>
    <row r="76" customFormat="false" ht="15" hidden="false" customHeight="false" outlineLevel="0" collapsed="false">
      <c r="A76" s="181" t="str">
        <f aca="false">IF(OR(B76="",C76="",D76=""),"",IFERROR(MATCH(B76,'ตั้งค่า Setup'!$C$26:$C$65,0)&amp;"."&amp;MATCH(C76,'ตั้งค่า Setup'!$C$68:$C$107,0)&amp;"."&amp;TEXT(COUNTIFS(B$7:B76,B76,C$7:C76,C76),"00"),"?"))</f>
        <v/>
      </c>
      <c r="B76" s="32"/>
      <c r="C76" s="32"/>
      <c r="D76" s="32"/>
      <c r="E76" s="23"/>
      <c r="F76" s="113"/>
      <c r="G76" s="115" t="n">
        <f aca="false">IF(D76="",0,IF(F76&lt;&gt;"",F76,IF(SUM($E$7:$E$156)&gt;0,N(E76)/SUM($E$7:$E$156),0)))</f>
        <v>0</v>
      </c>
      <c r="H76" s="182" t="str">
        <f aca="false">IF(D76="","",G76*'ตั้งค่า Setup'!$C$9)</f>
        <v/>
      </c>
      <c r="I76" s="24"/>
      <c r="J76" s="24"/>
      <c r="K76" s="117" t="str">
        <f aca="false">IF(OR(I76="",J76=""),"",J76-I76+1)</f>
        <v/>
      </c>
      <c r="L76" s="24"/>
      <c r="M76" s="24"/>
      <c r="N76" s="24"/>
      <c r="O76" s="24"/>
      <c r="P76" s="113"/>
      <c r="Q76" s="115" t="str">
        <f aca="false">IF(OR(D76="",I76="",J76=""),"",MAX(0,MIN(1,('ตั้งค่า Setup'!$C$15-I76+1)/(J76-I76+1))))</f>
        <v/>
      </c>
      <c r="R76" s="115" t="str">
        <f aca="false">IF(OR(D76="",AA76=0),"",MAX(0,MIN(1,('ตั้งค่า Setup'!$C$15-AA76+1)/(AB76-AA76+1))))</f>
        <v/>
      </c>
      <c r="S76" s="182" t="str">
        <f aca="false">IF(Q76="","",H76*Q76)</f>
        <v/>
      </c>
      <c r="T76" s="182" t="str">
        <f aca="false">IF(D76="","",H76*N(P76))</f>
        <v/>
      </c>
      <c r="U76" s="182" t="str">
        <f aca="false">IF(OR(S76="",T76=""),"",T76-S76)</f>
        <v/>
      </c>
      <c r="V76" s="183" t="str">
        <f aca="false">IF(OR(S76="",T76=""),"",IF(S76=0,"",T76/S76))</f>
        <v/>
      </c>
      <c r="W76" s="127" t="str">
        <f aca="false">IF(OR(D76="",AA76=0),"",IF(O76&lt;&gt;"",O76,IF(AND(N(P76)&gt;0,N76&lt;&gt;""),N76+ROUND((MAX('ตั้งค่า Setup'!$C$15,N76)-N76+1)/P76,0)-1,MAX(AB76,'ตั้งค่า Setup'!$C$15+AB76-AA76))))</f>
        <v/>
      </c>
      <c r="X76" s="184" t="str">
        <f aca="false">IF(OR(W76="",J76=""),"",W76-J76)</f>
        <v/>
      </c>
      <c r="Y76" s="117" t="str">
        <f aca="false">IF(OR(D76="",I76="",J76=""),"",IF(O76&lt;&gt;"",IF(O76&lt;=J76,"เสร็จ / Completed","เสร็จช้า / Completed Late"),IF(AND(N76="",'ตั้งค่า Setup'!$C$15&lt;AA76),"ยังไม่ถึงกำหนด / Not Due",IF(N(P76)&gt;=Q76,"ตามแผน / On Track",IF('ตั้งค่า Setup'!$C$15&gt;J76,"เกินกำหนด / Overdue","ล่าช้า / Behind")))))</f>
        <v/>
      </c>
      <c r="Z76" s="32"/>
      <c r="AA76" s="69" t="n">
        <f aca="false">IF(D76="",0,IF(L76&lt;&gt;"",L76,N(I76)))</f>
        <v>0</v>
      </c>
      <c r="AB76" s="69" t="n">
        <f aca="false">IF(D76="",0,IF(M76&lt;&gt;"",M76,N(J76)))</f>
        <v>0</v>
      </c>
      <c r="AC76" s="185" t="str">
        <f aca="false">IF(AND(D76&lt;&gt;"",O76="",ISNUMBER(X76)),X76+(1000-ROW())/1000000,"")</f>
        <v/>
      </c>
      <c r="AD76" s="185" t="n">
        <f aca="false">IF(AND(D76&lt;&gt;"",O76="",AA76&gt;0,AA76&lt;='ตั้งค่า Setup'!$C$15+'ตั้งค่า Setup'!$C$20),1,0)</f>
        <v>0</v>
      </c>
      <c r="AE76" s="185" t="str">
        <f aca="false">IF(AD76=1,SUM(AD$7:AD76),"")</f>
        <v/>
      </c>
    </row>
    <row r="77" customFormat="false" ht="15" hidden="false" customHeight="false" outlineLevel="0" collapsed="false">
      <c r="A77" s="181" t="str">
        <f aca="false">IF(OR(B77="",C77="",D77=""),"",IFERROR(MATCH(B77,'ตั้งค่า Setup'!$C$26:$C$65,0)&amp;"."&amp;MATCH(C77,'ตั้งค่า Setup'!$C$68:$C$107,0)&amp;"."&amp;TEXT(COUNTIFS(B$7:B77,B77,C$7:C77,C77),"00"),"?"))</f>
        <v/>
      </c>
      <c r="B77" s="32"/>
      <c r="C77" s="32"/>
      <c r="D77" s="32"/>
      <c r="E77" s="23"/>
      <c r="F77" s="113"/>
      <c r="G77" s="115" t="n">
        <f aca="false">IF(D77="",0,IF(F77&lt;&gt;"",F77,IF(SUM($E$7:$E$156)&gt;0,N(E77)/SUM($E$7:$E$156),0)))</f>
        <v>0</v>
      </c>
      <c r="H77" s="182" t="str">
        <f aca="false">IF(D77="","",G77*'ตั้งค่า Setup'!$C$9)</f>
        <v/>
      </c>
      <c r="I77" s="24"/>
      <c r="J77" s="24"/>
      <c r="K77" s="117" t="str">
        <f aca="false">IF(OR(I77="",J77=""),"",J77-I77+1)</f>
        <v/>
      </c>
      <c r="L77" s="24"/>
      <c r="M77" s="24"/>
      <c r="N77" s="24"/>
      <c r="O77" s="24"/>
      <c r="P77" s="113"/>
      <c r="Q77" s="115" t="str">
        <f aca="false">IF(OR(D77="",I77="",J77=""),"",MAX(0,MIN(1,('ตั้งค่า Setup'!$C$15-I77+1)/(J77-I77+1))))</f>
        <v/>
      </c>
      <c r="R77" s="115" t="str">
        <f aca="false">IF(OR(D77="",AA77=0),"",MAX(0,MIN(1,('ตั้งค่า Setup'!$C$15-AA77+1)/(AB77-AA77+1))))</f>
        <v/>
      </c>
      <c r="S77" s="182" t="str">
        <f aca="false">IF(Q77="","",H77*Q77)</f>
        <v/>
      </c>
      <c r="T77" s="182" t="str">
        <f aca="false">IF(D77="","",H77*N(P77))</f>
        <v/>
      </c>
      <c r="U77" s="182" t="str">
        <f aca="false">IF(OR(S77="",T77=""),"",T77-S77)</f>
        <v/>
      </c>
      <c r="V77" s="183" t="str">
        <f aca="false">IF(OR(S77="",T77=""),"",IF(S77=0,"",T77/S77))</f>
        <v/>
      </c>
      <c r="W77" s="127" t="str">
        <f aca="false">IF(OR(D77="",AA77=0),"",IF(O77&lt;&gt;"",O77,IF(AND(N(P77)&gt;0,N77&lt;&gt;""),N77+ROUND((MAX('ตั้งค่า Setup'!$C$15,N77)-N77+1)/P77,0)-1,MAX(AB77,'ตั้งค่า Setup'!$C$15+AB77-AA77))))</f>
        <v/>
      </c>
      <c r="X77" s="184" t="str">
        <f aca="false">IF(OR(W77="",J77=""),"",W77-J77)</f>
        <v/>
      </c>
      <c r="Y77" s="117" t="str">
        <f aca="false">IF(OR(D77="",I77="",J77=""),"",IF(O77&lt;&gt;"",IF(O77&lt;=J77,"เสร็จ / Completed","เสร็จช้า / Completed Late"),IF(AND(N77="",'ตั้งค่า Setup'!$C$15&lt;AA77),"ยังไม่ถึงกำหนด / Not Due",IF(N(P77)&gt;=Q77,"ตามแผน / On Track",IF('ตั้งค่า Setup'!$C$15&gt;J77,"เกินกำหนด / Overdue","ล่าช้า / Behind")))))</f>
        <v/>
      </c>
      <c r="Z77" s="32"/>
      <c r="AA77" s="69" t="n">
        <f aca="false">IF(D77="",0,IF(L77&lt;&gt;"",L77,N(I77)))</f>
        <v>0</v>
      </c>
      <c r="AB77" s="69" t="n">
        <f aca="false">IF(D77="",0,IF(M77&lt;&gt;"",M77,N(J77)))</f>
        <v>0</v>
      </c>
      <c r="AC77" s="185" t="str">
        <f aca="false">IF(AND(D77&lt;&gt;"",O77="",ISNUMBER(X77)),X77+(1000-ROW())/1000000,"")</f>
        <v/>
      </c>
      <c r="AD77" s="185" t="n">
        <f aca="false">IF(AND(D77&lt;&gt;"",O77="",AA77&gt;0,AA77&lt;='ตั้งค่า Setup'!$C$15+'ตั้งค่า Setup'!$C$20),1,0)</f>
        <v>0</v>
      </c>
      <c r="AE77" s="185" t="str">
        <f aca="false">IF(AD77=1,SUM(AD$7:AD77),"")</f>
        <v/>
      </c>
    </row>
    <row r="78" customFormat="false" ht="15" hidden="false" customHeight="false" outlineLevel="0" collapsed="false">
      <c r="A78" s="181" t="str">
        <f aca="false">IF(OR(B78="",C78="",D78=""),"",IFERROR(MATCH(B78,'ตั้งค่า Setup'!$C$26:$C$65,0)&amp;"."&amp;MATCH(C78,'ตั้งค่า Setup'!$C$68:$C$107,0)&amp;"."&amp;TEXT(COUNTIFS(B$7:B78,B78,C$7:C78,C78),"00"),"?"))</f>
        <v/>
      </c>
      <c r="B78" s="32"/>
      <c r="C78" s="32"/>
      <c r="D78" s="32"/>
      <c r="E78" s="23"/>
      <c r="F78" s="113"/>
      <c r="G78" s="115" t="n">
        <f aca="false">IF(D78="",0,IF(F78&lt;&gt;"",F78,IF(SUM($E$7:$E$156)&gt;0,N(E78)/SUM($E$7:$E$156),0)))</f>
        <v>0</v>
      </c>
      <c r="H78" s="182" t="str">
        <f aca="false">IF(D78="","",G78*'ตั้งค่า Setup'!$C$9)</f>
        <v/>
      </c>
      <c r="I78" s="24"/>
      <c r="J78" s="24"/>
      <c r="K78" s="117" t="str">
        <f aca="false">IF(OR(I78="",J78=""),"",J78-I78+1)</f>
        <v/>
      </c>
      <c r="L78" s="24"/>
      <c r="M78" s="24"/>
      <c r="N78" s="24"/>
      <c r="O78" s="24"/>
      <c r="P78" s="113"/>
      <c r="Q78" s="115" t="str">
        <f aca="false">IF(OR(D78="",I78="",J78=""),"",MAX(0,MIN(1,('ตั้งค่า Setup'!$C$15-I78+1)/(J78-I78+1))))</f>
        <v/>
      </c>
      <c r="R78" s="115" t="str">
        <f aca="false">IF(OR(D78="",AA78=0),"",MAX(0,MIN(1,('ตั้งค่า Setup'!$C$15-AA78+1)/(AB78-AA78+1))))</f>
        <v/>
      </c>
      <c r="S78" s="182" t="str">
        <f aca="false">IF(Q78="","",H78*Q78)</f>
        <v/>
      </c>
      <c r="T78" s="182" t="str">
        <f aca="false">IF(D78="","",H78*N(P78))</f>
        <v/>
      </c>
      <c r="U78" s="182" t="str">
        <f aca="false">IF(OR(S78="",T78=""),"",T78-S78)</f>
        <v/>
      </c>
      <c r="V78" s="183" t="str">
        <f aca="false">IF(OR(S78="",T78=""),"",IF(S78=0,"",T78/S78))</f>
        <v/>
      </c>
      <c r="W78" s="127" t="str">
        <f aca="false">IF(OR(D78="",AA78=0),"",IF(O78&lt;&gt;"",O78,IF(AND(N(P78)&gt;0,N78&lt;&gt;""),N78+ROUND((MAX('ตั้งค่า Setup'!$C$15,N78)-N78+1)/P78,0)-1,MAX(AB78,'ตั้งค่า Setup'!$C$15+AB78-AA78))))</f>
        <v/>
      </c>
      <c r="X78" s="184" t="str">
        <f aca="false">IF(OR(W78="",J78=""),"",W78-J78)</f>
        <v/>
      </c>
      <c r="Y78" s="117" t="str">
        <f aca="false">IF(OR(D78="",I78="",J78=""),"",IF(O78&lt;&gt;"",IF(O78&lt;=J78,"เสร็จ / Completed","เสร็จช้า / Completed Late"),IF(AND(N78="",'ตั้งค่า Setup'!$C$15&lt;AA78),"ยังไม่ถึงกำหนด / Not Due",IF(N(P78)&gt;=Q78,"ตามแผน / On Track",IF('ตั้งค่า Setup'!$C$15&gt;J78,"เกินกำหนด / Overdue","ล่าช้า / Behind")))))</f>
        <v/>
      </c>
      <c r="Z78" s="32"/>
      <c r="AA78" s="69" t="n">
        <f aca="false">IF(D78="",0,IF(L78&lt;&gt;"",L78,N(I78)))</f>
        <v>0</v>
      </c>
      <c r="AB78" s="69" t="n">
        <f aca="false">IF(D78="",0,IF(M78&lt;&gt;"",M78,N(J78)))</f>
        <v>0</v>
      </c>
      <c r="AC78" s="185" t="str">
        <f aca="false">IF(AND(D78&lt;&gt;"",O78="",ISNUMBER(X78)),X78+(1000-ROW())/1000000,"")</f>
        <v/>
      </c>
      <c r="AD78" s="185" t="n">
        <f aca="false">IF(AND(D78&lt;&gt;"",O78="",AA78&gt;0,AA78&lt;='ตั้งค่า Setup'!$C$15+'ตั้งค่า Setup'!$C$20),1,0)</f>
        <v>0</v>
      </c>
      <c r="AE78" s="185" t="str">
        <f aca="false">IF(AD78=1,SUM(AD$7:AD78),"")</f>
        <v/>
      </c>
    </row>
    <row r="79" customFormat="false" ht="15" hidden="false" customHeight="false" outlineLevel="0" collapsed="false">
      <c r="A79" s="181" t="str">
        <f aca="false">IF(OR(B79="",C79="",D79=""),"",IFERROR(MATCH(B79,'ตั้งค่า Setup'!$C$26:$C$65,0)&amp;"."&amp;MATCH(C79,'ตั้งค่า Setup'!$C$68:$C$107,0)&amp;"."&amp;TEXT(COUNTIFS(B$7:B79,B79,C$7:C79,C79),"00"),"?"))</f>
        <v/>
      </c>
      <c r="B79" s="32"/>
      <c r="C79" s="32"/>
      <c r="D79" s="32"/>
      <c r="E79" s="23"/>
      <c r="F79" s="113"/>
      <c r="G79" s="115" t="n">
        <f aca="false">IF(D79="",0,IF(F79&lt;&gt;"",F79,IF(SUM($E$7:$E$156)&gt;0,N(E79)/SUM($E$7:$E$156),0)))</f>
        <v>0</v>
      </c>
      <c r="H79" s="182" t="str">
        <f aca="false">IF(D79="","",G79*'ตั้งค่า Setup'!$C$9)</f>
        <v/>
      </c>
      <c r="I79" s="24"/>
      <c r="J79" s="24"/>
      <c r="K79" s="117" t="str">
        <f aca="false">IF(OR(I79="",J79=""),"",J79-I79+1)</f>
        <v/>
      </c>
      <c r="L79" s="24"/>
      <c r="M79" s="24"/>
      <c r="N79" s="24"/>
      <c r="O79" s="24"/>
      <c r="P79" s="113"/>
      <c r="Q79" s="115" t="str">
        <f aca="false">IF(OR(D79="",I79="",J79=""),"",MAX(0,MIN(1,('ตั้งค่า Setup'!$C$15-I79+1)/(J79-I79+1))))</f>
        <v/>
      </c>
      <c r="R79" s="115" t="str">
        <f aca="false">IF(OR(D79="",AA79=0),"",MAX(0,MIN(1,('ตั้งค่า Setup'!$C$15-AA79+1)/(AB79-AA79+1))))</f>
        <v/>
      </c>
      <c r="S79" s="182" t="str">
        <f aca="false">IF(Q79="","",H79*Q79)</f>
        <v/>
      </c>
      <c r="T79" s="182" t="str">
        <f aca="false">IF(D79="","",H79*N(P79))</f>
        <v/>
      </c>
      <c r="U79" s="182" t="str">
        <f aca="false">IF(OR(S79="",T79=""),"",T79-S79)</f>
        <v/>
      </c>
      <c r="V79" s="183" t="str">
        <f aca="false">IF(OR(S79="",T79=""),"",IF(S79=0,"",T79/S79))</f>
        <v/>
      </c>
      <c r="W79" s="127" t="str">
        <f aca="false">IF(OR(D79="",AA79=0),"",IF(O79&lt;&gt;"",O79,IF(AND(N(P79)&gt;0,N79&lt;&gt;""),N79+ROUND((MAX('ตั้งค่า Setup'!$C$15,N79)-N79+1)/P79,0)-1,MAX(AB79,'ตั้งค่า Setup'!$C$15+AB79-AA79))))</f>
        <v/>
      </c>
      <c r="X79" s="184" t="str">
        <f aca="false">IF(OR(W79="",J79=""),"",W79-J79)</f>
        <v/>
      </c>
      <c r="Y79" s="117" t="str">
        <f aca="false">IF(OR(D79="",I79="",J79=""),"",IF(O79&lt;&gt;"",IF(O79&lt;=J79,"เสร็จ / Completed","เสร็จช้า / Completed Late"),IF(AND(N79="",'ตั้งค่า Setup'!$C$15&lt;AA79),"ยังไม่ถึงกำหนด / Not Due",IF(N(P79)&gt;=Q79,"ตามแผน / On Track",IF('ตั้งค่า Setup'!$C$15&gt;J79,"เกินกำหนด / Overdue","ล่าช้า / Behind")))))</f>
        <v/>
      </c>
      <c r="Z79" s="32"/>
      <c r="AA79" s="69" t="n">
        <f aca="false">IF(D79="",0,IF(L79&lt;&gt;"",L79,N(I79)))</f>
        <v>0</v>
      </c>
      <c r="AB79" s="69" t="n">
        <f aca="false">IF(D79="",0,IF(M79&lt;&gt;"",M79,N(J79)))</f>
        <v>0</v>
      </c>
      <c r="AC79" s="185" t="str">
        <f aca="false">IF(AND(D79&lt;&gt;"",O79="",ISNUMBER(X79)),X79+(1000-ROW())/1000000,"")</f>
        <v/>
      </c>
      <c r="AD79" s="185" t="n">
        <f aca="false">IF(AND(D79&lt;&gt;"",O79="",AA79&gt;0,AA79&lt;='ตั้งค่า Setup'!$C$15+'ตั้งค่า Setup'!$C$20),1,0)</f>
        <v>0</v>
      </c>
      <c r="AE79" s="185" t="str">
        <f aca="false">IF(AD79=1,SUM(AD$7:AD79),"")</f>
        <v/>
      </c>
    </row>
    <row r="80" customFormat="false" ht="15" hidden="false" customHeight="false" outlineLevel="0" collapsed="false">
      <c r="A80" s="181" t="str">
        <f aca="false">IF(OR(B80="",C80="",D80=""),"",IFERROR(MATCH(B80,'ตั้งค่า Setup'!$C$26:$C$65,0)&amp;"."&amp;MATCH(C80,'ตั้งค่า Setup'!$C$68:$C$107,0)&amp;"."&amp;TEXT(COUNTIFS(B$7:B80,B80,C$7:C80,C80),"00"),"?"))</f>
        <v/>
      </c>
      <c r="B80" s="32"/>
      <c r="C80" s="32"/>
      <c r="D80" s="32"/>
      <c r="E80" s="23"/>
      <c r="F80" s="113"/>
      <c r="G80" s="115" t="n">
        <f aca="false">IF(D80="",0,IF(F80&lt;&gt;"",F80,IF(SUM($E$7:$E$156)&gt;0,N(E80)/SUM($E$7:$E$156),0)))</f>
        <v>0</v>
      </c>
      <c r="H80" s="182" t="str">
        <f aca="false">IF(D80="","",G80*'ตั้งค่า Setup'!$C$9)</f>
        <v/>
      </c>
      <c r="I80" s="24"/>
      <c r="J80" s="24"/>
      <c r="K80" s="117" t="str">
        <f aca="false">IF(OR(I80="",J80=""),"",J80-I80+1)</f>
        <v/>
      </c>
      <c r="L80" s="24"/>
      <c r="M80" s="24"/>
      <c r="N80" s="24"/>
      <c r="O80" s="24"/>
      <c r="P80" s="113"/>
      <c r="Q80" s="115" t="str">
        <f aca="false">IF(OR(D80="",I80="",J80=""),"",MAX(0,MIN(1,('ตั้งค่า Setup'!$C$15-I80+1)/(J80-I80+1))))</f>
        <v/>
      </c>
      <c r="R80" s="115" t="str">
        <f aca="false">IF(OR(D80="",AA80=0),"",MAX(0,MIN(1,('ตั้งค่า Setup'!$C$15-AA80+1)/(AB80-AA80+1))))</f>
        <v/>
      </c>
      <c r="S80" s="182" t="str">
        <f aca="false">IF(Q80="","",H80*Q80)</f>
        <v/>
      </c>
      <c r="T80" s="182" t="str">
        <f aca="false">IF(D80="","",H80*N(P80))</f>
        <v/>
      </c>
      <c r="U80" s="182" t="str">
        <f aca="false">IF(OR(S80="",T80=""),"",T80-S80)</f>
        <v/>
      </c>
      <c r="V80" s="183" t="str">
        <f aca="false">IF(OR(S80="",T80=""),"",IF(S80=0,"",T80/S80))</f>
        <v/>
      </c>
      <c r="W80" s="127" t="str">
        <f aca="false">IF(OR(D80="",AA80=0),"",IF(O80&lt;&gt;"",O80,IF(AND(N(P80)&gt;0,N80&lt;&gt;""),N80+ROUND((MAX('ตั้งค่า Setup'!$C$15,N80)-N80+1)/P80,0)-1,MAX(AB80,'ตั้งค่า Setup'!$C$15+AB80-AA80))))</f>
        <v/>
      </c>
      <c r="X80" s="184" t="str">
        <f aca="false">IF(OR(W80="",J80=""),"",W80-J80)</f>
        <v/>
      </c>
      <c r="Y80" s="117" t="str">
        <f aca="false">IF(OR(D80="",I80="",J80=""),"",IF(O80&lt;&gt;"",IF(O80&lt;=J80,"เสร็จ / Completed","เสร็จช้า / Completed Late"),IF(AND(N80="",'ตั้งค่า Setup'!$C$15&lt;AA80),"ยังไม่ถึงกำหนด / Not Due",IF(N(P80)&gt;=Q80,"ตามแผน / On Track",IF('ตั้งค่า Setup'!$C$15&gt;J80,"เกินกำหนด / Overdue","ล่าช้า / Behind")))))</f>
        <v/>
      </c>
      <c r="Z80" s="32"/>
      <c r="AA80" s="69" t="n">
        <f aca="false">IF(D80="",0,IF(L80&lt;&gt;"",L80,N(I80)))</f>
        <v>0</v>
      </c>
      <c r="AB80" s="69" t="n">
        <f aca="false">IF(D80="",0,IF(M80&lt;&gt;"",M80,N(J80)))</f>
        <v>0</v>
      </c>
      <c r="AC80" s="185" t="str">
        <f aca="false">IF(AND(D80&lt;&gt;"",O80="",ISNUMBER(X80)),X80+(1000-ROW())/1000000,"")</f>
        <v/>
      </c>
      <c r="AD80" s="185" t="n">
        <f aca="false">IF(AND(D80&lt;&gt;"",O80="",AA80&gt;0,AA80&lt;='ตั้งค่า Setup'!$C$15+'ตั้งค่า Setup'!$C$20),1,0)</f>
        <v>0</v>
      </c>
      <c r="AE80" s="185" t="str">
        <f aca="false">IF(AD80=1,SUM(AD$7:AD80),"")</f>
        <v/>
      </c>
    </row>
    <row r="81" customFormat="false" ht="15" hidden="false" customHeight="false" outlineLevel="0" collapsed="false">
      <c r="A81" s="181" t="str">
        <f aca="false">IF(OR(B81="",C81="",D81=""),"",IFERROR(MATCH(B81,'ตั้งค่า Setup'!$C$26:$C$65,0)&amp;"."&amp;MATCH(C81,'ตั้งค่า Setup'!$C$68:$C$107,0)&amp;"."&amp;TEXT(COUNTIFS(B$7:B81,B81,C$7:C81,C81),"00"),"?"))</f>
        <v/>
      </c>
      <c r="B81" s="32"/>
      <c r="C81" s="32"/>
      <c r="D81" s="32"/>
      <c r="E81" s="23"/>
      <c r="F81" s="113"/>
      <c r="G81" s="115" t="n">
        <f aca="false">IF(D81="",0,IF(F81&lt;&gt;"",F81,IF(SUM($E$7:$E$156)&gt;0,N(E81)/SUM($E$7:$E$156),0)))</f>
        <v>0</v>
      </c>
      <c r="H81" s="182" t="str">
        <f aca="false">IF(D81="","",G81*'ตั้งค่า Setup'!$C$9)</f>
        <v/>
      </c>
      <c r="I81" s="24"/>
      <c r="J81" s="24"/>
      <c r="K81" s="117" t="str">
        <f aca="false">IF(OR(I81="",J81=""),"",J81-I81+1)</f>
        <v/>
      </c>
      <c r="L81" s="24"/>
      <c r="M81" s="24"/>
      <c r="N81" s="24"/>
      <c r="O81" s="24"/>
      <c r="P81" s="113"/>
      <c r="Q81" s="115" t="str">
        <f aca="false">IF(OR(D81="",I81="",J81=""),"",MAX(0,MIN(1,('ตั้งค่า Setup'!$C$15-I81+1)/(J81-I81+1))))</f>
        <v/>
      </c>
      <c r="R81" s="115" t="str">
        <f aca="false">IF(OR(D81="",AA81=0),"",MAX(0,MIN(1,('ตั้งค่า Setup'!$C$15-AA81+1)/(AB81-AA81+1))))</f>
        <v/>
      </c>
      <c r="S81" s="182" t="str">
        <f aca="false">IF(Q81="","",H81*Q81)</f>
        <v/>
      </c>
      <c r="T81" s="182" t="str">
        <f aca="false">IF(D81="","",H81*N(P81))</f>
        <v/>
      </c>
      <c r="U81" s="182" t="str">
        <f aca="false">IF(OR(S81="",T81=""),"",T81-S81)</f>
        <v/>
      </c>
      <c r="V81" s="183" t="str">
        <f aca="false">IF(OR(S81="",T81=""),"",IF(S81=0,"",T81/S81))</f>
        <v/>
      </c>
      <c r="W81" s="127" t="str">
        <f aca="false">IF(OR(D81="",AA81=0),"",IF(O81&lt;&gt;"",O81,IF(AND(N(P81)&gt;0,N81&lt;&gt;""),N81+ROUND((MAX('ตั้งค่า Setup'!$C$15,N81)-N81+1)/P81,0)-1,MAX(AB81,'ตั้งค่า Setup'!$C$15+AB81-AA81))))</f>
        <v/>
      </c>
      <c r="X81" s="184" t="str">
        <f aca="false">IF(OR(W81="",J81=""),"",W81-J81)</f>
        <v/>
      </c>
      <c r="Y81" s="117" t="str">
        <f aca="false">IF(OR(D81="",I81="",J81=""),"",IF(O81&lt;&gt;"",IF(O81&lt;=J81,"เสร็จ / Completed","เสร็จช้า / Completed Late"),IF(AND(N81="",'ตั้งค่า Setup'!$C$15&lt;AA81),"ยังไม่ถึงกำหนด / Not Due",IF(N(P81)&gt;=Q81,"ตามแผน / On Track",IF('ตั้งค่า Setup'!$C$15&gt;J81,"เกินกำหนด / Overdue","ล่าช้า / Behind")))))</f>
        <v/>
      </c>
      <c r="Z81" s="32"/>
      <c r="AA81" s="69" t="n">
        <f aca="false">IF(D81="",0,IF(L81&lt;&gt;"",L81,N(I81)))</f>
        <v>0</v>
      </c>
      <c r="AB81" s="69" t="n">
        <f aca="false">IF(D81="",0,IF(M81&lt;&gt;"",M81,N(J81)))</f>
        <v>0</v>
      </c>
      <c r="AC81" s="185" t="str">
        <f aca="false">IF(AND(D81&lt;&gt;"",O81="",ISNUMBER(X81)),X81+(1000-ROW())/1000000,"")</f>
        <v/>
      </c>
      <c r="AD81" s="185" t="n">
        <f aca="false">IF(AND(D81&lt;&gt;"",O81="",AA81&gt;0,AA81&lt;='ตั้งค่า Setup'!$C$15+'ตั้งค่า Setup'!$C$20),1,0)</f>
        <v>0</v>
      </c>
      <c r="AE81" s="185" t="str">
        <f aca="false">IF(AD81=1,SUM(AD$7:AD81),"")</f>
        <v/>
      </c>
    </row>
    <row r="82" customFormat="false" ht="15" hidden="false" customHeight="false" outlineLevel="0" collapsed="false">
      <c r="A82" s="181" t="str">
        <f aca="false">IF(OR(B82="",C82="",D82=""),"",IFERROR(MATCH(B82,'ตั้งค่า Setup'!$C$26:$C$65,0)&amp;"."&amp;MATCH(C82,'ตั้งค่า Setup'!$C$68:$C$107,0)&amp;"."&amp;TEXT(COUNTIFS(B$7:B82,B82,C$7:C82,C82),"00"),"?"))</f>
        <v/>
      </c>
      <c r="B82" s="32"/>
      <c r="C82" s="32"/>
      <c r="D82" s="32"/>
      <c r="E82" s="23"/>
      <c r="F82" s="113"/>
      <c r="G82" s="115" t="n">
        <f aca="false">IF(D82="",0,IF(F82&lt;&gt;"",F82,IF(SUM($E$7:$E$156)&gt;0,N(E82)/SUM($E$7:$E$156),0)))</f>
        <v>0</v>
      </c>
      <c r="H82" s="182" t="str">
        <f aca="false">IF(D82="","",G82*'ตั้งค่า Setup'!$C$9)</f>
        <v/>
      </c>
      <c r="I82" s="24"/>
      <c r="J82" s="24"/>
      <c r="K82" s="117" t="str">
        <f aca="false">IF(OR(I82="",J82=""),"",J82-I82+1)</f>
        <v/>
      </c>
      <c r="L82" s="24"/>
      <c r="M82" s="24"/>
      <c r="N82" s="24"/>
      <c r="O82" s="24"/>
      <c r="P82" s="113"/>
      <c r="Q82" s="115" t="str">
        <f aca="false">IF(OR(D82="",I82="",J82=""),"",MAX(0,MIN(1,('ตั้งค่า Setup'!$C$15-I82+1)/(J82-I82+1))))</f>
        <v/>
      </c>
      <c r="R82" s="115" t="str">
        <f aca="false">IF(OR(D82="",AA82=0),"",MAX(0,MIN(1,('ตั้งค่า Setup'!$C$15-AA82+1)/(AB82-AA82+1))))</f>
        <v/>
      </c>
      <c r="S82" s="182" t="str">
        <f aca="false">IF(Q82="","",H82*Q82)</f>
        <v/>
      </c>
      <c r="T82" s="182" t="str">
        <f aca="false">IF(D82="","",H82*N(P82))</f>
        <v/>
      </c>
      <c r="U82" s="182" t="str">
        <f aca="false">IF(OR(S82="",T82=""),"",T82-S82)</f>
        <v/>
      </c>
      <c r="V82" s="183" t="str">
        <f aca="false">IF(OR(S82="",T82=""),"",IF(S82=0,"",T82/S82))</f>
        <v/>
      </c>
      <c r="W82" s="127" t="str">
        <f aca="false">IF(OR(D82="",AA82=0),"",IF(O82&lt;&gt;"",O82,IF(AND(N(P82)&gt;0,N82&lt;&gt;""),N82+ROUND((MAX('ตั้งค่า Setup'!$C$15,N82)-N82+1)/P82,0)-1,MAX(AB82,'ตั้งค่า Setup'!$C$15+AB82-AA82))))</f>
        <v/>
      </c>
      <c r="X82" s="184" t="str">
        <f aca="false">IF(OR(W82="",J82=""),"",W82-J82)</f>
        <v/>
      </c>
      <c r="Y82" s="117" t="str">
        <f aca="false">IF(OR(D82="",I82="",J82=""),"",IF(O82&lt;&gt;"",IF(O82&lt;=J82,"เสร็จ / Completed","เสร็จช้า / Completed Late"),IF(AND(N82="",'ตั้งค่า Setup'!$C$15&lt;AA82),"ยังไม่ถึงกำหนด / Not Due",IF(N(P82)&gt;=Q82,"ตามแผน / On Track",IF('ตั้งค่า Setup'!$C$15&gt;J82,"เกินกำหนด / Overdue","ล่าช้า / Behind")))))</f>
        <v/>
      </c>
      <c r="Z82" s="32"/>
      <c r="AA82" s="69" t="n">
        <f aca="false">IF(D82="",0,IF(L82&lt;&gt;"",L82,N(I82)))</f>
        <v>0</v>
      </c>
      <c r="AB82" s="69" t="n">
        <f aca="false">IF(D82="",0,IF(M82&lt;&gt;"",M82,N(J82)))</f>
        <v>0</v>
      </c>
      <c r="AC82" s="185" t="str">
        <f aca="false">IF(AND(D82&lt;&gt;"",O82="",ISNUMBER(X82)),X82+(1000-ROW())/1000000,"")</f>
        <v/>
      </c>
      <c r="AD82" s="185" t="n">
        <f aca="false">IF(AND(D82&lt;&gt;"",O82="",AA82&gt;0,AA82&lt;='ตั้งค่า Setup'!$C$15+'ตั้งค่า Setup'!$C$20),1,0)</f>
        <v>0</v>
      </c>
      <c r="AE82" s="185" t="str">
        <f aca="false">IF(AD82=1,SUM(AD$7:AD82),"")</f>
        <v/>
      </c>
    </row>
    <row r="83" customFormat="false" ht="15" hidden="false" customHeight="false" outlineLevel="0" collapsed="false">
      <c r="A83" s="181" t="str">
        <f aca="false">IF(OR(B83="",C83="",D83=""),"",IFERROR(MATCH(B83,'ตั้งค่า Setup'!$C$26:$C$65,0)&amp;"."&amp;MATCH(C83,'ตั้งค่า Setup'!$C$68:$C$107,0)&amp;"."&amp;TEXT(COUNTIFS(B$7:B83,B83,C$7:C83,C83),"00"),"?"))</f>
        <v/>
      </c>
      <c r="B83" s="32"/>
      <c r="C83" s="32"/>
      <c r="D83" s="32"/>
      <c r="E83" s="23"/>
      <c r="F83" s="113"/>
      <c r="G83" s="115" t="n">
        <f aca="false">IF(D83="",0,IF(F83&lt;&gt;"",F83,IF(SUM($E$7:$E$156)&gt;0,N(E83)/SUM($E$7:$E$156),0)))</f>
        <v>0</v>
      </c>
      <c r="H83" s="182" t="str">
        <f aca="false">IF(D83="","",G83*'ตั้งค่า Setup'!$C$9)</f>
        <v/>
      </c>
      <c r="I83" s="24"/>
      <c r="J83" s="24"/>
      <c r="K83" s="117" t="str">
        <f aca="false">IF(OR(I83="",J83=""),"",J83-I83+1)</f>
        <v/>
      </c>
      <c r="L83" s="24"/>
      <c r="M83" s="24"/>
      <c r="N83" s="24"/>
      <c r="O83" s="24"/>
      <c r="P83" s="113"/>
      <c r="Q83" s="115" t="str">
        <f aca="false">IF(OR(D83="",I83="",J83=""),"",MAX(0,MIN(1,('ตั้งค่า Setup'!$C$15-I83+1)/(J83-I83+1))))</f>
        <v/>
      </c>
      <c r="R83" s="115" t="str">
        <f aca="false">IF(OR(D83="",AA83=0),"",MAX(0,MIN(1,('ตั้งค่า Setup'!$C$15-AA83+1)/(AB83-AA83+1))))</f>
        <v/>
      </c>
      <c r="S83" s="182" t="str">
        <f aca="false">IF(Q83="","",H83*Q83)</f>
        <v/>
      </c>
      <c r="T83" s="182" t="str">
        <f aca="false">IF(D83="","",H83*N(P83))</f>
        <v/>
      </c>
      <c r="U83" s="182" t="str">
        <f aca="false">IF(OR(S83="",T83=""),"",T83-S83)</f>
        <v/>
      </c>
      <c r="V83" s="183" t="str">
        <f aca="false">IF(OR(S83="",T83=""),"",IF(S83=0,"",T83/S83))</f>
        <v/>
      </c>
      <c r="W83" s="127" t="str">
        <f aca="false">IF(OR(D83="",AA83=0),"",IF(O83&lt;&gt;"",O83,IF(AND(N(P83)&gt;0,N83&lt;&gt;""),N83+ROUND((MAX('ตั้งค่า Setup'!$C$15,N83)-N83+1)/P83,0)-1,MAX(AB83,'ตั้งค่า Setup'!$C$15+AB83-AA83))))</f>
        <v/>
      </c>
      <c r="X83" s="184" t="str">
        <f aca="false">IF(OR(W83="",J83=""),"",W83-J83)</f>
        <v/>
      </c>
      <c r="Y83" s="117" t="str">
        <f aca="false">IF(OR(D83="",I83="",J83=""),"",IF(O83&lt;&gt;"",IF(O83&lt;=J83,"เสร็จ / Completed","เสร็จช้า / Completed Late"),IF(AND(N83="",'ตั้งค่า Setup'!$C$15&lt;AA83),"ยังไม่ถึงกำหนด / Not Due",IF(N(P83)&gt;=Q83,"ตามแผน / On Track",IF('ตั้งค่า Setup'!$C$15&gt;J83,"เกินกำหนด / Overdue","ล่าช้า / Behind")))))</f>
        <v/>
      </c>
      <c r="Z83" s="32"/>
      <c r="AA83" s="69" t="n">
        <f aca="false">IF(D83="",0,IF(L83&lt;&gt;"",L83,N(I83)))</f>
        <v>0</v>
      </c>
      <c r="AB83" s="69" t="n">
        <f aca="false">IF(D83="",0,IF(M83&lt;&gt;"",M83,N(J83)))</f>
        <v>0</v>
      </c>
      <c r="AC83" s="185" t="str">
        <f aca="false">IF(AND(D83&lt;&gt;"",O83="",ISNUMBER(X83)),X83+(1000-ROW())/1000000,"")</f>
        <v/>
      </c>
      <c r="AD83" s="185" t="n">
        <f aca="false">IF(AND(D83&lt;&gt;"",O83="",AA83&gt;0,AA83&lt;='ตั้งค่า Setup'!$C$15+'ตั้งค่า Setup'!$C$20),1,0)</f>
        <v>0</v>
      </c>
      <c r="AE83" s="185" t="str">
        <f aca="false">IF(AD83=1,SUM(AD$7:AD83),"")</f>
        <v/>
      </c>
    </row>
    <row r="84" customFormat="false" ht="15" hidden="false" customHeight="false" outlineLevel="0" collapsed="false">
      <c r="A84" s="181" t="str">
        <f aca="false">IF(OR(B84="",C84="",D84=""),"",IFERROR(MATCH(B84,'ตั้งค่า Setup'!$C$26:$C$65,0)&amp;"."&amp;MATCH(C84,'ตั้งค่า Setup'!$C$68:$C$107,0)&amp;"."&amp;TEXT(COUNTIFS(B$7:B84,B84,C$7:C84,C84),"00"),"?"))</f>
        <v/>
      </c>
      <c r="B84" s="32"/>
      <c r="C84" s="32"/>
      <c r="D84" s="32"/>
      <c r="E84" s="23"/>
      <c r="F84" s="113"/>
      <c r="G84" s="115" t="n">
        <f aca="false">IF(D84="",0,IF(F84&lt;&gt;"",F84,IF(SUM($E$7:$E$156)&gt;0,N(E84)/SUM($E$7:$E$156),0)))</f>
        <v>0</v>
      </c>
      <c r="H84" s="182" t="str">
        <f aca="false">IF(D84="","",G84*'ตั้งค่า Setup'!$C$9)</f>
        <v/>
      </c>
      <c r="I84" s="24"/>
      <c r="J84" s="24"/>
      <c r="K84" s="117" t="str">
        <f aca="false">IF(OR(I84="",J84=""),"",J84-I84+1)</f>
        <v/>
      </c>
      <c r="L84" s="24"/>
      <c r="M84" s="24"/>
      <c r="N84" s="24"/>
      <c r="O84" s="24"/>
      <c r="P84" s="113"/>
      <c r="Q84" s="115" t="str">
        <f aca="false">IF(OR(D84="",I84="",J84=""),"",MAX(0,MIN(1,('ตั้งค่า Setup'!$C$15-I84+1)/(J84-I84+1))))</f>
        <v/>
      </c>
      <c r="R84" s="115" t="str">
        <f aca="false">IF(OR(D84="",AA84=0),"",MAX(0,MIN(1,('ตั้งค่า Setup'!$C$15-AA84+1)/(AB84-AA84+1))))</f>
        <v/>
      </c>
      <c r="S84" s="182" t="str">
        <f aca="false">IF(Q84="","",H84*Q84)</f>
        <v/>
      </c>
      <c r="T84" s="182" t="str">
        <f aca="false">IF(D84="","",H84*N(P84))</f>
        <v/>
      </c>
      <c r="U84" s="182" t="str">
        <f aca="false">IF(OR(S84="",T84=""),"",T84-S84)</f>
        <v/>
      </c>
      <c r="V84" s="183" t="str">
        <f aca="false">IF(OR(S84="",T84=""),"",IF(S84=0,"",T84/S84))</f>
        <v/>
      </c>
      <c r="W84" s="127" t="str">
        <f aca="false">IF(OR(D84="",AA84=0),"",IF(O84&lt;&gt;"",O84,IF(AND(N(P84)&gt;0,N84&lt;&gt;""),N84+ROUND((MAX('ตั้งค่า Setup'!$C$15,N84)-N84+1)/P84,0)-1,MAX(AB84,'ตั้งค่า Setup'!$C$15+AB84-AA84))))</f>
        <v/>
      </c>
      <c r="X84" s="184" t="str">
        <f aca="false">IF(OR(W84="",J84=""),"",W84-J84)</f>
        <v/>
      </c>
      <c r="Y84" s="117" t="str">
        <f aca="false">IF(OR(D84="",I84="",J84=""),"",IF(O84&lt;&gt;"",IF(O84&lt;=J84,"เสร็จ / Completed","เสร็จช้า / Completed Late"),IF(AND(N84="",'ตั้งค่า Setup'!$C$15&lt;AA84),"ยังไม่ถึงกำหนด / Not Due",IF(N(P84)&gt;=Q84,"ตามแผน / On Track",IF('ตั้งค่า Setup'!$C$15&gt;J84,"เกินกำหนด / Overdue","ล่าช้า / Behind")))))</f>
        <v/>
      </c>
      <c r="Z84" s="32"/>
      <c r="AA84" s="69" t="n">
        <f aca="false">IF(D84="",0,IF(L84&lt;&gt;"",L84,N(I84)))</f>
        <v>0</v>
      </c>
      <c r="AB84" s="69" t="n">
        <f aca="false">IF(D84="",0,IF(M84&lt;&gt;"",M84,N(J84)))</f>
        <v>0</v>
      </c>
      <c r="AC84" s="185" t="str">
        <f aca="false">IF(AND(D84&lt;&gt;"",O84="",ISNUMBER(X84)),X84+(1000-ROW())/1000000,"")</f>
        <v/>
      </c>
      <c r="AD84" s="185" t="n">
        <f aca="false">IF(AND(D84&lt;&gt;"",O84="",AA84&gt;0,AA84&lt;='ตั้งค่า Setup'!$C$15+'ตั้งค่า Setup'!$C$20),1,0)</f>
        <v>0</v>
      </c>
      <c r="AE84" s="185" t="str">
        <f aca="false">IF(AD84=1,SUM(AD$7:AD84),"")</f>
        <v/>
      </c>
    </row>
    <row r="85" customFormat="false" ht="15" hidden="false" customHeight="false" outlineLevel="0" collapsed="false">
      <c r="A85" s="181" t="str">
        <f aca="false">IF(OR(B85="",C85="",D85=""),"",IFERROR(MATCH(B85,'ตั้งค่า Setup'!$C$26:$C$65,0)&amp;"."&amp;MATCH(C85,'ตั้งค่า Setup'!$C$68:$C$107,0)&amp;"."&amp;TEXT(COUNTIFS(B$7:B85,B85,C$7:C85,C85),"00"),"?"))</f>
        <v/>
      </c>
      <c r="B85" s="32"/>
      <c r="C85" s="32"/>
      <c r="D85" s="32"/>
      <c r="E85" s="23"/>
      <c r="F85" s="113"/>
      <c r="G85" s="115" t="n">
        <f aca="false">IF(D85="",0,IF(F85&lt;&gt;"",F85,IF(SUM($E$7:$E$156)&gt;0,N(E85)/SUM($E$7:$E$156),0)))</f>
        <v>0</v>
      </c>
      <c r="H85" s="182" t="str">
        <f aca="false">IF(D85="","",G85*'ตั้งค่า Setup'!$C$9)</f>
        <v/>
      </c>
      <c r="I85" s="24"/>
      <c r="J85" s="24"/>
      <c r="K85" s="117" t="str">
        <f aca="false">IF(OR(I85="",J85=""),"",J85-I85+1)</f>
        <v/>
      </c>
      <c r="L85" s="24"/>
      <c r="M85" s="24"/>
      <c r="N85" s="24"/>
      <c r="O85" s="24"/>
      <c r="P85" s="113"/>
      <c r="Q85" s="115" t="str">
        <f aca="false">IF(OR(D85="",I85="",J85=""),"",MAX(0,MIN(1,('ตั้งค่า Setup'!$C$15-I85+1)/(J85-I85+1))))</f>
        <v/>
      </c>
      <c r="R85" s="115" t="str">
        <f aca="false">IF(OR(D85="",AA85=0),"",MAX(0,MIN(1,('ตั้งค่า Setup'!$C$15-AA85+1)/(AB85-AA85+1))))</f>
        <v/>
      </c>
      <c r="S85" s="182" t="str">
        <f aca="false">IF(Q85="","",H85*Q85)</f>
        <v/>
      </c>
      <c r="T85" s="182" t="str">
        <f aca="false">IF(D85="","",H85*N(P85))</f>
        <v/>
      </c>
      <c r="U85" s="182" t="str">
        <f aca="false">IF(OR(S85="",T85=""),"",T85-S85)</f>
        <v/>
      </c>
      <c r="V85" s="183" t="str">
        <f aca="false">IF(OR(S85="",T85=""),"",IF(S85=0,"",T85/S85))</f>
        <v/>
      </c>
      <c r="W85" s="127" t="str">
        <f aca="false">IF(OR(D85="",AA85=0),"",IF(O85&lt;&gt;"",O85,IF(AND(N(P85)&gt;0,N85&lt;&gt;""),N85+ROUND((MAX('ตั้งค่า Setup'!$C$15,N85)-N85+1)/P85,0)-1,MAX(AB85,'ตั้งค่า Setup'!$C$15+AB85-AA85))))</f>
        <v/>
      </c>
      <c r="X85" s="184" t="str">
        <f aca="false">IF(OR(W85="",J85=""),"",W85-J85)</f>
        <v/>
      </c>
      <c r="Y85" s="117" t="str">
        <f aca="false">IF(OR(D85="",I85="",J85=""),"",IF(O85&lt;&gt;"",IF(O85&lt;=J85,"เสร็จ / Completed","เสร็จช้า / Completed Late"),IF(AND(N85="",'ตั้งค่า Setup'!$C$15&lt;AA85),"ยังไม่ถึงกำหนด / Not Due",IF(N(P85)&gt;=Q85,"ตามแผน / On Track",IF('ตั้งค่า Setup'!$C$15&gt;J85,"เกินกำหนด / Overdue","ล่าช้า / Behind")))))</f>
        <v/>
      </c>
      <c r="Z85" s="32"/>
      <c r="AA85" s="69" t="n">
        <f aca="false">IF(D85="",0,IF(L85&lt;&gt;"",L85,N(I85)))</f>
        <v>0</v>
      </c>
      <c r="AB85" s="69" t="n">
        <f aca="false">IF(D85="",0,IF(M85&lt;&gt;"",M85,N(J85)))</f>
        <v>0</v>
      </c>
      <c r="AC85" s="185" t="str">
        <f aca="false">IF(AND(D85&lt;&gt;"",O85="",ISNUMBER(X85)),X85+(1000-ROW())/1000000,"")</f>
        <v/>
      </c>
      <c r="AD85" s="185" t="n">
        <f aca="false">IF(AND(D85&lt;&gt;"",O85="",AA85&gt;0,AA85&lt;='ตั้งค่า Setup'!$C$15+'ตั้งค่า Setup'!$C$20),1,0)</f>
        <v>0</v>
      </c>
      <c r="AE85" s="185" t="str">
        <f aca="false">IF(AD85=1,SUM(AD$7:AD85),"")</f>
        <v/>
      </c>
    </row>
    <row r="86" customFormat="false" ht="15" hidden="false" customHeight="false" outlineLevel="0" collapsed="false">
      <c r="A86" s="181" t="str">
        <f aca="false">IF(OR(B86="",C86="",D86=""),"",IFERROR(MATCH(B86,'ตั้งค่า Setup'!$C$26:$C$65,0)&amp;"."&amp;MATCH(C86,'ตั้งค่า Setup'!$C$68:$C$107,0)&amp;"."&amp;TEXT(COUNTIFS(B$7:B86,B86,C$7:C86,C86),"00"),"?"))</f>
        <v/>
      </c>
      <c r="B86" s="32"/>
      <c r="C86" s="32"/>
      <c r="D86" s="32"/>
      <c r="E86" s="23"/>
      <c r="F86" s="113"/>
      <c r="G86" s="115" t="n">
        <f aca="false">IF(D86="",0,IF(F86&lt;&gt;"",F86,IF(SUM($E$7:$E$156)&gt;0,N(E86)/SUM($E$7:$E$156),0)))</f>
        <v>0</v>
      </c>
      <c r="H86" s="182" t="str">
        <f aca="false">IF(D86="","",G86*'ตั้งค่า Setup'!$C$9)</f>
        <v/>
      </c>
      <c r="I86" s="24"/>
      <c r="J86" s="24"/>
      <c r="K86" s="117" t="str">
        <f aca="false">IF(OR(I86="",J86=""),"",J86-I86+1)</f>
        <v/>
      </c>
      <c r="L86" s="24"/>
      <c r="M86" s="24"/>
      <c r="N86" s="24"/>
      <c r="O86" s="24"/>
      <c r="P86" s="113"/>
      <c r="Q86" s="115" t="str">
        <f aca="false">IF(OR(D86="",I86="",J86=""),"",MAX(0,MIN(1,('ตั้งค่า Setup'!$C$15-I86+1)/(J86-I86+1))))</f>
        <v/>
      </c>
      <c r="R86" s="115" t="str">
        <f aca="false">IF(OR(D86="",AA86=0),"",MAX(0,MIN(1,('ตั้งค่า Setup'!$C$15-AA86+1)/(AB86-AA86+1))))</f>
        <v/>
      </c>
      <c r="S86" s="182" t="str">
        <f aca="false">IF(Q86="","",H86*Q86)</f>
        <v/>
      </c>
      <c r="T86" s="182" t="str">
        <f aca="false">IF(D86="","",H86*N(P86))</f>
        <v/>
      </c>
      <c r="U86" s="182" t="str">
        <f aca="false">IF(OR(S86="",T86=""),"",T86-S86)</f>
        <v/>
      </c>
      <c r="V86" s="183" t="str">
        <f aca="false">IF(OR(S86="",T86=""),"",IF(S86=0,"",T86/S86))</f>
        <v/>
      </c>
      <c r="W86" s="127" t="str">
        <f aca="false">IF(OR(D86="",AA86=0),"",IF(O86&lt;&gt;"",O86,IF(AND(N(P86)&gt;0,N86&lt;&gt;""),N86+ROUND((MAX('ตั้งค่า Setup'!$C$15,N86)-N86+1)/P86,0)-1,MAX(AB86,'ตั้งค่า Setup'!$C$15+AB86-AA86))))</f>
        <v/>
      </c>
      <c r="X86" s="184" t="str">
        <f aca="false">IF(OR(W86="",J86=""),"",W86-J86)</f>
        <v/>
      </c>
      <c r="Y86" s="117" t="str">
        <f aca="false">IF(OR(D86="",I86="",J86=""),"",IF(O86&lt;&gt;"",IF(O86&lt;=J86,"เสร็จ / Completed","เสร็จช้า / Completed Late"),IF(AND(N86="",'ตั้งค่า Setup'!$C$15&lt;AA86),"ยังไม่ถึงกำหนด / Not Due",IF(N(P86)&gt;=Q86,"ตามแผน / On Track",IF('ตั้งค่า Setup'!$C$15&gt;J86,"เกินกำหนด / Overdue","ล่าช้า / Behind")))))</f>
        <v/>
      </c>
      <c r="Z86" s="32"/>
      <c r="AA86" s="69" t="n">
        <f aca="false">IF(D86="",0,IF(L86&lt;&gt;"",L86,N(I86)))</f>
        <v>0</v>
      </c>
      <c r="AB86" s="69" t="n">
        <f aca="false">IF(D86="",0,IF(M86&lt;&gt;"",M86,N(J86)))</f>
        <v>0</v>
      </c>
      <c r="AC86" s="185" t="str">
        <f aca="false">IF(AND(D86&lt;&gt;"",O86="",ISNUMBER(X86)),X86+(1000-ROW())/1000000,"")</f>
        <v/>
      </c>
      <c r="AD86" s="185" t="n">
        <f aca="false">IF(AND(D86&lt;&gt;"",O86="",AA86&gt;0,AA86&lt;='ตั้งค่า Setup'!$C$15+'ตั้งค่า Setup'!$C$20),1,0)</f>
        <v>0</v>
      </c>
      <c r="AE86" s="185" t="str">
        <f aca="false">IF(AD86=1,SUM(AD$7:AD86),"")</f>
        <v/>
      </c>
    </row>
    <row r="87" customFormat="false" ht="15" hidden="false" customHeight="false" outlineLevel="0" collapsed="false">
      <c r="A87" s="181" t="str">
        <f aca="false">IF(OR(B87="",C87="",D87=""),"",IFERROR(MATCH(B87,'ตั้งค่า Setup'!$C$26:$C$65,0)&amp;"."&amp;MATCH(C87,'ตั้งค่า Setup'!$C$68:$C$107,0)&amp;"."&amp;TEXT(COUNTIFS(B$7:B87,B87,C$7:C87,C87),"00"),"?"))</f>
        <v/>
      </c>
      <c r="B87" s="32"/>
      <c r="C87" s="32"/>
      <c r="D87" s="32"/>
      <c r="E87" s="23"/>
      <c r="F87" s="113"/>
      <c r="G87" s="115" t="n">
        <f aca="false">IF(D87="",0,IF(F87&lt;&gt;"",F87,IF(SUM($E$7:$E$156)&gt;0,N(E87)/SUM($E$7:$E$156),0)))</f>
        <v>0</v>
      </c>
      <c r="H87" s="182" t="str">
        <f aca="false">IF(D87="","",G87*'ตั้งค่า Setup'!$C$9)</f>
        <v/>
      </c>
      <c r="I87" s="24"/>
      <c r="J87" s="24"/>
      <c r="K87" s="117" t="str">
        <f aca="false">IF(OR(I87="",J87=""),"",J87-I87+1)</f>
        <v/>
      </c>
      <c r="L87" s="24"/>
      <c r="M87" s="24"/>
      <c r="N87" s="24"/>
      <c r="O87" s="24"/>
      <c r="P87" s="113"/>
      <c r="Q87" s="115" t="str">
        <f aca="false">IF(OR(D87="",I87="",J87=""),"",MAX(0,MIN(1,('ตั้งค่า Setup'!$C$15-I87+1)/(J87-I87+1))))</f>
        <v/>
      </c>
      <c r="R87" s="115" t="str">
        <f aca="false">IF(OR(D87="",AA87=0),"",MAX(0,MIN(1,('ตั้งค่า Setup'!$C$15-AA87+1)/(AB87-AA87+1))))</f>
        <v/>
      </c>
      <c r="S87" s="182" t="str">
        <f aca="false">IF(Q87="","",H87*Q87)</f>
        <v/>
      </c>
      <c r="T87" s="182" t="str">
        <f aca="false">IF(D87="","",H87*N(P87))</f>
        <v/>
      </c>
      <c r="U87" s="182" t="str">
        <f aca="false">IF(OR(S87="",T87=""),"",T87-S87)</f>
        <v/>
      </c>
      <c r="V87" s="183" t="str">
        <f aca="false">IF(OR(S87="",T87=""),"",IF(S87=0,"",T87/S87))</f>
        <v/>
      </c>
      <c r="W87" s="127" t="str">
        <f aca="false">IF(OR(D87="",AA87=0),"",IF(O87&lt;&gt;"",O87,IF(AND(N(P87)&gt;0,N87&lt;&gt;""),N87+ROUND((MAX('ตั้งค่า Setup'!$C$15,N87)-N87+1)/P87,0)-1,MAX(AB87,'ตั้งค่า Setup'!$C$15+AB87-AA87))))</f>
        <v/>
      </c>
      <c r="X87" s="184" t="str">
        <f aca="false">IF(OR(W87="",J87=""),"",W87-J87)</f>
        <v/>
      </c>
      <c r="Y87" s="117" t="str">
        <f aca="false">IF(OR(D87="",I87="",J87=""),"",IF(O87&lt;&gt;"",IF(O87&lt;=J87,"เสร็จ / Completed","เสร็จช้า / Completed Late"),IF(AND(N87="",'ตั้งค่า Setup'!$C$15&lt;AA87),"ยังไม่ถึงกำหนด / Not Due",IF(N(P87)&gt;=Q87,"ตามแผน / On Track",IF('ตั้งค่า Setup'!$C$15&gt;J87,"เกินกำหนด / Overdue","ล่าช้า / Behind")))))</f>
        <v/>
      </c>
      <c r="Z87" s="32"/>
      <c r="AA87" s="69" t="n">
        <f aca="false">IF(D87="",0,IF(L87&lt;&gt;"",L87,N(I87)))</f>
        <v>0</v>
      </c>
      <c r="AB87" s="69" t="n">
        <f aca="false">IF(D87="",0,IF(M87&lt;&gt;"",M87,N(J87)))</f>
        <v>0</v>
      </c>
      <c r="AC87" s="185" t="str">
        <f aca="false">IF(AND(D87&lt;&gt;"",O87="",ISNUMBER(X87)),X87+(1000-ROW())/1000000,"")</f>
        <v/>
      </c>
      <c r="AD87" s="185" t="n">
        <f aca="false">IF(AND(D87&lt;&gt;"",O87="",AA87&gt;0,AA87&lt;='ตั้งค่า Setup'!$C$15+'ตั้งค่า Setup'!$C$20),1,0)</f>
        <v>0</v>
      </c>
      <c r="AE87" s="185" t="str">
        <f aca="false">IF(AD87=1,SUM(AD$7:AD87),"")</f>
        <v/>
      </c>
    </row>
    <row r="88" customFormat="false" ht="15" hidden="false" customHeight="false" outlineLevel="0" collapsed="false">
      <c r="A88" s="181" t="str">
        <f aca="false">IF(OR(B88="",C88="",D88=""),"",IFERROR(MATCH(B88,'ตั้งค่า Setup'!$C$26:$C$65,0)&amp;"."&amp;MATCH(C88,'ตั้งค่า Setup'!$C$68:$C$107,0)&amp;"."&amp;TEXT(COUNTIFS(B$7:B88,B88,C$7:C88,C88),"00"),"?"))</f>
        <v/>
      </c>
      <c r="B88" s="32"/>
      <c r="C88" s="32"/>
      <c r="D88" s="32"/>
      <c r="E88" s="23"/>
      <c r="F88" s="113"/>
      <c r="G88" s="115" t="n">
        <f aca="false">IF(D88="",0,IF(F88&lt;&gt;"",F88,IF(SUM($E$7:$E$156)&gt;0,N(E88)/SUM($E$7:$E$156),0)))</f>
        <v>0</v>
      </c>
      <c r="H88" s="182" t="str">
        <f aca="false">IF(D88="","",G88*'ตั้งค่า Setup'!$C$9)</f>
        <v/>
      </c>
      <c r="I88" s="24"/>
      <c r="J88" s="24"/>
      <c r="K88" s="117" t="str">
        <f aca="false">IF(OR(I88="",J88=""),"",J88-I88+1)</f>
        <v/>
      </c>
      <c r="L88" s="24"/>
      <c r="M88" s="24"/>
      <c r="N88" s="24"/>
      <c r="O88" s="24"/>
      <c r="P88" s="113"/>
      <c r="Q88" s="115" t="str">
        <f aca="false">IF(OR(D88="",I88="",J88=""),"",MAX(0,MIN(1,('ตั้งค่า Setup'!$C$15-I88+1)/(J88-I88+1))))</f>
        <v/>
      </c>
      <c r="R88" s="115" t="str">
        <f aca="false">IF(OR(D88="",AA88=0),"",MAX(0,MIN(1,('ตั้งค่า Setup'!$C$15-AA88+1)/(AB88-AA88+1))))</f>
        <v/>
      </c>
      <c r="S88" s="182" t="str">
        <f aca="false">IF(Q88="","",H88*Q88)</f>
        <v/>
      </c>
      <c r="T88" s="182" t="str">
        <f aca="false">IF(D88="","",H88*N(P88))</f>
        <v/>
      </c>
      <c r="U88" s="182" t="str">
        <f aca="false">IF(OR(S88="",T88=""),"",T88-S88)</f>
        <v/>
      </c>
      <c r="V88" s="183" t="str">
        <f aca="false">IF(OR(S88="",T88=""),"",IF(S88=0,"",T88/S88))</f>
        <v/>
      </c>
      <c r="W88" s="127" t="str">
        <f aca="false">IF(OR(D88="",AA88=0),"",IF(O88&lt;&gt;"",O88,IF(AND(N(P88)&gt;0,N88&lt;&gt;""),N88+ROUND((MAX('ตั้งค่า Setup'!$C$15,N88)-N88+1)/P88,0)-1,MAX(AB88,'ตั้งค่า Setup'!$C$15+AB88-AA88))))</f>
        <v/>
      </c>
      <c r="X88" s="184" t="str">
        <f aca="false">IF(OR(W88="",J88=""),"",W88-J88)</f>
        <v/>
      </c>
      <c r="Y88" s="117" t="str">
        <f aca="false">IF(OR(D88="",I88="",J88=""),"",IF(O88&lt;&gt;"",IF(O88&lt;=J88,"เสร็จ / Completed","เสร็จช้า / Completed Late"),IF(AND(N88="",'ตั้งค่า Setup'!$C$15&lt;AA88),"ยังไม่ถึงกำหนด / Not Due",IF(N(P88)&gt;=Q88,"ตามแผน / On Track",IF('ตั้งค่า Setup'!$C$15&gt;J88,"เกินกำหนด / Overdue","ล่าช้า / Behind")))))</f>
        <v/>
      </c>
      <c r="Z88" s="32"/>
      <c r="AA88" s="69" t="n">
        <f aca="false">IF(D88="",0,IF(L88&lt;&gt;"",L88,N(I88)))</f>
        <v>0</v>
      </c>
      <c r="AB88" s="69" t="n">
        <f aca="false">IF(D88="",0,IF(M88&lt;&gt;"",M88,N(J88)))</f>
        <v>0</v>
      </c>
      <c r="AC88" s="185" t="str">
        <f aca="false">IF(AND(D88&lt;&gt;"",O88="",ISNUMBER(X88)),X88+(1000-ROW())/1000000,"")</f>
        <v/>
      </c>
      <c r="AD88" s="185" t="n">
        <f aca="false">IF(AND(D88&lt;&gt;"",O88="",AA88&gt;0,AA88&lt;='ตั้งค่า Setup'!$C$15+'ตั้งค่า Setup'!$C$20),1,0)</f>
        <v>0</v>
      </c>
      <c r="AE88" s="185" t="str">
        <f aca="false">IF(AD88=1,SUM(AD$7:AD88),"")</f>
        <v/>
      </c>
    </row>
    <row r="89" customFormat="false" ht="15" hidden="false" customHeight="false" outlineLevel="0" collapsed="false">
      <c r="A89" s="181" t="str">
        <f aca="false">IF(OR(B89="",C89="",D89=""),"",IFERROR(MATCH(B89,'ตั้งค่า Setup'!$C$26:$C$65,0)&amp;"."&amp;MATCH(C89,'ตั้งค่า Setup'!$C$68:$C$107,0)&amp;"."&amp;TEXT(COUNTIFS(B$7:B89,B89,C$7:C89,C89),"00"),"?"))</f>
        <v/>
      </c>
      <c r="B89" s="32"/>
      <c r="C89" s="32"/>
      <c r="D89" s="32"/>
      <c r="E89" s="23"/>
      <c r="F89" s="113"/>
      <c r="G89" s="115" t="n">
        <f aca="false">IF(D89="",0,IF(F89&lt;&gt;"",F89,IF(SUM($E$7:$E$156)&gt;0,N(E89)/SUM($E$7:$E$156),0)))</f>
        <v>0</v>
      </c>
      <c r="H89" s="182" t="str">
        <f aca="false">IF(D89="","",G89*'ตั้งค่า Setup'!$C$9)</f>
        <v/>
      </c>
      <c r="I89" s="24"/>
      <c r="J89" s="24"/>
      <c r="K89" s="117" t="str">
        <f aca="false">IF(OR(I89="",J89=""),"",J89-I89+1)</f>
        <v/>
      </c>
      <c r="L89" s="24"/>
      <c r="M89" s="24"/>
      <c r="N89" s="24"/>
      <c r="O89" s="24"/>
      <c r="P89" s="113"/>
      <c r="Q89" s="115" t="str">
        <f aca="false">IF(OR(D89="",I89="",J89=""),"",MAX(0,MIN(1,('ตั้งค่า Setup'!$C$15-I89+1)/(J89-I89+1))))</f>
        <v/>
      </c>
      <c r="R89" s="115" t="str">
        <f aca="false">IF(OR(D89="",AA89=0),"",MAX(0,MIN(1,('ตั้งค่า Setup'!$C$15-AA89+1)/(AB89-AA89+1))))</f>
        <v/>
      </c>
      <c r="S89" s="182" t="str">
        <f aca="false">IF(Q89="","",H89*Q89)</f>
        <v/>
      </c>
      <c r="T89" s="182" t="str">
        <f aca="false">IF(D89="","",H89*N(P89))</f>
        <v/>
      </c>
      <c r="U89" s="182" t="str">
        <f aca="false">IF(OR(S89="",T89=""),"",T89-S89)</f>
        <v/>
      </c>
      <c r="V89" s="183" t="str">
        <f aca="false">IF(OR(S89="",T89=""),"",IF(S89=0,"",T89/S89))</f>
        <v/>
      </c>
      <c r="W89" s="127" t="str">
        <f aca="false">IF(OR(D89="",AA89=0),"",IF(O89&lt;&gt;"",O89,IF(AND(N(P89)&gt;0,N89&lt;&gt;""),N89+ROUND((MAX('ตั้งค่า Setup'!$C$15,N89)-N89+1)/P89,0)-1,MAX(AB89,'ตั้งค่า Setup'!$C$15+AB89-AA89))))</f>
        <v/>
      </c>
      <c r="X89" s="184" t="str">
        <f aca="false">IF(OR(W89="",J89=""),"",W89-J89)</f>
        <v/>
      </c>
      <c r="Y89" s="117" t="str">
        <f aca="false">IF(OR(D89="",I89="",J89=""),"",IF(O89&lt;&gt;"",IF(O89&lt;=J89,"เสร็จ / Completed","เสร็จช้า / Completed Late"),IF(AND(N89="",'ตั้งค่า Setup'!$C$15&lt;AA89),"ยังไม่ถึงกำหนด / Not Due",IF(N(P89)&gt;=Q89,"ตามแผน / On Track",IF('ตั้งค่า Setup'!$C$15&gt;J89,"เกินกำหนด / Overdue","ล่าช้า / Behind")))))</f>
        <v/>
      </c>
      <c r="Z89" s="32"/>
      <c r="AA89" s="69" t="n">
        <f aca="false">IF(D89="",0,IF(L89&lt;&gt;"",L89,N(I89)))</f>
        <v>0</v>
      </c>
      <c r="AB89" s="69" t="n">
        <f aca="false">IF(D89="",0,IF(M89&lt;&gt;"",M89,N(J89)))</f>
        <v>0</v>
      </c>
      <c r="AC89" s="185" t="str">
        <f aca="false">IF(AND(D89&lt;&gt;"",O89="",ISNUMBER(X89)),X89+(1000-ROW())/1000000,"")</f>
        <v/>
      </c>
      <c r="AD89" s="185" t="n">
        <f aca="false">IF(AND(D89&lt;&gt;"",O89="",AA89&gt;0,AA89&lt;='ตั้งค่า Setup'!$C$15+'ตั้งค่า Setup'!$C$20),1,0)</f>
        <v>0</v>
      </c>
      <c r="AE89" s="185" t="str">
        <f aca="false">IF(AD89=1,SUM(AD$7:AD89),"")</f>
        <v/>
      </c>
    </row>
    <row r="90" customFormat="false" ht="15" hidden="false" customHeight="false" outlineLevel="0" collapsed="false">
      <c r="A90" s="181" t="str">
        <f aca="false">IF(OR(B90="",C90="",D90=""),"",IFERROR(MATCH(B90,'ตั้งค่า Setup'!$C$26:$C$65,0)&amp;"."&amp;MATCH(C90,'ตั้งค่า Setup'!$C$68:$C$107,0)&amp;"."&amp;TEXT(COUNTIFS(B$7:B90,B90,C$7:C90,C90),"00"),"?"))</f>
        <v/>
      </c>
      <c r="B90" s="32"/>
      <c r="C90" s="32"/>
      <c r="D90" s="32"/>
      <c r="E90" s="23"/>
      <c r="F90" s="113"/>
      <c r="G90" s="115" t="n">
        <f aca="false">IF(D90="",0,IF(F90&lt;&gt;"",F90,IF(SUM($E$7:$E$156)&gt;0,N(E90)/SUM($E$7:$E$156),0)))</f>
        <v>0</v>
      </c>
      <c r="H90" s="182" t="str">
        <f aca="false">IF(D90="","",G90*'ตั้งค่า Setup'!$C$9)</f>
        <v/>
      </c>
      <c r="I90" s="24"/>
      <c r="J90" s="24"/>
      <c r="K90" s="117" t="str">
        <f aca="false">IF(OR(I90="",J90=""),"",J90-I90+1)</f>
        <v/>
      </c>
      <c r="L90" s="24"/>
      <c r="M90" s="24"/>
      <c r="N90" s="24"/>
      <c r="O90" s="24"/>
      <c r="P90" s="113"/>
      <c r="Q90" s="115" t="str">
        <f aca="false">IF(OR(D90="",I90="",J90=""),"",MAX(0,MIN(1,('ตั้งค่า Setup'!$C$15-I90+1)/(J90-I90+1))))</f>
        <v/>
      </c>
      <c r="R90" s="115" t="str">
        <f aca="false">IF(OR(D90="",AA90=0),"",MAX(0,MIN(1,('ตั้งค่า Setup'!$C$15-AA90+1)/(AB90-AA90+1))))</f>
        <v/>
      </c>
      <c r="S90" s="182" t="str">
        <f aca="false">IF(Q90="","",H90*Q90)</f>
        <v/>
      </c>
      <c r="T90" s="182" t="str">
        <f aca="false">IF(D90="","",H90*N(P90))</f>
        <v/>
      </c>
      <c r="U90" s="182" t="str">
        <f aca="false">IF(OR(S90="",T90=""),"",T90-S90)</f>
        <v/>
      </c>
      <c r="V90" s="183" t="str">
        <f aca="false">IF(OR(S90="",T90=""),"",IF(S90=0,"",T90/S90))</f>
        <v/>
      </c>
      <c r="W90" s="127" t="str">
        <f aca="false">IF(OR(D90="",AA90=0),"",IF(O90&lt;&gt;"",O90,IF(AND(N(P90)&gt;0,N90&lt;&gt;""),N90+ROUND((MAX('ตั้งค่า Setup'!$C$15,N90)-N90+1)/P90,0)-1,MAX(AB90,'ตั้งค่า Setup'!$C$15+AB90-AA90))))</f>
        <v/>
      </c>
      <c r="X90" s="184" t="str">
        <f aca="false">IF(OR(W90="",J90=""),"",W90-J90)</f>
        <v/>
      </c>
      <c r="Y90" s="117" t="str">
        <f aca="false">IF(OR(D90="",I90="",J90=""),"",IF(O90&lt;&gt;"",IF(O90&lt;=J90,"เสร็จ / Completed","เสร็จช้า / Completed Late"),IF(AND(N90="",'ตั้งค่า Setup'!$C$15&lt;AA90),"ยังไม่ถึงกำหนด / Not Due",IF(N(P90)&gt;=Q90,"ตามแผน / On Track",IF('ตั้งค่า Setup'!$C$15&gt;J90,"เกินกำหนด / Overdue","ล่าช้า / Behind")))))</f>
        <v/>
      </c>
      <c r="Z90" s="32"/>
      <c r="AA90" s="69" t="n">
        <f aca="false">IF(D90="",0,IF(L90&lt;&gt;"",L90,N(I90)))</f>
        <v>0</v>
      </c>
      <c r="AB90" s="69" t="n">
        <f aca="false">IF(D90="",0,IF(M90&lt;&gt;"",M90,N(J90)))</f>
        <v>0</v>
      </c>
      <c r="AC90" s="185" t="str">
        <f aca="false">IF(AND(D90&lt;&gt;"",O90="",ISNUMBER(X90)),X90+(1000-ROW())/1000000,"")</f>
        <v/>
      </c>
      <c r="AD90" s="185" t="n">
        <f aca="false">IF(AND(D90&lt;&gt;"",O90="",AA90&gt;0,AA90&lt;='ตั้งค่า Setup'!$C$15+'ตั้งค่า Setup'!$C$20),1,0)</f>
        <v>0</v>
      </c>
      <c r="AE90" s="185" t="str">
        <f aca="false">IF(AD90=1,SUM(AD$7:AD90),"")</f>
        <v/>
      </c>
    </row>
    <row r="91" customFormat="false" ht="15" hidden="false" customHeight="false" outlineLevel="0" collapsed="false">
      <c r="A91" s="181" t="str">
        <f aca="false">IF(OR(B91="",C91="",D91=""),"",IFERROR(MATCH(B91,'ตั้งค่า Setup'!$C$26:$C$65,0)&amp;"."&amp;MATCH(C91,'ตั้งค่า Setup'!$C$68:$C$107,0)&amp;"."&amp;TEXT(COUNTIFS(B$7:B91,B91,C$7:C91,C91),"00"),"?"))</f>
        <v/>
      </c>
      <c r="B91" s="32"/>
      <c r="C91" s="32"/>
      <c r="D91" s="32"/>
      <c r="E91" s="23"/>
      <c r="F91" s="113"/>
      <c r="G91" s="115" t="n">
        <f aca="false">IF(D91="",0,IF(F91&lt;&gt;"",F91,IF(SUM($E$7:$E$156)&gt;0,N(E91)/SUM($E$7:$E$156),0)))</f>
        <v>0</v>
      </c>
      <c r="H91" s="182" t="str">
        <f aca="false">IF(D91="","",G91*'ตั้งค่า Setup'!$C$9)</f>
        <v/>
      </c>
      <c r="I91" s="24"/>
      <c r="J91" s="24"/>
      <c r="K91" s="117" t="str">
        <f aca="false">IF(OR(I91="",J91=""),"",J91-I91+1)</f>
        <v/>
      </c>
      <c r="L91" s="24"/>
      <c r="M91" s="24"/>
      <c r="N91" s="24"/>
      <c r="O91" s="24"/>
      <c r="P91" s="113"/>
      <c r="Q91" s="115" t="str">
        <f aca="false">IF(OR(D91="",I91="",J91=""),"",MAX(0,MIN(1,('ตั้งค่า Setup'!$C$15-I91+1)/(J91-I91+1))))</f>
        <v/>
      </c>
      <c r="R91" s="115" t="str">
        <f aca="false">IF(OR(D91="",AA91=0),"",MAX(0,MIN(1,('ตั้งค่า Setup'!$C$15-AA91+1)/(AB91-AA91+1))))</f>
        <v/>
      </c>
      <c r="S91" s="182" t="str">
        <f aca="false">IF(Q91="","",H91*Q91)</f>
        <v/>
      </c>
      <c r="T91" s="182" t="str">
        <f aca="false">IF(D91="","",H91*N(P91))</f>
        <v/>
      </c>
      <c r="U91" s="182" t="str">
        <f aca="false">IF(OR(S91="",T91=""),"",T91-S91)</f>
        <v/>
      </c>
      <c r="V91" s="183" t="str">
        <f aca="false">IF(OR(S91="",T91=""),"",IF(S91=0,"",T91/S91))</f>
        <v/>
      </c>
      <c r="W91" s="127" t="str">
        <f aca="false">IF(OR(D91="",AA91=0),"",IF(O91&lt;&gt;"",O91,IF(AND(N(P91)&gt;0,N91&lt;&gt;""),N91+ROUND((MAX('ตั้งค่า Setup'!$C$15,N91)-N91+1)/P91,0)-1,MAX(AB91,'ตั้งค่า Setup'!$C$15+AB91-AA91))))</f>
        <v/>
      </c>
      <c r="X91" s="184" t="str">
        <f aca="false">IF(OR(W91="",J91=""),"",W91-J91)</f>
        <v/>
      </c>
      <c r="Y91" s="117" t="str">
        <f aca="false">IF(OR(D91="",I91="",J91=""),"",IF(O91&lt;&gt;"",IF(O91&lt;=J91,"เสร็จ / Completed","เสร็จช้า / Completed Late"),IF(AND(N91="",'ตั้งค่า Setup'!$C$15&lt;AA91),"ยังไม่ถึงกำหนด / Not Due",IF(N(P91)&gt;=Q91,"ตามแผน / On Track",IF('ตั้งค่า Setup'!$C$15&gt;J91,"เกินกำหนด / Overdue","ล่าช้า / Behind")))))</f>
        <v/>
      </c>
      <c r="Z91" s="32"/>
      <c r="AA91" s="69" t="n">
        <f aca="false">IF(D91="",0,IF(L91&lt;&gt;"",L91,N(I91)))</f>
        <v>0</v>
      </c>
      <c r="AB91" s="69" t="n">
        <f aca="false">IF(D91="",0,IF(M91&lt;&gt;"",M91,N(J91)))</f>
        <v>0</v>
      </c>
      <c r="AC91" s="185" t="str">
        <f aca="false">IF(AND(D91&lt;&gt;"",O91="",ISNUMBER(X91)),X91+(1000-ROW())/1000000,"")</f>
        <v/>
      </c>
      <c r="AD91" s="185" t="n">
        <f aca="false">IF(AND(D91&lt;&gt;"",O91="",AA91&gt;0,AA91&lt;='ตั้งค่า Setup'!$C$15+'ตั้งค่า Setup'!$C$20),1,0)</f>
        <v>0</v>
      </c>
      <c r="AE91" s="185" t="str">
        <f aca="false">IF(AD91=1,SUM(AD$7:AD91),"")</f>
        <v/>
      </c>
    </row>
    <row r="92" customFormat="false" ht="15" hidden="false" customHeight="false" outlineLevel="0" collapsed="false">
      <c r="A92" s="181" t="str">
        <f aca="false">IF(OR(B92="",C92="",D92=""),"",IFERROR(MATCH(B92,'ตั้งค่า Setup'!$C$26:$C$65,0)&amp;"."&amp;MATCH(C92,'ตั้งค่า Setup'!$C$68:$C$107,0)&amp;"."&amp;TEXT(COUNTIFS(B$7:B92,B92,C$7:C92,C92),"00"),"?"))</f>
        <v/>
      </c>
      <c r="B92" s="32"/>
      <c r="C92" s="32"/>
      <c r="D92" s="32"/>
      <c r="E92" s="23"/>
      <c r="F92" s="113"/>
      <c r="G92" s="115" t="n">
        <f aca="false">IF(D92="",0,IF(F92&lt;&gt;"",F92,IF(SUM($E$7:$E$156)&gt;0,N(E92)/SUM($E$7:$E$156),0)))</f>
        <v>0</v>
      </c>
      <c r="H92" s="182" t="str">
        <f aca="false">IF(D92="","",G92*'ตั้งค่า Setup'!$C$9)</f>
        <v/>
      </c>
      <c r="I92" s="24"/>
      <c r="J92" s="24"/>
      <c r="K92" s="117" t="str">
        <f aca="false">IF(OR(I92="",J92=""),"",J92-I92+1)</f>
        <v/>
      </c>
      <c r="L92" s="24"/>
      <c r="M92" s="24"/>
      <c r="N92" s="24"/>
      <c r="O92" s="24"/>
      <c r="P92" s="113"/>
      <c r="Q92" s="115" t="str">
        <f aca="false">IF(OR(D92="",I92="",J92=""),"",MAX(0,MIN(1,('ตั้งค่า Setup'!$C$15-I92+1)/(J92-I92+1))))</f>
        <v/>
      </c>
      <c r="R92" s="115" t="str">
        <f aca="false">IF(OR(D92="",AA92=0),"",MAX(0,MIN(1,('ตั้งค่า Setup'!$C$15-AA92+1)/(AB92-AA92+1))))</f>
        <v/>
      </c>
      <c r="S92" s="182" t="str">
        <f aca="false">IF(Q92="","",H92*Q92)</f>
        <v/>
      </c>
      <c r="T92" s="182" t="str">
        <f aca="false">IF(D92="","",H92*N(P92))</f>
        <v/>
      </c>
      <c r="U92" s="182" t="str">
        <f aca="false">IF(OR(S92="",T92=""),"",T92-S92)</f>
        <v/>
      </c>
      <c r="V92" s="183" t="str">
        <f aca="false">IF(OR(S92="",T92=""),"",IF(S92=0,"",T92/S92))</f>
        <v/>
      </c>
      <c r="W92" s="127" t="str">
        <f aca="false">IF(OR(D92="",AA92=0),"",IF(O92&lt;&gt;"",O92,IF(AND(N(P92)&gt;0,N92&lt;&gt;""),N92+ROUND((MAX('ตั้งค่า Setup'!$C$15,N92)-N92+1)/P92,0)-1,MAX(AB92,'ตั้งค่า Setup'!$C$15+AB92-AA92))))</f>
        <v/>
      </c>
      <c r="X92" s="184" t="str">
        <f aca="false">IF(OR(W92="",J92=""),"",W92-J92)</f>
        <v/>
      </c>
      <c r="Y92" s="117" t="str">
        <f aca="false">IF(OR(D92="",I92="",J92=""),"",IF(O92&lt;&gt;"",IF(O92&lt;=J92,"เสร็จ / Completed","เสร็จช้า / Completed Late"),IF(AND(N92="",'ตั้งค่า Setup'!$C$15&lt;AA92),"ยังไม่ถึงกำหนด / Not Due",IF(N(P92)&gt;=Q92,"ตามแผน / On Track",IF('ตั้งค่า Setup'!$C$15&gt;J92,"เกินกำหนด / Overdue","ล่าช้า / Behind")))))</f>
        <v/>
      </c>
      <c r="Z92" s="32"/>
      <c r="AA92" s="69" t="n">
        <f aca="false">IF(D92="",0,IF(L92&lt;&gt;"",L92,N(I92)))</f>
        <v>0</v>
      </c>
      <c r="AB92" s="69" t="n">
        <f aca="false">IF(D92="",0,IF(M92&lt;&gt;"",M92,N(J92)))</f>
        <v>0</v>
      </c>
      <c r="AC92" s="185" t="str">
        <f aca="false">IF(AND(D92&lt;&gt;"",O92="",ISNUMBER(X92)),X92+(1000-ROW())/1000000,"")</f>
        <v/>
      </c>
      <c r="AD92" s="185" t="n">
        <f aca="false">IF(AND(D92&lt;&gt;"",O92="",AA92&gt;0,AA92&lt;='ตั้งค่า Setup'!$C$15+'ตั้งค่า Setup'!$C$20),1,0)</f>
        <v>0</v>
      </c>
      <c r="AE92" s="185" t="str">
        <f aca="false">IF(AD92=1,SUM(AD$7:AD92),"")</f>
        <v/>
      </c>
    </row>
    <row r="93" customFormat="false" ht="15" hidden="false" customHeight="false" outlineLevel="0" collapsed="false">
      <c r="A93" s="181" t="str">
        <f aca="false">IF(OR(B93="",C93="",D93=""),"",IFERROR(MATCH(B93,'ตั้งค่า Setup'!$C$26:$C$65,0)&amp;"."&amp;MATCH(C93,'ตั้งค่า Setup'!$C$68:$C$107,0)&amp;"."&amp;TEXT(COUNTIFS(B$7:B93,B93,C$7:C93,C93),"00"),"?"))</f>
        <v/>
      </c>
      <c r="B93" s="32"/>
      <c r="C93" s="32"/>
      <c r="D93" s="32"/>
      <c r="E93" s="23"/>
      <c r="F93" s="113"/>
      <c r="G93" s="115" t="n">
        <f aca="false">IF(D93="",0,IF(F93&lt;&gt;"",F93,IF(SUM($E$7:$E$156)&gt;0,N(E93)/SUM($E$7:$E$156),0)))</f>
        <v>0</v>
      </c>
      <c r="H93" s="182" t="str">
        <f aca="false">IF(D93="","",G93*'ตั้งค่า Setup'!$C$9)</f>
        <v/>
      </c>
      <c r="I93" s="24"/>
      <c r="J93" s="24"/>
      <c r="K93" s="117" t="str">
        <f aca="false">IF(OR(I93="",J93=""),"",J93-I93+1)</f>
        <v/>
      </c>
      <c r="L93" s="24"/>
      <c r="M93" s="24"/>
      <c r="N93" s="24"/>
      <c r="O93" s="24"/>
      <c r="P93" s="113"/>
      <c r="Q93" s="115" t="str">
        <f aca="false">IF(OR(D93="",I93="",J93=""),"",MAX(0,MIN(1,('ตั้งค่า Setup'!$C$15-I93+1)/(J93-I93+1))))</f>
        <v/>
      </c>
      <c r="R93" s="115" t="str">
        <f aca="false">IF(OR(D93="",AA93=0),"",MAX(0,MIN(1,('ตั้งค่า Setup'!$C$15-AA93+1)/(AB93-AA93+1))))</f>
        <v/>
      </c>
      <c r="S93" s="182" t="str">
        <f aca="false">IF(Q93="","",H93*Q93)</f>
        <v/>
      </c>
      <c r="T93" s="182" t="str">
        <f aca="false">IF(D93="","",H93*N(P93))</f>
        <v/>
      </c>
      <c r="U93" s="182" t="str">
        <f aca="false">IF(OR(S93="",T93=""),"",T93-S93)</f>
        <v/>
      </c>
      <c r="V93" s="183" t="str">
        <f aca="false">IF(OR(S93="",T93=""),"",IF(S93=0,"",T93/S93))</f>
        <v/>
      </c>
      <c r="W93" s="127" t="str">
        <f aca="false">IF(OR(D93="",AA93=0),"",IF(O93&lt;&gt;"",O93,IF(AND(N(P93)&gt;0,N93&lt;&gt;""),N93+ROUND((MAX('ตั้งค่า Setup'!$C$15,N93)-N93+1)/P93,0)-1,MAX(AB93,'ตั้งค่า Setup'!$C$15+AB93-AA93))))</f>
        <v/>
      </c>
      <c r="X93" s="184" t="str">
        <f aca="false">IF(OR(W93="",J93=""),"",W93-J93)</f>
        <v/>
      </c>
      <c r="Y93" s="117" t="str">
        <f aca="false">IF(OR(D93="",I93="",J93=""),"",IF(O93&lt;&gt;"",IF(O93&lt;=J93,"เสร็จ / Completed","เสร็จช้า / Completed Late"),IF(AND(N93="",'ตั้งค่า Setup'!$C$15&lt;AA93),"ยังไม่ถึงกำหนด / Not Due",IF(N(P93)&gt;=Q93,"ตามแผน / On Track",IF('ตั้งค่า Setup'!$C$15&gt;J93,"เกินกำหนด / Overdue","ล่าช้า / Behind")))))</f>
        <v/>
      </c>
      <c r="Z93" s="32"/>
      <c r="AA93" s="69" t="n">
        <f aca="false">IF(D93="",0,IF(L93&lt;&gt;"",L93,N(I93)))</f>
        <v>0</v>
      </c>
      <c r="AB93" s="69" t="n">
        <f aca="false">IF(D93="",0,IF(M93&lt;&gt;"",M93,N(J93)))</f>
        <v>0</v>
      </c>
      <c r="AC93" s="185" t="str">
        <f aca="false">IF(AND(D93&lt;&gt;"",O93="",ISNUMBER(X93)),X93+(1000-ROW())/1000000,"")</f>
        <v/>
      </c>
      <c r="AD93" s="185" t="n">
        <f aca="false">IF(AND(D93&lt;&gt;"",O93="",AA93&gt;0,AA93&lt;='ตั้งค่า Setup'!$C$15+'ตั้งค่า Setup'!$C$20),1,0)</f>
        <v>0</v>
      </c>
      <c r="AE93" s="185" t="str">
        <f aca="false">IF(AD93=1,SUM(AD$7:AD93),"")</f>
        <v/>
      </c>
    </row>
    <row r="94" customFormat="false" ht="15" hidden="false" customHeight="false" outlineLevel="0" collapsed="false">
      <c r="A94" s="181" t="str">
        <f aca="false">IF(OR(B94="",C94="",D94=""),"",IFERROR(MATCH(B94,'ตั้งค่า Setup'!$C$26:$C$65,0)&amp;"."&amp;MATCH(C94,'ตั้งค่า Setup'!$C$68:$C$107,0)&amp;"."&amp;TEXT(COUNTIFS(B$7:B94,B94,C$7:C94,C94),"00"),"?"))</f>
        <v/>
      </c>
      <c r="B94" s="32"/>
      <c r="C94" s="32"/>
      <c r="D94" s="32"/>
      <c r="E94" s="23"/>
      <c r="F94" s="113"/>
      <c r="G94" s="115" t="n">
        <f aca="false">IF(D94="",0,IF(F94&lt;&gt;"",F94,IF(SUM($E$7:$E$156)&gt;0,N(E94)/SUM($E$7:$E$156),0)))</f>
        <v>0</v>
      </c>
      <c r="H94" s="182" t="str">
        <f aca="false">IF(D94="","",G94*'ตั้งค่า Setup'!$C$9)</f>
        <v/>
      </c>
      <c r="I94" s="24"/>
      <c r="J94" s="24"/>
      <c r="K94" s="117" t="str">
        <f aca="false">IF(OR(I94="",J94=""),"",J94-I94+1)</f>
        <v/>
      </c>
      <c r="L94" s="24"/>
      <c r="M94" s="24"/>
      <c r="N94" s="24"/>
      <c r="O94" s="24"/>
      <c r="P94" s="113"/>
      <c r="Q94" s="115" t="str">
        <f aca="false">IF(OR(D94="",I94="",J94=""),"",MAX(0,MIN(1,('ตั้งค่า Setup'!$C$15-I94+1)/(J94-I94+1))))</f>
        <v/>
      </c>
      <c r="R94" s="115" t="str">
        <f aca="false">IF(OR(D94="",AA94=0),"",MAX(0,MIN(1,('ตั้งค่า Setup'!$C$15-AA94+1)/(AB94-AA94+1))))</f>
        <v/>
      </c>
      <c r="S94" s="182" t="str">
        <f aca="false">IF(Q94="","",H94*Q94)</f>
        <v/>
      </c>
      <c r="T94" s="182" t="str">
        <f aca="false">IF(D94="","",H94*N(P94))</f>
        <v/>
      </c>
      <c r="U94" s="182" t="str">
        <f aca="false">IF(OR(S94="",T94=""),"",T94-S94)</f>
        <v/>
      </c>
      <c r="V94" s="183" t="str">
        <f aca="false">IF(OR(S94="",T94=""),"",IF(S94=0,"",T94/S94))</f>
        <v/>
      </c>
      <c r="W94" s="127" t="str">
        <f aca="false">IF(OR(D94="",AA94=0),"",IF(O94&lt;&gt;"",O94,IF(AND(N(P94)&gt;0,N94&lt;&gt;""),N94+ROUND((MAX('ตั้งค่า Setup'!$C$15,N94)-N94+1)/P94,0)-1,MAX(AB94,'ตั้งค่า Setup'!$C$15+AB94-AA94))))</f>
        <v/>
      </c>
      <c r="X94" s="184" t="str">
        <f aca="false">IF(OR(W94="",J94=""),"",W94-J94)</f>
        <v/>
      </c>
      <c r="Y94" s="117" t="str">
        <f aca="false">IF(OR(D94="",I94="",J94=""),"",IF(O94&lt;&gt;"",IF(O94&lt;=J94,"เสร็จ / Completed","เสร็จช้า / Completed Late"),IF(AND(N94="",'ตั้งค่า Setup'!$C$15&lt;AA94),"ยังไม่ถึงกำหนด / Not Due",IF(N(P94)&gt;=Q94,"ตามแผน / On Track",IF('ตั้งค่า Setup'!$C$15&gt;J94,"เกินกำหนด / Overdue","ล่าช้า / Behind")))))</f>
        <v/>
      </c>
      <c r="Z94" s="32"/>
      <c r="AA94" s="69" t="n">
        <f aca="false">IF(D94="",0,IF(L94&lt;&gt;"",L94,N(I94)))</f>
        <v>0</v>
      </c>
      <c r="AB94" s="69" t="n">
        <f aca="false">IF(D94="",0,IF(M94&lt;&gt;"",M94,N(J94)))</f>
        <v>0</v>
      </c>
      <c r="AC94" s="185" t="str">
        <f aca="false">IF(AND(D94&lt;&gt;"",O94="",ISNUMBER(X94)),X94+(1000-ROW())/1000000,"")</f>
        <v/>
      </c>
      <c r="AD94" s="185" t="n">
        <f aca="false">IF(AND(D94&lt;&gt;"",O94="",AA94&gt;0,AA94&lt;='ตั้งค่า Setup'!$C$15+'ตั้งค่า Setup'!$C$20),1,0)</f>
        <v>0</v>
      </c>
      <c r="AE94" s="185" t="str">
        <f aca="false">IF(AD94=1,SUM(AD$7:AD94),"")</f>
        <v/>
      </c>
    </row>
    <row r="95" customFormat="false" ht="15" hidden="false" customHeight="false" outlineLevel="0" collapsed="false">
      <c r="A95" s="181" t="str">
        <f aca="false">IF(OR(B95="",C95="",D95=""),"",IFERROR(MATCH(B95,'ตั้งค่า Setup'!$C$26:$C$65,0)&amp;"."&amp;MATCH(C95,'ตั้งค่า Setup'!$C$68:$C$107,0)&amp;"."&amp;TEXT(COUNTIFS(B$7:B95,B95,C$7:C95,C95),"00"),"?"))</f>
        <v/>
      </c>
      <c r="B95" s="32"/>
      <c r="C95" s="32"/>
      <c r="D95" s="32"/>
      <c r="E95" s="23"/>
      <c r="F95" s="113"/>
      <c r="G95" s="115" t="n">
        <f aca="false">IF(D95="",0,IF(F95&lt;&gt;"",F95,IF(SUM($E$7:$E$156)&gt;0,N(E95)/SUM($E$7:$E$156),0)))</f>
        <v>0</v>
      </c>
      <c r="H95" s="182" t="str">
        <f aca="false">IF(D95="","",G95*'ตั้งค่า Setup'!$C$9)</f>
        <v/>
      </c>
      <c r="I95" s="24"/>
      <c r="J95" s="24"/>
      <c r="K95" s="117" t="str">
        <f aca="false">IF(OR(I95="",J95=""),"",J95-I95+1)</f>
        <v/>
      </c>
      <c r="L95" s="24"/>
      <c r="M95" s="24"/>
      <c r="N95" s="24"/>
      <c r="O95" s="24"/>
      <c r="P95" s="113"/>
      <c r="Q95" s="115" t="str">
        <f aca="false">IF(OR(D95="",I95="",J95=""),"",MAX(0,MIN(1,('ตั้งค่า Setup'!$C$15-I95+1)/(J95-I95+1))))</f>
        <v/>
      </c>
      <c r="R95" s="115" t="str">
        <f aca="false">IF(OR(D95="",AA95=0),"",MAX(0,MIN(1,('ตั้งค่า Setup'!$C$15-AA95+1)/(AB95-AA95+1))))</f>
        <v/>
      </c>
      <c r="S95" s="182" t="str">
        <f aca="false">IF(Q95="","",H95*Q95)</f>
        <v/>
      </c>
      <c r="T95" s="182" t="str">
        <f aca="false">IF(D95="","",H95*N(P95))</f>
        <v/>
      </c>
      <c r="U95" s="182" t="str">
        <f aca="false">IF(OR(S95="",T95=""),"",T95-S95)</f>
        <v/>
      </c>
      <c r="V95" s="183" t="str">
        <f aca="false">IF(OR(S95="",T95=""),"",IF(S95=0,"",T95/S95))</f>
        <v/>
      </c>
      <c r="W95" s="127" t="str">
        <f aca="false">IF(OR(D95="",AA95=0),"",IF(O95&lt;&gt;"",O95,IF(AND(N(P95)&gt;0,N95&lt;&gt;""),N95+ROUND((MAX('ตั้งค่า Setup'!$C$15,N95)-N95+1)/P95,0)-1,MAX(AB95,'ตั้งค่า Setup'!$C$15+AB95-AA95))))</f>
        <v/>
      </c>
      <c r="X95" s="184" t="str">
        <f aca="false">IF(OR(W95="",J95=""),"",W95-J95)</f>
        <v/>
      </c>
      <c r="Y95" s="117" t="str">
        <f aca="false">IF(OR(D95="",I95="",J95=""),"",IF(O95&lt;&gt;"",IF(O95&lt;=J95,"เสร็จ / Completed","เสร็จช้า / Completed Late"),IF(AND(N95="",'ตั้งค่า Setup'!$C$15&lt;AA95),"ยังไม่ถึงกำหนด / Not Due",IF(N(P95)&gt;=Q95,"ตามแผน / On Track",IF('ตั้งค่า Setup'!$C$15&gt;J95,"เกินกำหนด / Overdue","ล่าช้า / Behind")))))</f>
        <v/>
      </c>
      <c r="Z95" s="32"/>
      <c r="AA95" s="69" t="n">
        <f aca="false">IF(D95="",0,IF(L95&lt;&gt;"",L95,N(I95)))</f>
        <v>0</v>
      </c>
      <c r="AB95" s="69" t="n">
        <f aca="false">IF(D95="",0,IF(M95&lt;&gt;"",M95,N(J95)))</f>
        <v>0</v>
      </c>
      <c r="AC95" s="185" t="str">
        <f aca="false">IF(AND(D95&lt;&gt;"",O95="",ISNUMBER(X95)),X95+(1000-ROW())/1000000,"")</f>
        <v/>
      </c>
      <c r="AD95" s="185" t="n">
        <f aca="false">IF(AND(D95&lt;&gt;"",O95="",AA95&gt;0,AA95&lt;='ตั้งค่า Setup'!$C$15+'ตั้งค่า Setup'!$C$20),1,0)</f>
        <v>0</v>
      </c>
      <c r="AE95" s="185" t="str">
        <f aca="false">IF(AD95=1,SUM(AD$7:AD95),"")</f>
        <v/>
      </c>
    </row>
    <row r="96" customFormat="false" ht="15" hidden="false" customHeight="false" outlineLevel="0" collapsed="false">
      <c r="A96" s="181" t="str">
        <f aca="false">IF(OR(B96="",C96="",D96=""),"",IFERROR(MATCH(B96,'ตั้งค่า Setup'!$C$26:$C$65,0)&amp;"."&amp;MATCH(C96,'ตั้งค่า Setup'!$C$68:$C$107,0)&amp;"."&amp;TEXT(COUNTIFS(B$7:B96,B96,C$7:C96,C96),"00"),"?"))</f>
        <v/>
      </c>
      <c r="B96" s="32"/>
      <c r="C96" s="32"/>
      <c r="D96" s="32"/>
      <c r="E96" s="23"/>
      <c r="F96" s="113"/>
      <c r="G96" s="115" t="n">
        <f aca="false">IF(D96="",0,IF(F96&lt;&gt;"",F96,IF(SUM($E$7:$E$156)&gt;0,N(E96)/SUM($E$7:$E$156),0)))</f>
        <v>0</v>
      </c>
      <c r="H96" s="182" t="str">
        <f aca="false">IF(D96="","",G96*'ตั้งค่า Setup'!$C$9)</f>
        <v/>
      </c>
      <c r="I96" s="24"/>
      <c r="J96" s="24"/>
      <c r="K96" s="117" t="str">
        <f aca="false">IF(OR(I96="",J96=""),"",J96-I96+1)</f>
        <v/>
      </c>
      <c r="L96" s="24"/>
      <c r="M96" s="24"/>
      <c r="N96" s="24"/>
      <c r="O96" s="24"/>
      <c r="P96" s="113"/>
      <c r="Q96" s="115" t="str">
        <f aca="false">IF(OR(D96="",I96="",J96=""),"",MAX(0,MIN(1,('ตั้งค่า Setup'!$C$15-I96+1)/(J96-I96+1))))</f>
        <v/>
      </c>
      <c r="R96" s="115" t="str">
        <f aca="false">IF(OR(D96="",AA96=0),"",MAX(0,MIN(1,('ตั้งค่า Setup'!$C$15-AA96+1)/(AB96-AA96+1))))</f>
        <v/>
      </c>
      <c r="S96" s="182" t="str">
        <f aca="false">IF(Q96="","",H96*Q96)</f>
        <v/>
      </c>
      <c r="T96" s="182" t="str">
        <f aca="false">IF(D96="","",H96*N(P96))</f>
        <v/>
      </c>
      <c r="U96" s="182" t="str">
        <f aca="false">IF(OR(S96="",T96=""),"",T96-S96)</f>
        <v/>
      </c>
      <c r="V96" s="183" t="str">
        <f aca="false">IF(OR(S96="",T96=""),"",IF(S96=0,"",T96/S96))</f>
        <v/>
      </c>
      <c r="W96" s="127" t="str">
        <f aca="false">IF(OR(D96="",AA96=0),"",IF(O96&lt;&gt;"",O96,IF(AND(N(P96)&gt;0,N96&lt;&gt;""),N96+ROUND((MAX('ตั้งค่า Setup'!$C$15,N96)-N96+1)/P96,0)-1,MAX(AB96,'ตั้งค่า Setup'!$C$15+AB96-AA96))))</f>
        <v/>
      </c>
      <c r="X96" s="184" t="str">
        <f aca="false">IF(OR(W96="",J96=""),"",W96-J96)</f>
        <v/>
      </c>
      <c r="Y96" s="117" t="str">
        <f aca="false">IF(OR(D96="",I96="",J96=""),"",IF(O96&lt;&gt;"",IF(O96&lt;=J96,"เสร็จ / Completed","เสร็จช้า / Completed Late"),IF(AND(N96="",'ตั้งค่า Setup'!$C$15&lt;AA96),"ยังไม่ถึงกำหนด / Not Due",IF(N(P96)&gt;=Q96,"ตามแผน / On Track",IF('ตั้งค่า Setup'!$C$15&gt;J96,"เกินกำหนด / Overdue","ล่าช้า / Behind")))))</f>
        <v/>
      </c>
      <c r="Z96" s="32"/>
      <c r="AA96" s="69" t="n">
        <f aca="false">IF(D96="",0,IF(L96&lt;&gt;"",L96,N(I96)))</f>
        <v>0</v>
      </c>
      <c r="AB96" s="69" t="n">
        <f aca="false">IF(D96="",0,IF(M96&lt;&gt;"",M96,N(J96)))</f>
        <v>0</v>
      </c>
      <c r="AC96" s="185" t="str">
        <f aca="false">IF(AND(D96&lt;&gt;"",O96="",ISNUMBER(X96)),X96+(1000-ROW())/1000000,"")</f>
        <v/>
      </c>
      <c r="AD96" s="185" t="n">
        <f aca="false">IF(AND(D96&lt;&gt;"",O96="",AA96&gt;0,AA96&lt;='ตั้งค่า Setup'!$C$15+'ตั้งค่า Setup'!$C$20),1,0)</f>
        <v>0</v>
      </c>
      <c r="AE96" s="185" t="str">
        <f aca="false">IF(AD96=1,SUM(AD$7:AD96),"")</f>
        <v/>
      </c>
    </row>
    <row r="97" customFormat="false" ht="15" hidden="false" customHeight="false" outlineLevel="0" collapsed="false">
      <c r="A97" s="181" t="str">
        <f aca="false">IF(OR(B97="",C97="",D97=""),"",IFERROR(MATCH(B97,'ตั้งค่า Setup'!$C$26:$C$65,0)&amp;"."&amp;MATCH(C97,'ตั้งค่า Setup'!$C$68:$C$107,0)&amp;"."&amp;TEXT(COUNTIFS(B$7:B97,B97,C$7:C97,C97),"00"),"?"))</f>
        <v/>
      </c>
      <c r="B97" s="32"/>
      <c r="C97" s="32"/>
      <c r="D97" s="32"/>
      <c r="E97" s="23"/>
      <c r="F97" s="113"/>
      <c r="G97" s="115" t="n">
        <f aca="false">IF(D97="",0,IF(F97&lt;&gt;"",F97,IF(SUM($E$7:$E$156)&gt;0,N(E97)/SUM($E$7:$E$156),0)))</f>
        <v>0</v>
      </c>
      <c r="H97" s="182" t="str">
        <f aca="false">IF(D97="","",G97*'ตั้งค่า Setup'!$C$9)</f>
        <v/>
      </c>
      <c r="I97" s="24"/>
      <c r="J97" s="24"/>
      <c r="K97" s="117" t="str">
        <f aca="false">IF(OR(I97="",J97=""),"",J97-I97+1)</f>
        <v/>
      </c>
      <c r="L97" s="24"/>
      <c r="M97" s="24"/>
      <c r="N97" s="24"/>
      <c r="O97" s="24"/>
      <c r="P97" s="113"/>
      <c r="Q97" s="115" t="str">
        <f aca="false">IF(OR(D97="",I97="",J97=""),"",MAX(0,MIN(1,('ตั้งค่า Setup'!$C$15-I97+1)/(J97-I97+1))))</f>
        <v/>
      </c>
      <c r="R97" s="115" t="str">
        <f aca="false">IF(OR(D97="",AA97=0),"",MAX(0,MIN(1,('ตั้งค่า Setup'!$C$15-AA97+1)/(AB97-AA97+1))))</f>
        <v/>
      </c>
      <c r="S97" s="182" t="str">
        <f aca="false">IF(Q97="","",H97*Q97)</f>
        <v/>
      </c>
      <c r="T97" s="182" t="str">
        <f aca="false">IF(D97="","",H97*N(P97))</f>
        <v/>
      </c>
      <c r="U97" s="182" t="str">
        <f aca="false">IF(OR(S97="",T97=""),"",T97-S97)</f>
        <v/>
      </c>
      <c r="V97" s="183" t="str">
        <f aca="false">IF(OR(S97="",T97=""),"",IF(S97=0,"",T97/S97))</f>
        <v/>
      </c>
      <c r="W97" s="127" t="str">
        <f aca="false">IF(OR(D97="",AA97=0),"",IF(O97&lt;&gt;"",O97,IF(AND(N(P97)&gt;0,N97&lt;&gt;""),N97+ROUND((MAX('ตั้งค่า Setup'!$C$15,N97)-N97+1)/P97,0)-1,MAX(AB97,'ตั้งค่า Setup'!$C$15+AB97-AA97))))</f>
        <v/>
      </c>
      <c r="X97" s="184" t="str">
        <f aca="false">IF(OR(W97="",J97=""),"",W97-J97)</f>
        <v/>
      </c>
      <c r="Y97" s="117" t="str">
        <f aca="false">IF(OR(D97="",I97="",J97=""),"",IF(O97&lt;&gt;"",IF(O97&lt;=J97,"เสร็จ / Completed","เสร็จช้า / Completed Late"),IF(AND(N97="",'ตั้งค่า Setup'!$C$15&lt;AA97),"ยังไม่ถึงกำหนด / Not Due",IF(N(P97)&gt;=Q97,"ตามแผน / On Track",IF('ตั้งค่า Setup'!$C$15&gt;J97,"เกินกำหนด / Overdue","ล่าช้า / Behind")))))</f>
        <v/>
      </c>
      <c r="Z97" s="32"/>
      <c r="AA97" s="69" t="n">
        <f aca="false">IF(D97="",0,IF(L97&lt;&gt;"",L97,N(I97)))</f>
        <v>0</v>
      </c>
      <c r="AB97" s="69" t="n">
        <f aca="false">IF(D97="",0,IF(M97&lt;&gt;"",M97,N(J97)))</f>
        <v>0</v>
      </c>
      <c r="AC97" s="185" t="str">
        <f aca="false">IF(AND(D97&lt;&gt;"",O97="",ISNUMBER(X97)),X97+(1000-ROW())/1000000,"")</f>
        <v/>
      </c>
      <c r="AD97" s="185" t="n">
        <f aca="false">IF(AND(D97&lt;&gt;"",O97="",AA97&gt;0,AA97&lt;='ตั้งค่า Setup'!$C$15+'ตั้งค่า Setup'!$C$20),1,0)</f>
        <v>0</v>
      </c>
      <c r="AE97" s="185" t="str">
        <f aca="false">IF(AD97=1,SUM(AD$7:AD97),"")</f>
        <v/>
      </c>
    </row>
    <row r="98" customFormat="false" ht="15" hidden="false" customHeight="false" outlineLevel="0" collapsed="false">
      <c r="A98" s="181" t="str">
        <f aca="false">IF(OR(B98="",C98="",D98=""),"",IFERROR(MATCH(B98,'ตั้งค่า Setup'!$C$26:$C$65,0)&amp;"."&amp;MATCH(C98,'ตั้งค่า Setup'!$C$68:$C$107,0)&amp;"."&amp;TEXT(COUNTIFS(B$7:B98,B98,C$7:C98,C98),"00"),"?"))</f>
        <v/>
      </c>
      <c r="B98" s="32"/>
      <c r="C98" s="32"/>
      <c r="D98" s="32"/>
      <c r="E98" s="23"/>
      <c r="F98" s="113"/>
      <c r="G98" s="115" t="n">
        <f aca="false">IF(D98="",0,IF(F98&lt;&gt;"",F98,IF(SUM($E$7:$E$156)&gt;0,N(E98)/SUM($E$7:$E$156),0)))</f>
        <v>0</v>
      </c>
      <c r="H98" s="182" t="str">
        <f aca="false">IF(D98="","",G98*'ตั้งค่า Setup'!$C$9)</f>
        <v/>
      </c>
      <c r="I98" s="24"/>
      <c r="J98" s="24"/>
      <c r="K98" s="117" t="str">
        <f aca="false">IF(OR(I98="",J98=""),"",J98-I98+1)</f>
        <v/>
      </c>
      <c r="L98" s="24"/>
      <c r="M98" s="24"/>
      <c r="N98" s="24"/>
      <c r="O98" s="24"/>
      <c r="P98" s="113"/>
      <c r="Q98" s="115" t="str">
        <f aca="false">IF(OR(D98="",I98="",J98=""),"",MAX(0,MIN(1,('ตั้งค่า Setup'!$C$15-I98+1)/(J98-I98+1))))</f>
        <v/>
      </c>
      <c r="R98" s="115" t="str">
        <f aca="false">IF(OR(D98="",AA98=0),"",MAX(0,MIN(1,('ตั้งค่า Setup'!$C$15-AA98+1)/(AB98-AA98+1))))</f>
        <v/>
      </c>
      <c r="S98" s="182" t="str">
        <f aca="false">IF(Q98="","",H98*Q98)</f>
        <v/>
      </c>
      <c r="T98" s="182" t="str">
        <f aca="false">IF(D98="","",H98*N(P98))</f>
        <v/>
      </c>
      <c r="U98" s="182" t="str">
        <f aca="false">IF(OR(S98="",T98=""),"",T98-S98)</f>
        <v/>
      </c>
      <c r="V98" s="183" t="str">
        <f aca="false">IF(OR(S98="",T98=""),"",IF(S98=0,"",T98/S98))</f>
        <v/>
      </c>
      <c r="W98" s="127" t="str">
        <f aca="false">IF(OR(D98="",AA98=0),"",IF(O98&lt;&gt;"",O98,IF(AND(N(P98)&gt;0,N98&lt;&gt;""),N98+ROUND((MAX('ตั้งค่า Setup'!$C$15,N98)-N98+1)/P98,0)-1,MAX(AB98,'ตั้งค่า Setup'!$C$15+AB98-AA98))))</f>
        <v/>
      </c>
      <c r="X98" s="184" t="str">
        <f aca="false">IF(OR(W98="",J98=""),"",W98-J98)</f>
        <v/>
      </c>
      <c r="Y98" s="117" t="str">
        <f aca="false">IF(OR(D98="",I98="",J98=""),"",IF(O98&lt;&gt;"",IF(O98&lt;=J98,"เสร็จ / Completed","เสร็จช้า / Completed Late"),IF(AND(N98="",'ตั้งค่า Setup'!$C$15&lt;AA98),"ยังไม่ถึงกำหนด / Not Due",IF(N(P98)&gt;=Q98,"ตามแผน / On Track",IF('ตั้งค่า Setup'!$C$15&gt;J98,"เกินกำหนด / Overdue","ล่าช้า / Behind")))))</f>
        <v/>
      </c>
      <c r="Z98" s="32"/>
      <c r="AA98" s="69" t="n">
        <f aca="false">IF(D98="",0,IF(L98&lt;&gt;"",L98,N(I98)))</f>
        <v>0</v>
      </c>
      <c r="AB98" s="69" t="n">
        <f aca="false">IF(D98="",0,IF(M98&lt;&gt;"",M98,N(J98)))</f>
        <v>0</v>
      </c>
      <c r="AC98" s="185" t="str">
        <f aca="false">IF(AND(D98&lt;&gt;"",O98="",ISNUMBER(X98)),X98+(1000-ROW())/1000000,"")</f>
        <v/>
      </c>
      <c r="AD98" s="185" t="n">
        <f aca="false">IF(AND(D98&lt;&gt;"",O98="",AA98&gt;0,AA98&lt;='ตั้งค่า Setup'!$C$15+'ตั้งค่า Setup'!$C$20),1,0)</f>
        <v>0</v>
      </c>
      <c r="AE98" s="185" t="str">
        <f aca="false">IF(AD98=1,SUM(AD$7:AD98),"")</f>
        <v/>
      </c>
    </row>
    <row r="99" customFormat="false" ht="15" hidden="false" customHeight="false" outlineLevel="0" collapsed="false">
      <c r="A99" s="181" t="str">
        <f aca="false">IF(OR(B99="",C99="",D99=""),"",IFERROR(MATCH(B99,'ตั้งค่า Setup'!$C$26:$C$65,0)&amp;"."&amp;MATCH(C99,'ตั้งค่า Setup'!$C$68:$C$107,0)&amp;"."&amp;TEXT(COUNTIFS(B$7:B99,B99,C$7:C99,C99),"00"),"?"))</f>
        <v/>
      </c>
      <c r="B99" s="32"/>
      <c r="C99" s="32"/>
      <c r="D99" s="32"/>
      <c r="E99" s="23"/>
      <c r="F99" s="113"/>
      <c r="G99" s="115" t="n">
        <f aca="false">IF(D99="",0,IF(F99&lt;&gt;"",F99,IF(SUM($E$7:$E$156)&gt;0,N(E99)/SUM($E$7:$E$156),0)))</f>
        <v>0</v>
      </c>
      <c r="H99" s="182" t="str">
        <f aca="false">IF(D99="","",G99*'ตั้งค่า Setup'!$C$9)</f>
        <v/>
      </c>
      <c r="I99" s="24"/>
      <c r="J99" s="24"/>
      <c r="K99" s="117" t="str">
        <f aca="false">IF(OR(I99="",J99=""),"",J99-I99+1)</f>
        <v/>
      </c>
      <c r="L99" s="24"/>
      <c r="M99" s="24"/>
      <c r="N99" s="24"/>
      <c r="O99" s="24"/>
      <c r="P99" s="113"/>
      <c r="Q99" s="115" t="str">
        <f aca="false">IF(OR(D99="",I99="",J99=""),"",MAX(0,MIN(1,('ตั้งค่า Setup'!$C$15-I99+1)/(J99-I99+1))))</f>
        <v/>
      </c>
      <c r="R99" s="115" t="str">
        <f aca="false">IF(OR(D99="",AA99=0),"",MAX(0,MIN(1,('ตั้งค่า Setup'!$C$15-AA99+1)/(AB99-AA99+1))))</f>
        <v/>
      </c>
      <c r="S99" s="182" t="str">
        <f aca="false">IF(Q99="","",H99*Q99)</f>
        <v/>
      </c>
      <c r="T99" s="182" t="str">
        <f aca="false">IF(D99="","",H99*N(P99))</f>
        <v/>
      </c>
      <c r="U99" s="182" t="str">
        <f aca="false">IF(OR(S99="",T99=""),"",T99-S99)</f>
        <v/>
      </c>
      <c r="V99" s="183" t="str">
        <f aca="false">IF(OR(S99="",T99=""),"",IF(S99=0,"",T99/S99))</f>
        <v/>
      </c>
      <c r="W99" s="127" t="str">
        <f aca="false">IF(OR(D99="",AA99=0),"",IF(O99&lt;&gt;"",O99,IF(AND(N(P99)&gt;0,N99&lt;&gt;""),N99+ROUND((MAX('ตั้งค่า Setup'!$C$15,N99)-N99+1)/P99,0)-1,MAX(AB99,'ตั้งค่า Setup'!$C$15+AB99-AA99))))</f>
        <v/>
      </c>
      <c r="X99" s="184" t="str">
        <f aca="false">IF(OR(W99="",J99=""),"",W99-J99)</f>
        <v/>
      </c>
      <c r="Y99" s="117" t="str">
        <f aca="false">IF(OR(D99="",I99="",J99=""),"",IF(O99&lt;&gt;"",IF(O99&lt;=J99,"เสร็จ / Completed","เสร็จช้า / Completed Late"),IF(AND(N99="",'ตั้งค่า Setup'!$C$15&lt;AA99),"ยังไม่ถึงกำหนด / Not Due",IF(N(P99)&gt;=Q99,"ตามแผน / On Track",IF('ตั้งค่า Setup'!$C$15&gt;J99,"เกินกำหนด / Overdue","ล่าช้า / Behind")))))</f>
        <v/>
      </c>
      <c r="Z99" s="32"/>
      <c r="AA99" s="69" t="n">
        <f aca="false">IF(D99="",0,IF(L99&lt;&gt;"",L99,N(I99)))</f>
        <v>0</v>
      </c>
      <c r="AB99" s="69" t="n">
        <f aca="false">IF(D99="",0,IF(M99&lt;&gt;"",M99,N(J99)))</f>
        <v>0</v>
      </c>
      <c r="AC99" s="185" t="str">
        <f aca="false">IF(AND(D99&lt;&gt;"",O99="",ISNUMBER(X99)),X99+(1000-ROW())/1000000,"")</f>
        <v/>
      </c>
      <c r="AD99" s="185" t="n">
        <f aca="false">IF(AND(D99&lt;&gt;"",O99="",AA99&gt;0,AA99&lt;='ตั้งค่า Setup'!$C$15+'ตั้งค่า Setup'!$C$20),1,0)</f>
        <v>0</v>
      </c>
      <c r="AE99" s="185" t="str">
        <f aca="false">IF(AD99=1,SUM(AD$7:AD99),"")</f>
        <v/>
      </c>
    </row>
    <row r="100" customFormat="false" ht="15" hidden="false" customHeight="false" outlineLevel="0" collapsed="false">
      <c r="A100" s="181" t="str">
        <f aca="false">IF(OR(B100="",C100="",D100=""),"",IFERROR(MATCH(B100,'ตั้งค่า Setup'!$C$26:$C$65,0)&amp;"."&amp;MATCH(C100,'ตั้งค่า Setup'!$C$68:$C$107,0)&amp;"."&amp;TEXT(COUNTIFS(B$7:B100,B100,C$7:C100,C100),"00"),"?"))</f>
        <v/>
      </c>
      <c r="B100" s="32"/>
      <c r="C100" s="32"/>
      <c r="D100" s="32"/>
      <c r="E100" s="23"/>
      <c r="F100" s="113"/>
      <c r="G100" s="115" t="n">
        <f aca="false">IF(D100="",0,IF(F100&lt;&gt;"",F100,IF(SUM($E$7:$E$156)&gt;0,N(E100)/SUM($E$7:$E$156),0)))</f>
        <v>0</v>
      </c>
      <c r="H100" s="182" t="str">
        <f aca="false">IF(D100="","",G100*'ตั้งค่า Setup'!$C$9)</f>
        <v/>
      </c>
      <c r="I100" s="24"/>
      <c r="J100" s="24"/>
      <c r="K100" s="117" t="str">
        <f aca="false">IF(OR(I100="",J100=""),"",J100-I100+1)</f>
        <v/>
      </c>
      <c r="L100" s="24"/>
      <c r="M100" s="24"/>
      <c r="N100" s="24"/>
      <c r="O100" s="24"/>
      <c r="P100" s="113"/>
      <c r="Q100" s="115" t="str">
        <f aca="false">IF(OR(D100="",I100="",J100=""),"",MAX(0,MIN(1,('ตั้งค่า Setup'!$C$15-I100+1)/(J100-I100+1))))</f>
        <v/>
      </c>
      <c r="R100" s="115" t="str">
        <f aca="false">IF(OR(D100="",AA100=0),"",MAX(0,MIN(1,('ตั้งค่า Setup'!$C$15-AA100+1)/(AB100-AA100+1))))</f>
        <v/>
      </c>
      <c r="S100" s="182" t="str">
        <f aca="false">IF(Q100="","",H100*Q100)</f>
        <v/>
      </c>
      <c r="T100" s="182" t="str">
        <f aca="false">IF(D100="","",H100*N(P100))</f>
        <v/>
      </c>
      <c r="U100" s="182" t="str">
        <f aca="false">IF(OR(S100="",T100=""),"",T100-S100)</f>
        <v/>
      </c>
      <c r="V100" s="183" t="str">
        <f aca="false">IF(OR(S100="",T100=""),"",IF(S100=0,"",T100/S100))</f>
        <v/>
      </c>
      <c r="W100" s="127" t="str">
        <f aca="false">IF(OR(D100="",AA100=0),"",IF(O100&lt;&gt;"",O100,IF(AND(N(P100)&gt;0,N100&lt;&gt;""),N100+ROUND((MAX('ตั้งค่า Setup'!$C$15,N100)-N100+1)/P100,0)-1,MAX(AB100,'ตั้งค่า Setup'!$C$15+AB100-AA100))))</f>
        <v/>
      </c>
      <c r="X100" s="184" t="str">
        <f aca="false">IF(OR(W100="",J100=""),"",W100-J100)</f>
        <v/>
      </c>
      <c r="Y100" s="117" t="str">
        <f aca="false">IF(OR(D100="",I100="",J100=""),"",IF(O100&lt;&gt;"",IF(O100&lt;=J100,"เสร็จ / Completed","เสร็จช้า / Completed Late"),IF(AND(N100="",'ตั้งค่า Setup'!$C$15&lt;AA100),"ยังไม่ถึงกำหนด / Not Due",IF(N(P100)&gt;=Q100,"ตามแผน / On Track",IF('ตั้งค่า Setup'!$C$15&gt;J100,"เกินกำหนด / Overdue","ล่าช้า / Behind")))))</f>
        <v/>
      </c>
      <c r="Z100" s="32"/>
      <c r="AA100" s="69" t="n">
        <f aca="false">IF(D100="",0,IF(L100&lt;&gt;"",L100,N(I100)))</f>
        <v>0</v>
      </c>
      <c r="AB100" s="69" t="n">
        <f aca="false">IF(D100="",0,IF(M100&lt;&gt;"",M100,N(J100)))</f>
        <v>0</v>
      </c>
      <c r="AC100" s="185" t="str">
        <f aca="false">IF(AND(D100&lt;&gt;"",O100="",ISNUMBER(X100)),X100+(1000-ROW())/1000000,"")</f>
        <v/>
      </c>
      <c r="AD100" s="185" t="n">
        <f aca="false">IF(AND(D100&lt;&gt;"",O100="",AA100&gt;0,AA100&lt;='ตั้งค่า Setup'!$C$15+'ตั้งค่า Setup'!$C$20),1,0)</f>
        <v>0</v>
      </c>
      <c r="AE100" s="185" t="str">
        <f aca="false">IF(AD100=1,SUM(AD$7:AD100),"")</f>
        <v/>
      </c>
    </row>
    <row r="101" customFormat="false" ht="15" hidden="false" customHeight="false" outlineLevel="0" collapsed="false">
      <c r="A101" s="181" t="str">
        <f aca="false">IF(OR(B101="",C101="",D101=""),"",IFERROR(MATCH(B101,'ตั้งค่า Setup'!$C$26:$C$65,0)&amp;"."&amp;MATCH(C101,'ตั้งค่า Setup'!$C$68:$C$107,0)&amp;"."&amp;TEXT(COUNTIFS(B$7:B101,B101,C$7:C101,C101),"00"),"?"))</f>
        <v/>
      </c>
      <c r="B101" s="32"/>
      <c r="C101" s="32"/>
      <c r="D101" s="32"/>
      <c r="E101" s="23"/>
      <c r="F101" s="113"/>
      <c r="G101" s="115" t="n">
        <f aca="false">IF(D101="",0,IF(F101&lt;&gt;"",F101,IF(SUM($E$7:$E$156)&gt;0,N(E101)/SUM($E$7:$E$156),0)))</f>
        <v>0</v>
      </c>
      <c r="H101" s="182" t="str">
        <f aca="false">IF(D101="","",G101*'ตั้งค่า Setup'!$C$9)</f>
        <v/>
      </c>
      <c r="I101" s="24"/>
      <c r="J101" s="24"/>
      <c r="K101" s="117" t="str">
        <f aca="false">IF(OR(I101="",J101=""),"",J101-I101+1)</f>
        <v/>
      </c>
      <c r="L101" s="24"/>
      <c r="M101" s="24"/>
      <c r="N101" s="24"/>
      <c r="O101" s="24"/>
      <c r="P101" s="113"/>
      <c r="Q101" s="115" t="str">
        <f aca="false">IF(OR(D101="",I101="",J101=""),"",MAX(0,MIN(1,('ตั้งค่า Setup'!$C$15-I101+1)/(J101-I101+1))))</f>
        <v/>
      </c>
      <c r="R101" s="115" t="str">
        <f aca="false">IF(OR(D101="",AA101=0),"",MAX(0,MIN(1,('ตั้งค่า Setup'!$C$15-AA101+1)/(AB101-AA101+1))))</f>
        <v/>
      </c>
      <c r="S101" s="182" t="str">
        <f aca="false">IF(Q101="","",H101*Q101)</f>
        <v/>
      </c>
      <c r="T101" s="182" t="str">
        <f aca="false">IF(D101="","",H101*N(P101))</f>
        <v/>
      </c>
      <c r="U101" s="182" t="str">
        <f aca="false">IF(OR(S101="",T101=""),"",T101-S101)</f>
        <v/>
      </c>
      <c r="V101" s="183" t="str">
        <f aca="false">IF(OR(S101="",T101=""),"",IF(S101=0,"",T101/S101))</f>
        <v/>
      </c>
      <c r="W101" s="127" t="str">
        <f aca="false">IF(OR(D101="",AA101=0),"",IF(O101&lt;&gt;"",O101,IF(AND(N(P101)&gt;0,N101&lt;&gt;""),N101+ROUND((MAX('ตั้งค่า Setup'!$C$15,N101)-N101+1)/P101,0)-1,MAX(AB101,'ตั้งค่า Setup'!$C$15+AB101-AA101))))</f>
        <v/>
      </c>
      <c r="X101" s="184" t="str">
        <f aca="false">IF(OR(W101="",J101=""),"",W101-J101)</f>
        <v/>
      </c>
      <c r="Y101" s="117" t="str">
        <f aca="false">IF(OR(D101="",I101="",J101=""),"",IF(O101&lt;&gt;"",IF(O101&lt;=J101,"เสร็จ / Completed","เสร็จช้า / Completed Late"),IF(AND(N101="",'ตั้งค่า Setup'!$C$15&lt;AA101),"ยังไม่ถึงกำหนด / Not Due",IF(N(P101)&gt;=Q101,"ตามแผน / On Track",IF('ตั้งค่า Setup'!$C$15&gt;J101,"เกินกำหนด / Overdue","ล่าช้า / Behind")))))</f>
        <v/>
      </c>
      <c r="Z101" s="32"/>
      <c r="AA101" s="69" t="n">
        <f aca="false">IF(D101="",0,IF(L101&lt;&gt;"",L101,N(I101)))</f>
        <v>0</v>
      </c>
      <c r="AB101" s="69" t="n">
        <f aca="false">IF(D101="",0,IF(M101&lt;&gt;"",M101,N(J101)))</f>
        <v>0</v>
      </c>
      <c r="AC101" s="185" t="str">
        <f aca="false">IF(AND(D101&lt;&gt;"",O101="",ISNUMBER(X101)),X101+(1000-ROW())/1000000,"")</f>
        <v/>
      </c>
      <c r="AD101" s="185" t="n">
        <f aca="false">IF(AND(D101&lt;&gt;"",O101="",AA101&gt;0,AA101&lt;='ตั้งค่า Setup'!$C$15+'ตั้งค่า Setup'!$C$20),1,0)</f>
        <v>0</v>
      </c>
      <c r="AE101" s="185" t="str">
        <f aca="false">IF(AD101=1,SUM(AD$7:AD101),"")</f>
        <v/>
      </c>
    </row>
    <row r="102" customFormat="false" ht="15" hidden="false" customHeight="false" outlineLevel="0" collapsed="false">
      <c r="A102" s="181" t="str">
        <f aca="false">IF(OR(B102="",C102="",D102=""),"",IFERROR(MATCH(B102,'ตั้งค่า Setup'!$C$26:$C$65,0)&amp;"."&amp;MATCH(C102,'ตั้งค่า Setup'!$C$68:$C$107,0)&amp;"."&amp;TEXT(COUNTIFS(B$7:B102,B102,C$7:C102,C102),"00"),"?"))</f>
        <v/>
      </c>
      <c r="B102" s="32"/>
      <c r="C102" s="32"/>
      <c r="D102" s="32"/>
      <c r="E102" s="23"/>
      <c r="F102" s="113"/>
      <c r="G102" s="115" t="n">
        <f aca="false">IF(D102="",0,IF(F102&lt;&gt;"",F102,IF(SUM($E$7:$E$156)&gt;0,N(E102)/SUM($E$7:$E$156),0)))</f>
        <v>0</v>
      </c>
      <c r="H102" s="182" t="str">
        <f aca="false">IF(D102="","",G102*'ตั้งค่า Setup'!$C$9)</f>
        <v/>
      </c>
      <c r="I102" s="24"/>
      <c r="J102" s="24"/>
      <c r="K102" s="117" t="str">
        <f aca="false">IF(OR(I102="",J102=""),"",J102-I102+1)</f>
        <v/>
      </c>
      <c r="L102" s="24"/>
      <c r="M102" s="24"/>
      <c r="N102" s="24"/>
      <c r="O102" s="24"/>
      <c r="P102" s="113"/>
      <c r="Q102" s="115" t="str">
        <f aca="false">IF(OR(D102="",I102="",J102=""),"",MAX(0,MIN(1,('ตั้งค่า Setup'!$C$15-I102+1)/(J102-I102+1))))</f>
        <v/>
      </c>
      <c r="R102" s="115" t="str">
        <f aca="false">IF(OR(D102="",AA102=0),"",MAX(0,MIN(1,('ตั้งค่า Setup'!$C$15-AA102+1)/(AB102-AA102+1))))</f>
        <v/>
      </c>
      <c r="S102" s="182" t="str">
        <f aca="false">IF(Q102="","",H102*Q102)</f>
        <v/>
      </c>
      <c r="T102" s="182" t="str">
        <f aca="false">IF(D102="","",H102*N(P102))</f>
        <v/>
      </c>
      <c r="U102" s="182" t="str">
        <f aca="false">IF(OR(S102="",T102=""),"",T102-S102)</f>
        <v/>
      </c>
      <c r="V102" s="183" t="str">
        <f aca="false">IF(OR(S102="",T102=""),"",IF(S102=0,"",T102/S102))</f>
        <v/>
      </c>
      <c r="W102" s="127" t="str">
        <f aca="false">IF(OR(D102="",AA102=0),"",IF(O102&lt;&gt;"",O102,IF(AND(N(P102)&gt;0,N102&lt;&gt;""),N102+ROUND((MAX('ตั้งค่า Setup'!$C$15,N102)-N102+1)/P102,0)-1,MAX(AB102,'ตั้งค่า Setup'!$C$15+AB102-AA102))))</f>
        <v/>
      </c>
      <c r="X102" s="184" t="str">
        <f aca="false">IF(OR(W102="",J102=""),"",W102-J102)</f>
        <v/>
      </c>
      <c r="Y102" s="117" t="str">
        <f aca="false">IF(OR(D102="",I102="",J102=""),"",IF(O102&lt;&gt;"",IF(O102&lt;=J102,"เสร็จ / Completed","เสร็จช้า / Completed Late"),IF(AND(N102="",'ตั้งค่า Setup'!$C$15&lt;AA102),"ยังไม่ถึงกำหนด / Not Due",IF(N(P102)&gt;=Q102,"ตามแผน / On Track",IF('ตั้งค่า Setup'!$C$15&gt;J102,"เกินกำหนด / Overdue","ล่าช้า / Behind")))))</f>
        <v/>
      </c>
      <c r="Z102" s="32"/>
      <c r="AA102" s="69" t="n">
        <f aca="false">IF(D102="",0,IF(L102&lt;&gt;"",L102,N(I102)))</f>
        <v>0</v>
      </c>
      <c r="AB102" s="69" t="n">
        <f aca="false">IF(D102="",0,IF(M102&lt;&gt;"",M102,N(J102)))</f>
        <v>0</v>
      </c>
      <c r="AC102" s="185" t="str">
        <f aca="false">IF(AND(D102&lt;&gt;"",O102="",ISNUMBER(X102)),X102+(1000-ROW())/1000000,"")</f>
        <v/>
      </c>
      <c r="AD102" s="185" t="n">
        <f aca="false">IF(AND(D102&lt;&gt;"",O102="",AA102&gt;0,AA102&lt;='ตั้งค่า Setup'!$C$15+'ตั้งค่า Setup'!$C$20),1,0)</f>
        <v>0</v>
      </c>
      <c r="AE102" s="185" t="str">
        <f aca="false">IF(AD102=1,SUM(AD$7:AD102),"")</f>
        <v/>
      </c>
    </row>
    <row r="103" customFormat="false" ht="15" hidden="false" customHeight="false" outlineLevel="0" collapsed="false">
      <c r="A103" s="181" t="str">
        <f aca="false">IF(OR(B103="",C103="",D103=""),"",IFERROR(MATCH(B103,'ตั้งค่า Setup'!$C$26:$C$65,0)&amp;"."&amp;MATCH(C103,'ตั้งค่า Setup'!$C$68:$C$107,0)&amp;"."&amp;TEXT(COUNTIFS(B$7:B103,B103,C$7:C103,C103),"00"),"?"))</f>
        <v/>
      </c>
      <c r="B103" s="32"/>
      <c r="C103" s="32"/>
      <c r="D103" s="32"/>
      <c r="E103" s="23"/>
      <c r="F103" s="113"/>
      <c r="G103" s="115" t="n">
        <f aca="false">IF(D103="",0,IF(F103&lt;&gt;"",F103,IF(SUM($E$7:$E$156)&gt;0,N(E103)/SUM($E$7:$E$156),0)))</f>
        <v>0</v>
      </c>
      <c r="H103" s="182" t="str">
        <f aca="false">IF(D103="","",G103*'ตั้งค่า Setup'!$C$9)</f>
        <v/>
      </c>
      <c r="I103" s="24"/>
      <c r="J103" s="24"/>
      <c r="K103" s="117" t="str">
        <f aca="false">IF(OR(I103="",J103=""),"",J103-I103+1)</f>
        <v/>
      </c>
      <c r="L103" s="24"/>
      <c r="M103" s="24"/>
      <c r="N103" s="24"/>
      <c r="O103" s="24"/>
      <c r="P103" s="113"/>
      <c r="Q103" s="115" t="str">
        <f aca="false">IF(OR(D103="",I103="",J103=""),"",MAX(0,MIN(1,('ตั้งค่า Setup'!$C$15-I103+1)/(J103-I103+1))))</f>
        <v/>
      </c>
      <c r="R103" s="115" t="str">
        <f aca="false">IF(OR(D103="",AA103=0),"",MAX(0,MIN(1,('ตั้งค่า Setup'!$C$15-AA103+1)/(AB103-AA103+1))))</f>
        <v/>
      </c>
      <c r="S103" s="182" t="str">
        <f aca="false">IF(Q103="","",H103*Q103)</f>
        <v/>
      </c>
      <c r="T103" s="182" t="str">
        <f aca="false">IF(D103="","",H103*N(P103))</f>
        <v/>
      </c>
      <c r="U103" s="182" t="str">
        <f aca="false">IF(OR(S103="",T103=""),"",T103-S103)</f>
        <v/>
      </c>
      <c r="V103" s="183" t="str">
        <f aca="false">IF(OR(S103="",T103=""),"",IF(S103=0,"",T103/S103))</f>
        <v/>
      </c>
      <c r="W103" s="127" t="str">
        <f aca="false">IF(OR(D103="",AA103=0),"",IF(O103&lt;&gt;"",O103,IF(AND(N(P103)&gt;0,N103&lt;&gt;""),N103+ROUND((MAX('ตั้งค่า Setup'!$C$15,N103)-N103+1)/P103,0)-1,MAX(AB103,'ตั้งค่า Setup'!$C$15+AB103-AA103))))</f>
        <v/>
      </c>
      <c r="X103" s="184" t="str">
        <f aca="false">IF(OR(W103="",J103=""),"",W103-J103)</f>
        <v/>
      </c>
      <c r="Y103" s="117" t="str">
        <f aca="false">IF(OR(D103="",I103="",J103=""),"",IF(O103&lt;&gt;"",IF(O103&lt;=J103,"เสร็จ / Completed","เสร็จช้า / Completed Late"),IF(AND(N103="",'ตั้งค่า Setup'!$C$15&lt;AA103),"ยังไม่ถึงกำหนด / Not Due",IF(N(P103)&gt;=Q103,"ตามแผน / On Track",IF('ตั้งค่า Setup'!$C$15&gt;J103,"เกินกำหนด / Overdue","ล่าช้า / Behind")))))</f>
        <v/>
      </c>
      <c r="Z103" s="32"/>
      <c r="AA103" s="69" t="n">
        <f aca="false">IF(D103="",0,IF(L103&lt;&gt;"",L103,N(I103)))</f>
        <v>0</v>
      </c>
      <c r="AB103" s="69" t="n">
        <f aca="false">IF(D103="",0,IF(M103&lt;&gt;"",M103,N(J103)))</f>
        <v>0</v>
      </c>
      <c r="AC103" s="185" t="str">
        <f aca="false">IF(AND(D103&lt;&gt;"",O103="",ISNUMBER(X103)),X103+(1000-ROW())/1000000,"")</f>
        <v/>
      </c>
      <c r="AD103" s="185" t="n">
        <f aca="false">IF(AND(D103&lt;&gt;"",O103="",AA103&gt;0,AA103&lt;='ตั้งค่า Setup'!$C$15+'ตั้งค่า Setup'!$C$20),1,0)</f>
        <v>0</v>
      </c>
      <c r="AE103" s="185" t="str">
        <f aca="false">IF(AD103=1,SUM(AD$7:AD103),"")</f>
        <v/>
      </c>
    </row>
    <row r="104" customFormat="false" ht="15" hidden="false" customHeight="false" outlineLevel="0" collapsed="false">
      <c r="A104" s="181" t="str">
        <f aca="false">IF(OR(B104="",C104="",D104=""),"",IFERROR(MATCH(B104,'ตั้งค่า Setup'!$C$26:$C$65,0)&amp;"."&amp;MATCH(C104,'ตั้งค่า Setup'!$C$68:$C$107,0)&amp;"."&amp;TEXT(COUNTIFS(B$7:B104,B104,C$7:C104,C104),"00"),"?"))</f>
        <v/>
      </c>
      <c r="B104" s="32"/>
      <c r="C104" s="32"/>
      <c r="D104" s="32"/>
      <c r="E104" s="23"/>
      <c r="F104" s="113"/>
      <c r="G104" s="115" t="n">
        <f aca="false">IF(D104="",0,IF(F104&lt;&gt;"",F104,IF(SUM($E$7:$E$156)&gt;0,N(E104)/SUM($E$7:$E$156),0)))</f>
        <v>0</v>
      </c>
      <c r="H104" s="182" t="str">
        <f aca="false">IF(D104="","",G104*'ตั้งค่า Setup'!$C$9)</f>
        <v/>
      </c>
      <c r="I104" s="24"/>
      <c r="J104" s="24"/>
      <c r="K104" s="117" t="str">
        <f aca="false">IF(OR(I104="",J104=""),"",J104-I104+1)</f>
        <v/>
      </c>
      <c r="L104" s="24"/>
      <c r="M104" s="24"/>
      <c r="N104" s="24"/>
      <c r="O104" s="24"/>
      <c r="P104" s="113"/>
      <c r="Q104" s="115" t="str">
        <f aca="false">IF(OR(D104="",I104="",J104=""),"",MAX(0,MIN(1,('ตั้งค่า Setup'!$C$15-I104+1)/(J104-I104+1))))</f>
        <v/>
      </c>
      <c r="R104" s="115" t="str">
        <f aca="false">IF(OR(D104="",AA104=0),"",MAX(0,MIN(1,('ตั้งค่า Setup'!$C$15-AA104+1)/(AB104-AA104+1))))</f>
        <v/>
      </c>
      <c r="S104" s="182" t="str">
        <f aca="false">IF(Q104="","",H104*Q104)</f>
        <v/>
      </c>
      <c r="T104" s="182" t="str">
        <f aca="false">IF(D104="","",H104*N(P104))</f>
        <v/>
      </c>
      <c r="U104" s="182" t="str">
        <f aca="false">IF(OR(S104="",T104=""),"",T104-S104)</f>
        <v/>
      </c>
      <c r="V104" s="183" t="str">
        <f aca="false">IF(OR(S104="",T104=""),"",IF(S104=0,"",T104/S104))</f>
        <v/>
      </c>
      <c r="W104" s="127" t="str">
        <f aca="false">IF(OR(D104="",AA104=0),"",IF(O104&lt;&gt;"",O104,IF(AND(N(P104)&gt;0,N104&lt;&gt;""),N104+ROUND((MAX('ตั้งค่า Setup'!$C$15,N104)-N104+1)/P104,0)-1,MAX(AB104,'ตั้งค่า Setup'!$C$15+AB104-AA104))))</f>
        <v/>
      </c>
      <c r="X104" s="184" t="str">
        <f aca="false">IF(OR(W104="",J104=""),"",W104-J104)</f>
        <v/>
      </c>
      <c r="Y104" s="117" t="str">
        <f aca="false">IF(OR(D104="",I104="",J104=""),"",IF(O104&lt;&gt;"",IF(O104&lt;=J104,"เสร็จ / Completed","เสร็จช้า / Completed Late"),IF(AND(N104="",'ตั้งค่า Setup'!$C$15&lt;AA104),"ยังไม่ถึงกำหนด / Not Due",IF(N(P104)&gt;=Q104,"ตามแผน / On Track",IF('ตั้งค่า Setup'!$C$15&gt;J104,"เกินกำหนด / Overdue","ล่าช้า / Behind")))))</f>
        <v/>
      </c>
      <c r="Z104" s="32"/>
      <c r="AA104" s="69" t="n">
        <f aca="false">IF(D104="",0,IF(L104&lt;&gt;"",L104,N(I104)))</f>
        <v>0</v>
      </c>
      <c r="AB104" s="69" t="n">
        <f aca="false">IF(D104="",0,IF(M104&lt;&gt;"",M104,N(J104)))</f>
        <v>0</v>
      </c>
      <c r="AC104" s="185" t="str">
        <f aca="false">IF(AND(D104&lt;&gt;"",O104="",ISNUMBER(X104)),X104+(1000-ROW())/1000000,"")</f>
        <v/>
      </c>
      <c r="AD104" s="185" t="n">
        <f aca="false">IF(AND(D104&lt;&gt;"",O104="",AA104&gt;0,AA104&lt;='ตั้งค่า Setup'!$C$15+'ตั้งค่า Setup'!$C$20),1,0)</f>
        <v>0</v>
      </c>
      <c r="AE104" s="185" t="str">
        <f aca="false">IF(AD104=1,SUM(AD$7:AD104),"")</f>
        <v/>
      </c>
    </row>
    <row r="105" customFormat="false" ht="15" hidden="false" customHeight="false" outlineLevel="0" collapsed="false">
      <c r="A105" s="181" t="str">
        <f aca="false">IF(OR(B105="",C105="",D105=""),"",IFERROR(MATCH(B105,'ตั้งค่า Setup'!$C$26:$C$65,0)&amp;"."&amp;MATCH(C105,'ตั้งค่า Setup'!$C$68:$C$107,0)&amp;"."&amp;TEXT(COUNTIFS(B$7:B105,B105,C$7:C105,C105),"00"),"?"))</f>
        <v/>
      </c>
      <c r="B105" s="32"/>
      <c r="C105" s="32"/>
      <c r="D105" s="32"/>
      <c r="E105" s="23"/>
      <c r="F105" s="113"/>
      <c r="G105" s="115" t="n">
        <f aca="false">IF(D105="",0,IF(F105&lt;&gt;"",F105,IF(SUM($E$7:$E$156)&gt;0,N(E105)/SUM($E$7:$E$156),0)))</f>
        <v>0</v>
      </c>
      <c r="H105" s="182" t="str">
        <f aca="false">IF(D105="","",G105*'ตั้งค่า Setup'!$C$9)</f>
        <v/>
      </c>
      <c r="I105" s="24"/>
      <c r="J105" s="24"/>
      <c r="K105" s="117" t="str">
        <f aca="false">IF(OR(I105="",J105=""),"",J105-I105+1)</f>
        <v/>
      </c>
      <c r="L105" s="24"/>
      <c r="M105" s="24"/>
      <c r="N105" s="24"/>
      <c r="O105" s="24"/>
      <c r="P105" s="113"/>
      <c r="Q105" s="115" t="str">
        <f aca="false">IF(OR(D105="",I105="",J105=""),"",MAX(0,MIN(1,('ตั้งค่า Setup'!$C$15-I105+1)/(J105-I105+1))))</f>
        <v/>
      </c>
      <c r="R105" s="115" t="str">
        <f aca="false">IF(OR(D105="",AA105=0),"",MAX(0,MIN(1,('ตั้งค่า Setup'!$C$15-AA105+1)/(AB105-AA105+1))))</f>
        <v/>
      </c>
      <c r="S105" s="182" t="str">
        <f aca="false">IF(Q105="","",H105*Q105)</f>
        <v/>
      </c>
      <c r="T105" s="182" t="str">
        <f aca="false">IF(D105="","",H105*N(P105))</f>
        <v/>
      </c>
      <c r="U105" s="182" t="str">
        <f aca="false">IF(OR(S105="",T105=""),"",T105-S105)</f>
        <v/>
      </c>
      <c r="V105" s="183" t="str">
        <f aca="false">IF(OR(S105="",T105=""),"",IF(S105=0,"",T105/S105))</f>
        <v/>
      </c>
      <c r="W105" s="127" t="str">
        <f aca="false">IF(OR(D105="",AA105=0),"",IF(O105&lt;&gt;"",O105,IF(AND(N(P105)&gt;0,N105&lt;&gt;""),N105+ROUND((MAX('ตั้งค่า Setup'!$C$15,N105)-N105+1)/P105,0)-1,MAX(AB105,'ตั้งค่า Setup'!$C$15+AB105-AA105))))</f>
        <v/>
      </c>
      <c r="X105" s="184" t="str">
        <f aca="false">IF(OR(W105="",J105=""),"",W105-J105)</f>
        <v/>
      </c>
      <c r="Y105" s="117" t="str">
        <f aca="false">IF(OR(D105="",I105="",J105=""),"",IF(O105&lt;&gt;"",IF(O105&lt;=J105,"เสร็จ / Completed","เสร็จช้า / Completed Late"),IF(AND(N105="",'ตั้งค่า Setup'!$C$15&lt;AA105),"ยังไม่ถึงกำหนด / Not Due",IF(N(P105)&gt;=Q105,"ตามแผน / On Track",IF('ตั้งค่า Setup'!$C$15&gt;J105,"เกินกำหนด / Overdue","ล่าช้า / Behind")))))</f>
        <v/>
      </c>
      <c r="Z105" s="32"/>
      <c r="AA105" s="69" t="n">
        <f aca="false">IF(D105="",0,IF(L105&lt;&gt;"",L105,N(I105)))</f>
        <v>0</v>
      </c>
      <c r="AB105" s="69" t="n">
        <f aca="false">IF(D105="",0,IF(M105&lt;&gt;"",M105,N(J105)))</f>
        <v>0</v>
      </c>
      <c r="AC105" s="185" t="str">
        <f aca="false">IF(AND(D105&lt;&gt;"",O105="",ISNUMBER(X105)),X105+(1000-ROW())/1000000,"")</f>
        <v/>
      </c>
      <c r="AD105" s="185" t="n">
        <f aca="false">IF(AND(D105&lt;&gt;"",O105="",AA105&gt;0,AA105&lt;='ตั้งค่า Setup'!$C$15+'ตั้งค่า Setup'!$C$20),1,0)</f>
        <v>0</v>
      </c>
      <c r="AE105" s="185" t="str">
        <f aca="false">IF(AD105=1,SUM(AD$7:AD105),"")</f>
        <v/>
      </c>
    </row>
    <row r="106" customFormat="false" ht="15" hidden="false" customHeight="false" outlineLevel="0" collapsed="false">
      <c r="A106" s="181" t="str">
        <f aca="false">IF(OR(B106="",C106="",D106=""),"",IFERROR(MATCH(B106,'ตั้งค่า Setup'!$C$26:$C$65,0)&amp;"."&amp;MATCH(C106,'ตั้งค่า Setup'!$C$68:$C$107,0)&amp;"."&amp;TEXT(COUNTIFS(B$7:B106,B106,C$7:C106,C106),"00"),"?"))</f>
        <v/>
      </c>
      <c r="B106" s="32"/>
      <c r="C106" s="32"/>
      <c r="D106" s="32"/>
      <c r="E106" s="23"/>
      <c r="F106" s="113"/>
      <c r="G106" s="115" t="n">
        <f aca="false">IF(D106="",0,IF(F106&lt;&gt;"",F106,IF(SUM($E$7:$E$156)&gt;0,N(E106)/SUM($E$7:$E$156),0)))</f>
        <v>0</v>
      </c>
      <c r="H106" s="182" t="str">
        <f aca="false">IF(D106="","",G106*'ตั้งค่า Setup'!$C$9)</f>
        <v/>
      </c>
      <c r="I106" s="24"/>
      <c r="J106" s="24"/>
      <c r="K106" s="117" t="str">
        <f aca="false">IF(OR(I106="",J106=""),"",J106-I106+1)</f>
        <v/>
      </c>
      <c r="L106" s="24"/>
      <c r="M106" s="24"/>
      <c r="N106" s="24"/>
      <c r="O106" s="24"/>
      <c r="P106" s="113"/>
      <c r="Q106" s="115" t="str">
        <f aca="false">IF(OR(D106="",I106="",J106=""),"",MAX(0,MIN(1,('ตั้งค่า Setup'!$C$15-I106+1)/(J106-I106+1))))</f>
        <v/>
      </c>
      <c r="R106" s="115" t="str">
        <f aca="false">IF(OR(D106="",AA106=0),"",MAX(0,MIN(1,('ตั้งค่า Setup'!$C$15-AA106+1)/(AB106-AA106+1))))</f>
        <v/>
      </c>
      <c r="S106" s="182" t="str">
        <f aca="false">IF(Q106="","",H106*Q106)</f>
        <v/>
      </c>
      <c r="T106" s="182" t="str">
        <f aca="false">IF(D106="","",H106*N(P106))</f>
        <v/>
      </c>
      <c r="U106" s="182" t="str">
        <f aca="false">IF(OR(S106="",T106=""),"",T106-S106)</f>
        <v/>
      </c>
      <c r="V106" s="183" t="str">
        <f aca="false">IF(OR(S106="",T106=""),"",IF(S106=0,"",T106/S106))</f>
        <v/>
      </c>
      <c r="W106" s="127" t="str">
        <f aca="false">IF(OR(D106="",AA106=0),"",IF(O106&lt;&gt;"",O106,IF(AND(N(P106)&gt;0,N106&lt;&gt;""),N106+ROUND((MAX('ตั้งค่า Setup'!$C$15,N106)-N106+1)/P106,0)-1,MAX(AB106,'ตั้งค่า Setup'!$C$15+AB106-AA106))))</f>
        <v/>
      </c>
      <c r="X106" s="184" t="str">
        <f aca="false">IF(OR(W106="",J106=""),"",W106-J106)</f>
        <v/>
      </c>
      <c r="Y106" s="117" t="str">
        <f aca="false">IF(OR(D106="",I106="",J106=""),"",IF(O106&lt;&gt;"",IF(O106&lt;=J106,"เสร็จ / Completed","เสร็จช้า / Completed Late"),IF(AND(N106="",'ตั้งค่า Setup'!$C$15&lt;AA106),"ยังไม่ถึงกำหนด / Not Due",IF(N(P106)&gt;=Q106,"ตามแผน / On Track",IF('ตั้งค่า Setup'!$C$15&gt;J106,"เกินกำหนด / Overdue","ล่าช้า / Behind")))))</f>
        <v/>
      </c>
      <c r="Z106" s="32"/>
      <c r="AA106" s="69" t="n">
        <f aca="false">IF(D106="",0,IF(L106&lt;&gt;"",L106,N(I106)))</f>
        <v>0</v>
      </c>
      <c r="AB106" s="69" t="n">
        <f aca="false">IF(D106="",0,IF(M106&lt;&gt;"",M106,N(J106)))</f>
        <v>0</v>
      </c>
      <c r="AC106" s="185" t="str">
        <f aca="false">IF(AND(D106&lt;&gt;"",O106="",ISNUMBER(X106)),X106+(1000-ROW())/1000000,"")</f>
        <v/>
      </c>
      <c r="AD106" s="185" t="n">
        <f aca="false">IF(AND(D106&lt;&gt;"",O106="",AA106&gt;0,AA106&lt;='ตั้งค่า Setup'!$C$15+'ตั้งค่า Setup'!$C$20),1,0)</f>
        <v>0</v>
      </c>
      <c r="AE106" s="185" t="str">
        <f aca="false">IF(AD106=1,SUM(AD$7:AD106),"")</f>
        <v/>
      </c>
    </row>
    <row r="107" customFormat="false" ht="15" hidden="false" customHeight="false" outlineLevel="0" collapsed="false">
      <c r="A107" s="181" t="str">
        <f aca="false">IF(OR(B107="",C107="",D107=""),"",IFERROR(MATCH(B107,'ตั้งค่า Setup'!$C$26:$C$65,0)&amp;"."&amp;MATCH(C107,'ตั้งค่า Setup'!$C$68:$C$107,0)&amp;"."&amp;TEXT(COUNTIFS(B$7:B107,B107,C$7:C107,C107),"00"),"?"))</f>
        <v/>
      </c>
      <c r="B107" s="32"/>
      <c r="C107" s="32"/>
      <c r="D107" s="32"/>
      <c r="E107" s="23"/>
      <c r="F107" s="113"/>
      <c r="G107" s="115" t="n">
        <f aca="false">IF(D107="",0,IF(F107&lt;&gt;"",F107,IF(SUM($E$7:$E$156)&gt;0,N(E107)/SUM($E$7:$E$156),0)))</f>
        <v>0</v>
      </c>
      <c r="H107" s="182" t="str">
        <f aca="false">IF(D107="","",G107*'ตั้งค่า Setup'!$C$9)</f>
        <v/>
      </c>
      <c r="I107" s="24"/>
      <c r="J107" s="24"/>
      <c r="K107" s="117" t="str">
        <f aca="false">IF(OR(I107="",J107=""),"",J107-I107+1)</f>
        <v/>
      </c>
      <c r="L107" s="24"/>
      <c r="M107" s="24"/>
      <c r="N107" s="24"/>
      <c r="O107" s="24"/>
      <c r="P107" s="113"/>
      <c r="Q107" s="115" t="str">
        <f aca="false">IF(OR(D107="",I107="",J107=""),"",MAX(0,MIN(1,('ตั้งค่า Setup'!$C$15-I107+1)/(J107-I107+1))))</f>
        <v/>
      </c>
      <c r="R107" s="115" t="str">
        <f aca="false">IF(OR(D107="",AA107=0),"",MAX(0,MIN(1,('ตั้งค่า Setup'!$C$15-AA107+1)/(AB107-AA107+1))))</f>
        <v/>
      </c>
      <c r="S107" s="182" t="str">
        <f aca="false">IF(Q107="","",H107*Q107)</f>
        <v/>
      </c>
      <c r="T107" s="182" t="str">
        <f aca="false">IF(D107="","",H107*N(P107))</f>
        <v/>
      </c>
      <c r="U107" s="182" t="str">
        <f aca="false">IF(OR(S107="",T107=""),"",T107-S107)</f>
        <v/>
      </c>
      <c r="V107" s="183" t="str">
        <f aca="false">IF(OR(S107="",T107=""),"",IF(S107=0,"",T107/S107))</f>
        <v/>
      </c>
      <c r="W107" s="127" t="str">
        <f aca="false">IF(OR(D107="",AA107=0),"",IF(O107&lt;&gt;"",O107,IF(AND(N(P107)&gt;0,N107&lt;&gt;""),N107+ROUND((MAX('ตั้งค่า Setup'!$C$15,N107)-N107+1)/P107,0)-1,MAX(AB107,'ตั้งค่า Setup'!$C$15+AB107-AA107))))</f>
        <v/>
      </c>
      <c r="X107" s="184" t="str">
        <f aca="false">IF(OR(W107="",J107=""),"",W107-J107)</f>
        <v/>
      </c>
      <c r="Y107" s="117" t="str">
        <f aca="false">IF(OR(D107="",I107="",J107=""),"",IF(O107&lt;&gt;"",IF(O107&lt;=J107,"เสร็จ / Completed","เสร็จช้า / Completed Late"),IF(AND(N107="",'ตั้งค่า Setup'!$C$15&lt;AA107),"ยังไม่ถึงกำหนด / Not Due",IF(N(P107)&gt;=Q107,"ตามแผน / On Track",IF('ตั้งค่า Setup'!$C$15&gt;J107,"เกินกำหนด / Overdue","ล่าช้า / Behind")))))</f>
        <v/>
      </c>
      <c r="Z107" s="32"/>
      <c r="AA107" s="69" t="n">
        <f aca="false">IF(D107="",0,IF(L107&lt;&gt;"",L107,N(I107)))</f>
        <v>0</v>
      </c>
      <c r="AB107" s="69" t="n">
        <f aca="false">IF(D107="",0,IF(M107&lt;&gt;"",M107,N(J107)))</f>
        <v>0</v>
      </c>
      <c r="AC107" s="185" t="str">
        <f aca="false">IF(AND(D107&lt;&gt;"",O107="",ISNUMBER(X107)),X107+(1000-ROW())/1000000,"")</f>
        <v/>
      </c>
      <c r="AD107" s="185" t="n">
        <f aca="false">IF(AND(D107&lt;&gt;"",O107="",AA107&gt;0,AA107&lt;='ตั้งค่า Setup'!$C$15+'ตั้งค่า Setup'!$C$20),1,0)</f>
        <v>0</v>
      </c>
      <c r="AE107" s="185" t="str">
        <f aca="false">IF(AD107=1,SUM(AD$7:AD107),"")</f>
        <v/>
      </c>
    </row>
    <row r="108" customFormat="false" ht="15" hidden="false" customHeight="false" outlineLevel="0" collapsed="false">
      <c r="A108" s="181" t="str">
        <f aca="false">IF(OR(B108="",C108="",D108=""),"",IFERROR(MATCH(B108,'ตั้งค่า Setup'!$C$26:$C$65,0)&amp;"."&amp;MATCH(C108,'ตั้งค่า Setup'!$C$68:$C$107,0)&amp;"."&amp;TEXT(COUNTIFS(B$7:B108,B108,C$7:C108,C108),"00"),"?"))</f>
        <v/>
      </c>
      <c r="B108" s="32"/>
      <c r="C108" s="32"/>
      <c r="D108" s="32"/>
      <c r="E108" s="23"/>
      <c r="F108" s="113"/>
      <c r="G108" s="115" t="n">
        <f aca="false">IF(D108="",0,IF(F108&lt;&gt;"",F108,IF(SUM($E$7:$E$156)&gt;0,N(E108)/SUM($E$7:$E$156),0)))</f>
        <v>0</v>
      </c>
      <c r="H108" s="182" t="str">
        <f aca="false">IF(D108="","",G108*'ตั้งค่า Setup'!$C$9)</f>
        <v/>
      </c>
      <c r="I108" s="24"/>
      <c r="J108" s="24"/>
      <c r="K108" s="117" t="str">
        <f aca="false">IF(OR(I108="",J108=""),"",J108-I108+1)</f>
        <v/>
      </c>
      <c r="L108" s="24"/>
      <c r="M108" s="24"/>
      <c r="N108" s="24"/>
      <c r="O108" s="24"/>
      <c r="P108" s="113"/>
      <c r="Q108" s="115" t="str">
        <f aca="false">IF(OR(D108="",I108="",J108=""),"",MAX(0,MIN(1,('ตั้งค่า Setup'!$C$15-I108+1)/(J108-I108+1))))</f>
        <v/>
      </c>
      <c r="R108" s="115" t="str">
        <f aca="false">IF(OR(D108="",AA108=0),"",MAX(0,MIN(1,('ตั้งค่า Setup'!$C$15-AA108+1)/(AB108-AA108+1))))</f>
        <v/>
      </c>
      <c r="S108" s="182" t="str">
        <f aca="false">IF(Q108="","",H108*Q108)</f>
        <v/>
      </c>
      <c r="T108" s="182" t="str">
        <f aca="false">IF(D108="","",H108*N(P108))</f>
        <v/>
      </c>
      <c r="U108" s="182" t="str">
        <f aca="false">IF(OR(S108="",T108=""),"",T108-S108)</f>
        <v/>
      </c>
      <c r="V108" s="183" t="str">
        <f aca="false">IF(OR(S108="",T108=""),"",IF(S108=0,"",T108/S108))</f>
        <v/>
      </c>
      <c r="W108" s="127" t="str">
        <f aca="false">IF(OR(D108="",AA108=0),"",IF(O108&lt;&gt;"",O108,IF(AND(N(P108)&gt;0,N108&lt;&gt;""),N108+ROUND((MAX('ตั้งค่า Setup'!$C$15,N108)-N108+1)/P108,0)-1,MAX(AB108,'ตั้งค่า Setup'!$C$15+AB108-AA108))))</f>
        <v/>
      </c>
      <c r="X108" s="184" t="str">
        <f aca="false">IF(OR(W108="",J108=""),"",W108-J108)</f>
        <v/>
      </c>
      <c r="Y108" s="117" t="str">
        <f aca="false">IF(OR(D108="",I108="",J108=""),"",IF(O108&lt;&gt;"",IF(O108&lt;=J108,"เสร็จ / Completed","เสร็จช้า / Completed Late"),IF(AND(N108="",'ตั้งค่า Setup'!$C$15&lt;AA108),"ยังไม่ถึงกำหนด / Not Due",IF(N(P108)&gt;=Q108,"ตามแผน / On Track",IF('ตั้งค่า Setup'!$C$15&gt;J108,"เกินกำหนด / Overdue","ล่าช้า / Behind")))))</f>
        <v/>
      </c>
      <c r="Z108" s="32"/>
      <c r="AA108" s="69" t="n">
        <f aca="false">IF(D108="",0,IF(L108&lt;&gt;"",L108,N(I108)))</f>
        <v>0</v>
      </c>
      <c r="AB108" s="69" t="n">
        <f aca="false">IF(D108="",0,IF(M108&lt;&gt;"",M108,N(J108)))</f>
        <v>0</v>
      </c>
      <c r="AC108" s="185" t="str">
        <f aca="false">IF(AND(D108&lt;&gt;"",O108="",ISNUMBER(X108)),X108+(1000-ROW())/1000000,"")</f>
        <v/>
      </c>
      <c r="AD108" s="185" t="n">
        <f aca="false">IF(AND(D108&lt;&gt;"",O108="",AA108&gt;0,AA108&lt;='ตั้งค่า Setup'!$C$15+'ตั้งค่า Setup'!$C$20),1,0)</f>
        <v>0</v>
      </c>
      <c r="AE108" s="185" t="str">
        <f aca="false">IF(AD108=1,SUM(AD$7:AD108),"")</f>
        <v/>
      </c>
    </row>
    <row r="109" customFormat="false" ht="15" hidden="false" customHeight="false" outlineLevel="0" collapsed="false">
      <c r="A109" s="181" t="str">
        <f aca="false">IF(OR(B109="",C109="",D109=""),"",IFERROR(MATCH(B109,'ตั้งค่า Setup'!$C$26:$C$65,0)&amp;"."&amp;MATCH(C109,'ตั้งค่า Setup'!$C$68:$C$107,0)&amp;"."&amp;TEXT(COUNTIFS(B$7:B109,B109,C$7:C109,C109),"00"),"?"))</f>
        <v/>
      </c>
      <c r="B109" s="32"/>
      <c r="C109" s="32"/>
      <c r="D109" s="32"/>
      <c r="E109" s="23"/>
      <c r="F109" s="113"/>
      <c r="G109" s="115" t="n">
        <f aca="false">IF(D109="",0,IF(F109&lt;&gt;"",F109,IF(SUM($E$7:$E$156)&gt;0,N(E109)/SUM($E$7:$E$156),0)))</f>
        <v>0</v>
      </c>
      <c r="H109" s="182" t="str">
        <f aca="false">IF(D109="","",G109*'ตั้งค่า Setup'!$C$9)</f>
        <v/>
      </c>
      <c r="I109" s="24"/>
      <c r="J109" s="24"/>
      <c r="K109" s="117" t="str">
        <f aca="false">IF(OR(I109="",J109=""),"",J109-I109+1)</f>
        <v/>
      </c>
      <c r="L109" s="24"/>
      <c r="M109" s="24"/>
      <c r="N109" s="24"/>
      <c r="O109" s="24"/>
      <c r="P109" s="113"/>
      <c r="Q109" s="115" t="str">
        <f aca="false">IF(OR(D109="",I109="",J109=""),"",MAX(0,MIN(1,('ตั้งค่า Setup'!$C$15-I109+1)/(J109-I109+1))))</f>
        <v/>
      </c>
      <c r="R109" s="115" t="str">
        <f aca="false">IF(OR(D109="",AA109=0),"",MAX(0,MIN(1,('ตั้งค่า Setup'!$C$15-AA109+1)/(AB109-AA109+1))))</f>
        <v/>
      </c>
      <c r="S109" s="182" t="str">
        <f aca="false">IF(Q109="","",H109*Q109)</f>
        <v/>
      </c>
      <c r="T109" s="182" t="str">
        <f aca="false">IF(D109="","",H109*N(P109))</f>
        <v/>
      </c>
      <c r="U109" s="182" t="str">
        <f aca="false">IF(OR(S109="",T109=""),"",T109-S109)</f>
        <v/>
      </c>
      <c r="V109" s="183" t="str">
        <f aca="false">IF(OR(S109="",T109=""),"",IF(S109=0,"",T109/S109))</f>
        <v/>
      </c>
      <c r="W109" s="127" t="str">
        <f aca="false">IF(OR(D109="",AA109=0),"",IF(O109&lt;&gt;"",O109,IF(AND(N(P109)&gt;0,N109&lt;&gt;""),N109+ROUND((MAX('ตั้งค่า Setup'!$C$15,N109)-N109+1)/P109,0)-1,MAX(AB109,'ตั้งค่า Setup'!$C$15+AB109-AA109))))</f>
        <v/>
      </c>
      <c r="X109" s="184" t="str">
        <f aca="false">IF(OR(W109="",J109=""),"",W109-J109)</f>
        <v/>
      </c>
      <c r="Y109" s="117" t="str">
        <f aca="false">IF(OR(D109="",I109="",J109=""),"",IF(O109&lt;&gt;"",IF(O109&lt;=J109,"เสร็จ / Completed","เสร็จช้า / Completed Late"),IF(AND(N109="",'ตั้งค่า Setup'!$C$15&lt;AA109),"ยังไม่ถึงกำหนด / Not Due",IF(N(P109)&gt;=Q109,"ตามแผน / On Track",IF('ตั้งค่า Setup'!$C$15&gt;J109,"เกินกำหนด / Overdue","ล่าช้า / Behind")))))</f>
        <v/>
      </c>
      <c r="Z109" s="32"/>
      <c r="AA109" s="69" t="n">
        <f aca="false">IF(D109="",0,IF(L109&lt;&gt;"",L109,N(I109)))</f>
        <v>0</v>
      </c>
      <c r="AB109" s="69" t="n">
        <f aca="false">IF(D109="",0,IF(M109&lt;&gt;"",M109,N(J109)))</f>
        <v>0</v>
      </c>
      <c r="AC109" s="185" t="str">
        <f aca="false">IF(AND(D109&lt;&gt;"",O109="",ISNUMBER(X109)),X109+(1000-ROW())/1000000,"")</f>
        <v/>
      </c>
      <c r="AD109" s="185" t="n">
        <f aca="false">IF(AND(D109&lt;&gt;"",O109="",AA109&gt;0,AA109&lt;='ตั้งค่า Setup'!$C$15+'ตั้งค่า Setup'!$C$20),1,0)</f>
        <v>0</v>
      </c>
      <c r="AE109" s="185" t="str">
        <f aca="false">IF(AD109=1,SUM(AD$7:AD109),"")</f>
        <v/>
      </c>
    </row>
    <row r="110" customFormat="false" ht="15" hidden="false" customHeight="false" outlineLevel="0" collapsed="false">
      <c r="A110" s="181" t="str">
        <f aca="false">IF(OR(B110="",C110="",D110=""),"",IFERROR(MATCH(B110,'ตั้งค่า Setup'!$C$26:$C$65,0)&amp;"."&amp;MATCH(C110,'ตั้งค่า Setup'!$C$68:$C$107,0)&amp;"."&amp;TEXT(COUNTIFS(B$7:B110,B110,C$7:C110,C110),"00"),"?"))</f>
        <v/>
      </c>
      <c r="B110" s="32"/>
      <c r="C110" s="32"/>
      <c r="D110" s="32"/>
      <c r="E110" s="23"/>
      <c r="F110" s="113"/>
      <c r="G110" s="115" t="n">
        <f aca="false">IF(D110="",0,IF(F110&lt;&gt;"",F110,IF(SUM($E$7:$E$156)&gt;0,N(E110)/SUM($E$7:$E$156),0)))</f>
        <v>0</v>
      </c>
      <c r="H110" s="182" t="str">
        <f aca="false">IF(D110="","",G110*'ตั้งค่า Setup'!$C$9)</f>
        <v/>
      </c>
      <c r="I110" s="24"/>
      <c r="J110" s="24"/>
      <c r="K110" s="117" t="str">
        <f aca="false">IF(OR(I110="",J110=""),"",J110-I110+1)</f>
        <v/>
      </c>
      <c r="L110" s="24"/>
      <c r="M110" s="24"/>
      <c r="N110" s="24"/>
      <c r="O110" s="24"/>
      <c r="P110" s="113"/>
      <c r="Q110" s="115" t="str">
        <f aca="false">IF(OR(D110="",I110="",J110=""),"",MAX(0,MIN(1,('ตั้งค่า Setup'!$C$15-I110+1)/(J110-I110+1))))</f>
        <v/>
      </c>
      <c r="R110" s="115" t="str">
        <f aca="false">IF(OR(D110="",AA110=0),"",MAX(0,MIN(1,('ตั้งค่า Setup'!$C$15-AA110+1)/(AB110-AA110+1))))</f>
        <v/>
      </c>
      <c r="S110" s="182" t="str">
        <f aca="false">IF(Q110="","",H110*Q110)</f>
        <v/>
      </c>
      <c r="T110" s="182" t="str">
        <f aca="false">IF(D110="","",H110*N(P110))</f>
        <v/>
      </c>
      <c r="U110" s="182" t="str">
        <f aca="false">IF(OR(S110="",T110=""),"",T110-S110)</f>
        <v/>
      </c>
      <c r="V110" s="183" t="str">
        <f aca="false">IF(OR(S110="",T110=""),"",IF(S110=0,"",T110/S110))</f>
        <v/>
      </c>
      <c r="W110" s="127" t="str">
        <f aca="false">IF(OR(D110="",AA110=0),"",IF(O110&lt;&gt;"",O110,IF(AND(N(P110)&gt;0,N110&lt;&gt;""),N110+ROUND((MAX('ตั้งค่า Setup'!$C$15,N110)-N110+1)/P110,0)-1,MAX(AB110,'ตั้งค่า Setup'!$C$15+AB110-AA110))))</f>
        <v/>
      </c>
      <c r="X110" s="184" t="str">
        <f aca="false">IF(OR(W110="",J110=""),"",W110-J110)</f>
        <v/>
      </c>
      <c r="Y110" s="117" t="str">
        <f aca="false">IF(OR(D110="",I110="",J110=""),"",IF(O110&lt;&gt;"",IF(O110&lt;=J110,"เสร็จ / Completed","เสร็จช้า / Completed Late"),IF(AND(N110="",'ตั้งค่า Setup'!$C$15&lt;AA110),"ยังไม่ถึงกำหนด / Not Due",IF(N(P110)&gt;=Q110,"ตามแผน / On Track",IF('ตั้งค่า Setup'!$C$15&gt;J110,"เกินกำหนด / Overdue","ล่าช้า / Behind")))))</f>
        <v/>
      </c>
      <c r="Z110" s="32"/>
      <c r="AA110" s="69" t="n">
        <f aca="false">IF(D110="",0,IF(L110&lt;&gt;"",L110,N(I110)))</f>
        <v>0</v>
      </c>
      <c r="AB110" s="69" t="n">
        <f aca="false">IF(D110="",0,IF(M110&lt;&gt;"",M110,N(J110)))</f>
        <v>0</v>
      </c>
      <c r="AC110" s="185" t="str">
        <f aca="false">IF(AND(D110&lt;&gt;"",O110="",ISNUMBER(X110)),X110+(1000-ROW())/1000000,"")</f>
        <v/>
      </c>
      <c r="AD110" s="185" t="n">
        <f aca="false">IF(AND(D110&lt;&gt;"",O110="",AA110&gt;0,AA110&lt;='ตั้งค่า Setup'!$C$15+'ตั้งค่า Setup'!$C$20),1,0)</f>
        <v>0</v>
      </c>
      <c r="AE110" s="185" t="str">
        <f aca="false">IF(AD110=1,SUM(AD$7:AD110),"")</f>
        <v/>
      </c>
    </row>
    <row r="111" customFormat="false" ht="15" hidden="false" customHeight="false" outlineLevel="0" collapsed="false">
      <c r="A111" s="181" t="str">
        <f aca="false">IF(OR(B111="",C111="",D111=""),"",IFERROR(MATCH(B111,'ตั้งค่า Setup'!$C$26:$C$65,0)&amp;"."&amp;MATCH(C111,'ตั้งค่า Setup'!$C$68:$C$107,0)&amp;"."&amp;TEXT(COUNTIFS(B$7:B111,B111,C$7:C111,C111),"00"),"?"))</f>
        <v/>
      </c>
      <c r="B111" s="32"/>
      <c r="C111" s="32"/>
      <c r="D111" s="32"/>
      <c r="E111" s="23"/>
      <c r="F111" s="113"/>
      <c r="G111" s="115" t="n">
        <f aca="false">IF(D111="",0,IF(F111&lt;&gt;"",F111,IF(SUM($E$7:$E$156)&gt;0,N(E111)/SUM($E$7:$E$156),0)))</f>
        <v>0</v>
      </c>
      <c r="H111" s="182" t="str">
        <f aca="false">IF(D111="","",G111*'ตั้งค่า Setup'!$C$9)</f>
        <v/>
      </c>
      <c r="I111" s="24"/>
      <c r="J111" s="24"/>
      <c r="K111" s="117" t="str">
        <f aca="false">IF(OR(I111="",J111=""),"",J111-I111+1)</f>
        <v/>
      </c>
      <c r="L111" s="24"/>
      <c r="M111" s="24"/>
      <c r="N111" s="24"/>
      <c r="O111" s="24"/>
      <c r="P111" s="113"/>
      <c r="Q111" s="115" t="str">
        <f aca="false">IF(OR(D111="",I111="",J111=""),"",MAX(0,MIN(1,('ตั้งค่า Setup'!$C$15-I111+1)/(J111-I111+1))))</f>
        <v/>
      </c>
      <c r="R111" s="115" t="str">
        <f aca="false">IF(OR(D111="",AA111=0),"",MAX(0,MIN(1,('ตั้งค่า Setup'!$C$15-AA111+1)/(AB111-AA111+1))))</f>
        <v/>
      </c>
      <c r="S111" s="182" t="str">
        <f aca="false">IF(Q111="","",H111*Q111)</f>
        <v/>
      </c>
      <c r="T111" s="182" t="str">
        <f aca="false">IF(D111="","",H111*N(P111))</f>
        <v/>
      </c>
      <c r="U111" s="182" t="str">
        <f aca="false">IF(OR(S111="",T111=""),"",T111-S111)</f>
        <v/>
      </c>
      <c r="V111" s="183" t="str">
        <f aca="false">IF(OR(S111="",T111=""),"",IF(S111=0,"",T111/S111))</f>
        <v/>
      </c>
      <c r="W111" s="127" t="str">
        <f aca="false">IF(OR(D111="",AA111=0),"",IF(O111&lt;&gt;"",O111,IF(AND(N(P111)&gt;0,N111&lt;&gt;""),N111+ROUND((MAX('ตั้งค่า Setup'!$C$15,N111)-N111+1)/P111,0)-1,MAX(AB111,'ตั้งค่า Setup'!$C$15+AB111-AA111))))</f>
        <v/>
      </c>
      <c r="X111" s="184" t="str">
        <f aca="false">IF(OR(W111="",J111=""),"",W111-J111)</f>
        <v/>
      </c>
      <c r="Y111" s="117" t="str">
        <f aca="false">IF(OR(D111="",I111="",J111=""),"",IF(O111&lt;&gt;"",IF(O111&lt;=J111,"เสร็จ / Completed","เสร็จช้า / Completed Late"),IF(AND(N111="",'ตั้งค่า Setup'!$C$15&lt;AA111),"ยังไม่ถึงกำหนด / Not Due",IF(N(P111)&gt;=Q111,"ตามแผน / On Track",IF('ตั้งค่า Setup'!$C$15&gt;J111,"เกินกำหนด / Overdue","ล่าช้า / Behind")))))</f>
        <v/>
      </c>
      <c r="Z111" s="32"/>
      <c r="AA111" s="69" t="n">
        <f aca="false">IF(D111="",0,IF(L111&lt;&gt;"",L111,N(I111)))</f>
        <v>0</v>
      </c>
      <c r="AB111" s="69" t="n">
        <f aca="false">IF(D111="",0,IF(M111&lt;&gt;"",M111,N(J111)))</f>
        <v>0</v>
      </c>
      <c r="AC111" s="185" t="str">
        <f aca="false">IF(AND(D111&lt;&gt;"",O111="",ISNUMBER(X111)),X111+(1000-ROW())/1000000,"")</f>
        <v/>
      </c>
      <c r="AD111" s="185" t="n">
        <f aca="false">IF(AND(D111&lt;&gt;"",O111="",AA111&gt;0,AA111&lt;='ตั้งค่า Setup'!$C$15+'ตั้งค่า Setup'!$C$20),1,0)</f>
        <v>0</v>
      </c>
      <c r="AE111" s="185" t="str">
        <f aca="false">IF(AD111=1,SUM(AD$7:AD111),"")</f>
        <v/>
      </c>
    </row>
    <row r="112" customFormat="false" ht="15" hidden="false" customHeight="false" outlineLevel="0" collapsed="false">
      <c r="A112" s="181" t="str">
        <f aca="false">IF(OR(B112="",C112="",D112=""),"",IFERROR(MATCH(B112,'ตั้งค่า Setup'!$C$26:$C$65,0)&amp;"."&amp;MATCH(C112,'ตั้งค่า Setup'!$C$68:$C$107,0)&amp;"."&amp;TEXT(COUNTIFS(B$7:B112,B112,C$7:C112,C112),"00"),"?"))</f>
        <v/>
      </c>
      <c r="B112" s="32"/>
      <c r="C112" s="32"/>
      <c r="D112" s="32"/>
      <c r="E112" s="23"/>
      <c r="F112" s="113"/>
      <c r="G112" s="115" t="n">
        <f aca="false">IF(D112="",0,IF(F112&lt;&gt;"",F112,IF(SUM($E$7:$E$156)&gt;0,N(E112)/SUM($E$7:$E$156),0)))</f>
        <v>0</v>
      </c>
      <c r="H112" s="182" t="str">
        <f aca="false">IF(D112="","",G112*'ตั้งค่า Setup'!$C$9)</f>
        <v/>
      </c>
      <c r="I112" s="24"/>
      <c r="J112" s="24"/>
      <c r="K112" s="117" t="str">
        <f aca="false">IF(OR(I112="",J112=""),"",J112-I112+1)</f>
        <v/>
      </c>
      <c r="L112" s="24"/>
      <c r="M112" s="24"/>
      <c r="N112" s="24"/>
      <c r="O112" s="24"/>
      <c r="P112" s="113"/>
      <c r="Q112" s="115" t="str">
        <f aca="false">IF(OR(D112="",I112="",J112=""),"",MAX(0,MIN(1,('ตั้งค่า Setup'!$C$15-I112+1)/(J112-I112+1))))</f>
        <v/>
      </c>
      <c r="R112" s="115" t="str">
        <f aca="false">IF(OR(D112="",AA112=0),"",MAX(0,MIN(1,('ตั้งค่า Setup'!$C$15-AA112+1)/(AB112-AA112+1))))</f>
        <v/>
      </c>
      <c r="S112" s="182" t="str">
        <f aca="false">IF(Q112="","",H112*Q112)</f>
        <v/>
      </c>
      <c r="T112" s="182" t="str">
        <f aca="false">IF(D112="","",H112*N(P112))</f>
        <v/>
      </c>
      <c r="U112" s="182" t="str">
        <f aca="false">IF(OR(S112="",T112=""),"",T112-S112)</f>
        <v/>
      </c>
      <c r="V112" s="183" t="str">
        <f aca="false">IF(OR(S112="",T112=""),"",IF(S112=0,"",T112/S112))</f>
        <v/>
      </c>
      <c r="W112" s="127" t="str">
        <f aca="false">IF(OR(D112="",AA112=0),"",IF(O112&lt;&gt;"",O112,IF(AND(N(P112)&gt;0,N112&lt;&gt;""),N112+ROUND((MAX('ตั้งค่า Setup'!$C$15,N112)-N112+1)/P112,0)-1,MAX(AB112,'ตั้งค่า Setup'!$C$15+AB112-AA112))))</f>
        <v/>
      </c>
      <c r="X112" s="184" t="str">
        <f aca="false">IF(OR(W112="",J112=""),"",W112-J112)</f>
        <v/>
      </c>
      <c r="Y112" s="117" t="str">
        <f aca="false">IF(OR(D112="",I112="",J112=""),"",IF(O112&lt;&gt;"",IF(O112&lt;=J112,"เสร็จ / Completed","เสร็จช้า / Completed Late"),IF(AND(N112="",'ตั้งค่า Setup'!$C$15&lt;AA112),"ยังไม่ถึงกำหนด / Not Due",IF(N(P112)&gt;=Q112,"ตามแผน / On Track",IF('ตั้งค่า Setup'!$C$15&gt;J112,"เกินกำหนด / Overdue","ล่าช้า / Behind")))))</f>
        <v/>
      </c>
      <c r="Z112" s="32"/>
      <c r="AA112" s="69" t="n">
        <f aca="false">IF(D112="",0,IF(L112&lt;&gt;"",L112,N(I112)))</f>
        <v>0</v>
      </c>
      <c r="AB112" s="69" t="n">
        <f aca="false">IF(D112="",0,IF(M112&lt;&gt;"",M112,N(J112)))</f>
        <v>0</v>
      </c>
      <c r="AC112" s="185" t="str">
        <f aca="false">IF(AND(D112&lt;&gt;"",O112="",ISNUMBER(X112)),X112+(1000-ROW())/1000000,"")</f>
        <v/>
      </c>
      <c r="AD112" s="185" t="n">
        <f aca="false">IF(AND(D112&lt;&gt;"",O112="",AA112&gt;0,AA112&lt;='ตั้งค่า Setup'!$C$15+'ตั้งค่า Setup'!$C$20),1,0)</f>
        <v>0</v>
      </c>
      <c r="AE112" s="185" t="str">
        <f aca="false">IF(AD112=1,SUM(AD$7:AD112),"")</f>
        <v/>
      </c>
    </row>
    <row r="113" customFormat="false" ht="15" hidden="false" customHeight="false" outlineLevel="0" collapsed="false">
      <c r="A113" s="181" t="str">
        <f aca="false">IF(OR(B113="",C113="",D113=""),"",IFERROR(MATCH(B113,'ตั้งค่า Setup'!$C$26:$C$65,0)&amp;"."&amp;MATCH(C113,'ตั้งค่า Setup'!$C$68:$C$107,0)&amp;"."&amp;TEXT(COUNTIFS(B$7:B113,B113,C$7:C113,C113),"00"),"?"))</f>
        <v/>
      </c>
      <c r="B113" s="32"/>
      <c r="C113" s="32"/>
      <c r="D113" s="32"/>
      <c r="E113" s="23"/>
      <c r="F113" s="113"/>
      <c r="G113" s="115" t="n">
        <f aca="false">IF(D113="",0,IF(F113&lt;&gt;"",F113,IF(SUM($E$7:$E$156)&gt;0,N(E113)/SUM($E$7:$E$156),0)))</f>
        <v>0</v>
      </c>
      <c r="H113" s="182" t="str">
        <f aca="false">IF(D113="","",G113*'ตั้งค่า Setup'!$C$9)</f>
        <v/>
      </c>
      <c r="I113" s="24"/>
      <c r="J113" s="24"/>
      <c r="K113" s="117" t="str">
        <f aca="false">IF(OR(I113="",J113=""),"",J113-I113+1)</f>
        <v/>
      </c>
      <c r="L113" s="24"/>
      <c r="M113" s="24"/>
      <c r="N113" s="24"/>
      <c r="O113" s="24"/>
      <c r="P113" s="113"/>
      <c r="Q113" s="115" t="str">
        <f aca="false">IF(OR(D113="",I113="",J113=""),"",MAX(0,MIN(1,('ตั้งค่า Setup'!$C$15-I113+1)/(J113-I113+1))))</f>
        <v/>
      </c>
      <c r="R113" s="115" t="str">
        <f aca="false">IF(OR(D113="",AA113=0),"",MAX(0,MIN(1,('ตั้งค่า Setup'!$C$15-AA113+1)/(AB113-AA113+1))))</f>
        <v/>
      </c>
      <c r="S113" s="182" t="str">
        <f aca="false">IF(Q113="","",H113*Q113)</f>
        <v/>
      </c>
      <c r="T113" s="182" t="str">
        <f aca="false">IF(D113="","",H113*N(P113))</f>
        <v/>
      </c>
      <c r="U113" s="182" t="str">
        <f aca="false">IF(OR(S113="",T113=""),"",T113-S113)</f>
        <v/>
      </c>
      <c r="V113" s="183" t="str">
        <f aca="false">IF(OR(S113="",T113=""),"",IF(S113=0,"",T113/S113))</f>
        <v/>
      </c>
      <c r="W113" s="127" t="str">
        <f aca="false">IF(OR(D113="",AA113=0),"",IF(O113&lt;&gt;"",O113,IF(AND(N(P113)&gt;0,N113&lt;&gt;""),N113+ROUND((MAX('ตั้งค่า Setup'!$C$15,N113)-N113+1)/P113,0)-1,MAX(AB113,'ตั้งค่า Setup'!$C$15+AB113-AA113))))</f>
        <v/>
      </c>
      <c r="X113" s="184" t="str">
        <f aca="false">IF(OR(W113="",J113=""),"",W113-J113)</f>
        <v/>
      </c>
      <c r="Y113" s="117" t="str">
        <f aca="false">IF(OR(D113="",I113="",J113=""),"",IF(O113&lt;&gt;"",IF(O113&lt;=J113,"เสร็จ / Completed","เสร็จช้า / Completed Late"),IF(AND(N113="",'ตั้งค่า Setup'!$C$15&lt;AA113),"ยังไม่ถึงกำหนด / Not Due",IF(N(P113)&gt;=Q113,"ตามแผน / On Track",IF('ตั้งค่า Setup'!$C$15&gt;J113,"เกินกำหนด / Overdue","ล่าช้า / Behind")))))</f>
        <v/>
      </c>
      <c r="Z113" s="32"/>
      <c r="AA113" s="69" t="n">
        <f aca="false">IF(D113="",0,IF(L113&lt;&gt;"",L113,N(I113)))</f>
        <v>0</v>
      </c>
      <c r="AB113" s="69" t="n">
        <f aca="false">IF(D113="",0,IF(M113&lt;&gt;"",M113,N(J113)))</f>
        <v>0</v>
      </c>
      <c r="AC113" s="185" t="str">
        <f aca="false">IF(AND(D113&lt;&gt;"",O113="",ISNUMBER(X113)),X113+(1000-ROW())/1000000,"")</f>
        <v/>
      </c>
      <c r="AD113" s="185" t="n">
        <f aca="false">IF(AND(D113&lt;&gt;"",O113="",AA113&gt;0,AA113&lt;='ตั้งค่า Setup'!$C$15+'ตั้งค่า Setup'!$C$20),1,0)</f>
        <v>0</v>
      </c>
      <c r="AE113" s="185" t="str">
        <f aca="false">IF(AD113=1,SUM(AD$7:AD113),"")</f>
        <v/>
      </c>
    </row>
    <row r="114" customFormat="false" ht="15" hidden="false" customHeight="false" outlineLevel="0" collapsed="false">
      <c r="A114" s="181" t="str">
        <f aca="false">IF(OR(B114="",C114="",D114=""),"",IFERROR(MATCH(B114,'ตั้งค่า Setup'!$C$26:$C$65,0)&amp;"."&amp;MATCH(C114,'ตั้งค่า Setup'!$C$68:$C$107,0)&amp;"."&amp;TEXT(COUNTIFS(B$7:B114,B114,C$7:C114,C114),"00"),"?"))</f>
        <v/>
      </c>
      <c r="B114" s="32"/>
      <c r="C114" s="32"/>
      <c r="D114" s="32"/>
      <c r="E114" s="23"/>
      <c r="F114" s="113"/>
      <c r="G114" s="115" t="n">
        <f aca="false">IF(D114="",0,IF(F114&lt;&gt;"",F114,IF(SUM($E$7:$E$156)&gt;0,N(E114)/SUM($E$7:$E$156),0)))</f>
        <v>0</v>
      </c>
      <c r="H114" s="182" t="str">
        <f aca="false">IF(D114="","",G114*'ตั้งค่า Setup'!$C$9)</f>
        <v/>
      </c>
      <c r="I114" s="24"/>
      <c r="J114" s="24"/>
      <c r="K114" s="117" t="str">
        <f aca="false">IF(OR(I114="",J114=""),"",J114-I114+1)</f>
        <v/>
      </c>
      <c r="L114" s="24"/>
      <c r="M114" s="24"/>
      <c r="N114" s="24"/>
      <c r="O114" s="24"/>
      <c r="P114" s="113"/>
      <c r="Q114" s="115" t="str">
        <f aca="false">IF(OR(D114="",I114="",J114=""),"",MAX(0,MIN(1,('ตั้งค่า Setup'!$C$15-I114+1)/(J114-I114+1))))</f>
        <v/>
      </c>
      <c r="R114" s="115" t="str">
        <f aca="false">IF(OR(D114="",AA114=0),"",MAX(0,MIN(1,('ตั้งค่า Setup'!$C$15-AA114+1)/(AB114-AA114+1))))</f>
        <v/>
      </c>
      <c r="S114" s="182" t="str">
        <f aca="false">IF(Q114="","",H114*Q114)</f>
        <v/>
      </c>
      <c r="T114" s="182" t="str">
        <f aca="false">IF(D114="","",H114*N(P114))</f>
        <v/>
      </c>
      <c r="U114" s="182" t="str">
        <f aca="false">IF(OR(S114="",T114=""),"",T114-S114)</f>
        <v/>
      </c>
      <c r="V114" s="183" t="str">
        <f aca="false">IF(OR(S114="",T114=""),"",IF(S114=0,"",T114/S114))</f>
        <v/>
      </c>
      <c r="W114" s="127" t="str">
        <f aca="false">IF(OR(D114="",AA114=0),"",IF(O114&lt;&gt;"",O114,IF(AND(N(P114)&gt;0,N114&lt;&gt;""),N114+ROUND((MAX('ตั้งค่า Setup'!$C$15,N114)-N114+1)/P114,0)-1,MAX(AB114,'ตั้งค่า Setup'!$C$15+AB114-AA114))))</f>
        <v/>
      </c>
      <c r="X114" s="184" t="str">
        <f aca="false">IF(OR(W114="",J114=""),"",W114-J114)</f>
        <v/>
      </c>
      <c r="Y114" s="117" t="str">
        <f aca="false">IF(OR(D114="",I114="",J114=""),"",IF(O114&lt;&gt;"",IF(O114&lt;=J114,"เสร็จ / Completed","เสร็จช้า / Completed Late"),IF(AND(N114="",'ตั้งค่า Setup'!$C$15&lt;AA114),"ยังไม่ถึงกำหนด / Not Due",IF(N(P114)&gt;=Q114,"ตามแผน / On Track",IF('ตั้งค่า Setup'!$C$15&gt;J114,"เกินกำหนด / Overdue","ล่าช้า / Behind")))))</f>
        <v/>
      </c>
      <c r="Z114" s="32"/>
      <c r="AA114" s="69" t="n">
        <f aca="false">IF(D114="",0,IF(L114&lt;&gt;"",L114,N(I114)))</f>
        <v>0</v>
      </c>
      <c r="AB114" s="69" t="n">
        <f aca="false">IF(D114="",0,IF(M114&lt;&gt;"",M114,N(J114)))</f>
        <v>0</v>
      </c>
      <c r="AC114" s="185" t="str">
        <f aca="false">IF(AND(D114&lt;&gt;"",O114="",ISNUMBER(X114)),X114+(1000-ROW())/1000000,"")</f>
        <v/>
      </c>
      <c r="AD114" s="185" t="n">
        <f aca="false">IF(AND(D114&lt;&gt;"",O114="",AA114&gt;0,AA114&lt;='ตั้งค่า Setup'!$C$15+'ตั้งค่า Setup'!$C$20),1,0)</f>
        <v>0</v>
      </c>
      <c r="AE114" s="185" t="str">
        <f aca="false">IF(AD114=1,SUM(AD$7:AD114),"")</f>
        <v/>
      </c>
    </row>
    <row r="115" customFormat="false" ht="15" hidden="false" customHeight="false" outlineLevel="0" collapsed="false">
      <c r="A115" s="181" t="str">
        <f aca="false">IF(OR(B115="",C115="",D115=""),"",IFERROR(MATCH(B115,'ตั้งค่า Setup'!$C$26:$C$65,0)&amp;"."&amp;MATCH(C115,'ตั้งค่า Setup'!$C$68:$C$107,0)&amp;"."&amp;TEXT(COUNTIFS(B$7:B115,B115,C$7:C115,C115),"00"),"?"))</f>
        <v/>
      </c>
      <c r="B115" s="32"/>
      <c r="C115" s="32"/>
      <c r="D115" s="32"/>
      <c r="E115" s="23"/>
      <c r="F115" s="113"/>
      <c r="G115" s="115" t="n">
        <f aca="false">IF(D115="",0,IF(F115&lt;&gt;"",F115,IF(SUM($E$7:$E$156)&gt;0,N(E115)/SUM($E$7:$E$156),0)))</f>
        <v>0</v>
      </c>
      <c r="H115" s="182" t="str">
        <f aca="false">IF(D115="","",G115*'ตั้งค่า Setup'!$C$9)</f>
        <v/>
      </c>
      <c r="I115" s="24"/>
      <c r="J115" s="24"/>
      <c r="K115" s="117" t="str">
        <f aca="false">IF(OR(I115="",J115=""),"",J115-I115+1)</f>
        <v/>
      </c>
      <c r="L115" s="24"/>
      <c r="M115" s="24"/>
      <c r="N115" s="24"/>
      <c r="O115" s="24"/>
      <c r="P115" s="113"/>
      <c r="Q115" s="115" t="str">
        <f aca="false">IF(OR(D115="",I115="",J115=""),"",MAX(0,MIN(1,('ตั้งค่า Setup'!$C$15-I115+1)/(J115-I115+1))))</f>
        <v/>
      </c>
      <c r="R115" s="115" t="str">
        <f aca="false">IF(OR(D115="",AA115=0),"",MAX(0,MIN(1,('ตั้งค่า Setup'!$C$15-AA115+1)/(AB115-AA115+1))))</f>
        <v/>
      </c>
      <c r="S115" s="182" t="str">
        <f aca="false">IF(Q115="","",H115*Q115)</f>
        <v/>
      </c>
      <c r="T115" s="182" t="str">
        <f aca="false">IF(D115="","",H115*N(P115))</f>
        <v/>
      </c>
      <c r="U115" s="182" t="str">
        <f aca="false">IF(OR(S115="",T115=""),"",T115-S115)</f>
        <v/>
      </c>
      <c r="V115" s="183" t="str">
        <f aca="false">IF(OR(S115="",T115=""),"",IF(S115=0,"",T115/S115))</f>
        <v/>
      </c>
      <c r="W115" s="127" t="str">
        <f aca="false">IF(OR(D115="",AA115=0),"",IF(O115&lt;&gt;"",O115,IF(AND(N(P115)&gt;0,N115&lt;&gt;""),N115+ROUND((MAX('ตั้งค่า Setup'!$C$15,N115)-N115+1)/P115,0)-1,MAX(AB115,'ตั้งค่า Setup'!$C$15+AB115-AA115))))</f>
        <v/>
      </c>
      <c r="X115" s="184" t="str">
        <f aca="false">IF(OR(W115="",J115=""),"",W115-J115)</f>
        <v/>
      </c>
      <c r="Y115" s="117" t="str">
        <f aca="false">IF(OR(D115="",I115="",J115=""),"",IF(O115&lt;&gt;"",IF(O115&lt;=J115,"เสร็จ / Completed","เสร็จช้า / Completed Late"),IF(AND(N115="",'ตั้งค่า Setup'!$C$15&lt;AA115),"ยังไม่ถึงกำหนด / Not Due",IF(N(P115)&gt;=Q115,"ตามแผน / On Track",IF('ตั้งค่า Setup'!$C$15&gt;J115,"เกินกำหนด / Overdue","ล่าช้า / Behind")))))</f>
        <v/>
      </c>
      <c r="Z115" s="32"/>
      <c r="AA115" s="69" t="n">
        <f aca="false">IF(D115="",0,IF(L115&lt;&gt;"",L115,N(I115)))</f>
        <v>0</v>
      </c>
      <c r="AB115" s="69" t="n">
        <f aca="false">IF(D115="",0,IF(M115&lt;&gt;"",M115,N(J115)))</f>
        <v>0</v>
      </c>
      <c r="AC115" s="185" t="str">
        <f aca="false">IF(AND(D115&lt;&gt;"",O115="",ISNUMBER(X115)),X115+(1000-ROW())/1000000,"")</f>
        <v/>
      </c>
      <c r="AD115" s="185" t="n">
        <f aca="false">IF(AND(D115&lt;&gt;"",O115="",AA115&gt;0,AA115&lt;='ตั้งค่า Setup'!$C$15+'ตั้งค่า Setup'!$C$20),1,0)</f>
        <v>0</v>
      </c>
      <c r="AE115" s="185" t="str">
        <f aca="false">IF(AD115=1,SUM(AD$7:AD115),"")</f>
        <v/>
      </c>
    </row>
    <row r="116" customFormat="false" ht="15" hidden="false" customHeight="false" outlineLevel="0" collapsed="false">
      <c r="A116" s="181" t="str">
        <f aca="false">IF(OR(B116="",C116="",D116=""),"",IFERROR(MATCH(B116,'ตั้งค่า Setup'!$C$26:$C$65,0)&amp;"."&amp;MATCH(C116,'ตั้งค่า Setup'!$C$68:$C$107,0)&amp;"."&amp;TEXT(COUNTIFS(B$7:B116,B116,C$7:C116,C116),"00"),"?"))</f>
        <v/>
      </c>
      <c r="B116" s="32"/>
      <c r="C116" s="32"/>
      <c r="D116" s="32"/>
      <c r="E116" s="23"/>
      <c r="F116" s="113"/>
      <c r="G116" s="115" t="n">
        <f aca="false">IF(D116="",0,IF(F116&lt;&gt;"",F116,IF(SUM($E$7:$E$156)&gt;0,N(E116)/SUM($E$7:$E$156),0)))</f>
        <v>0</v>
      </c>
      <c r="H116" s="182" t="str">
        <f aca="false">IF(D116="","",G116*'ตั้งค่า Setup'!$C$9)</f>
        <v/>
      </c>
      <c r="I116" s="24"/>
      <c r="J116" s="24"/>
      <c r="K116" s="117" t="str">
        <f aca="false">IF(OR(I116="",J116=""),"",J116-I116+1)</f>
        <v/>
      </c>
      <c r="L116" s="24"/>
      <c r="M116" s="24"/>
      <c r="N116" s="24"/>
      <c r="O116" s="24"/>
      <c r="P116" s="113"/>
      <c r="Q116" s="115" t="str">
        <f aca="false">IF(OR(D116="",I116="",J116=""),"",MAX(0,MIN(1,('ตั้งค่า Setup'!$C$15-I116+1)/(J116-I116+1))))</f>
        <v/>
      </c>
      <c r="R116" s="115" t="str">
        <f aca="false">IF(OR(D116="",AA116=0),"",MAX(0,MIN(1,('ตั้งค่า Setup'!$C$15-AA116+1)/(AB116-AA116+1))))</f>
        <v/>
      </c>
      <c r="S116" s="182" t="str">
        <f aca="false">IF(Q116="","",H116*Q116)</f>
        <v/>
      </c>
      <c r="T116" s="182" t="str">
        <f aca="false">IF(D116="","",H116*N(P116))</f>
        <v/>
      </c>
      <c r="U116" s="182" t="str">
        <f aca="false">IF(OR(S116="",T116=""),"",T116-S116)</f>
        <v/>
      </c>
      <c r="V116" s="183" t="str">
        <f aca="false">IF(OR(S116="",T116=""),"",IF(S116=0,"",T116/S116))</f>
        <v/>
      </c>
      <c r="W116" s="127" t="str">
        <f aca="false">IF(OR(D116="",AA116=0),"",IF(O116&lt;&gt;"",O116,IF(AND(N(P116)&gt;0,N116&lt;&gt;""),N116+ROUND((MAX('ตั้งค่า Setup'!$C$15,N116)-N116+1)/P116,0)-1,MAX(AB116,'ตั้งค่า Setup'!$C$15+AB116-AA116))))</f>
        <v/>
      </c>
      <c r="X116" s="184" t="str">
        <f aca="false">IF(OR(W116="",J116=""),"",W116-J116)</f>
        <v/>
      </c>
      <c r="Y116" s="117" t="str">
        <f aca="false">IF(OR(D116="",I116="",J116=""),"",IF(O116&lt;&gt;"",IF(O116&lt;=J116,"เสร็จ / Completed","เสร็จช้า / Completed Late"),IF(AND(N116="",'ตั้งค่า Setup'!$C$15&lt;AA116),"ยังไม่ถึงกำหนด / Not Due",IF(N(P116)&gt;=Q116,"ตามแผน / On Track",IF('ตั้งค่า Setup'!$C$15&gt;J116,"เกินกำหนด / Overdue","ล่าช้า / Behind")))))</f>
        <v/>
      </c>
      <c r="Z116" s="32"/>
      <c r="AA116" s="69" t="n">
        <f aca="false">IF(D116="",0,IF(L116&lt;&gt;"",L116,N(I116)))</f>
        <v>0</v>
      </c>
      <c r="AB116" s="69" t="n">
        <f aca="false">IF(D116="",0,IF(M116&lt;&gt;"",M116,N(J116)))</f>
        <v>0</v>
      </c>
      <c r="AC116" s="185" t="str">
        <f aca="false">IF(AND(D116&lt;&gt;"",O116="",ISNUMBER(X116)),X116+(1000-ROW())/1000000,"")</f>
        <v/>
      </c>
      <c r="AD116" s="185" t="n">
        <f aca="false">IF(AND(D116&lt;&gt;"",O116="",AA116&gt;0,AA116&lt;='ตั้งค่า Setup'!$C$15+'ตั้งค่า Setup'!$C$20),1,0)</f>
        <v>0</v>
      </c>
      <c r="AE116" s="185" t="str">
        <f aca="false">IF(AD116=1,SUM(AD$7:AD116),"")</f>
        <v/>
      </c>
    </row>
    <row r="117" customFormat="false" ht="15" hidden="false" customHeight="false" outlineLevel="0" collapsed="false">
      <c r="A117" s="181" t="str">
        <f aca="false">IF(OR(B117="",C117="",D117=""),"",IFERROR(MATCH(B117,'ตั้งค่า Setup'!$C$26:$C$65,0)&amp;"."&amp;MATCH(C117,'ตั้งค่า Setup'!$C$68:$C$107,0)&amp;"."&amp;TEXT(COUNTIFS(B$7:B117,B117,C$7:C117,C117),"00"),"?"))</f>
        <v/>
      </c>
      <c r="B117" s="32"/>
      <c r="C117" s="32"/>
      <c r="D117" s="32"/>
      <c r="E117" s="23"/>
      <c r="F117" s="113"/>
      <c r="G117" s="115" t="n">
        <f aca="false">IF(D117="",0,IF(F117&lt;&gt;"",F117,IF(SUM($E$7:$E$156)&gt;0,N(E117)/SUM($E$7:$E$156),0)))</f>
        <v>0</v>
      </c>
      <c r="H117" s="182" t="str">
        <f aca="false">IF(D117="","",G117*'ตั้งค่า Setup'!$C$9)</f>
        <v/>
      </c>
      <c r="I117" s="24"/>
      <c r="J117" s="24"/>
      <c r="K117" s="117" t="str">
        <f aca="false">IF(OR(I117="",J117=""),"",J117-I117+1)</f>
        <v/>
      </c>
      <c r="L117" s="24"/>
      <c r="M117" s="24"/>
      <c r="N117" s="24"/>
      <c r="O117" s="24"/>
      <c r="P117" s="113"/>
      <c r="Q117" s="115" t="str">
        <f aca="false">IF(OR(D117="",I117="",J117=""),"",MAX(0,MIN(1,('ตั้งค่า Setup'!$C$15-I117+1)/(J117-I117+1))))</f>
        <v/>
      </c>
      <c r="R117" s="115" t="str">
        <f aca="false">IF(OR(D117="",AA117=0),"",MAX(0,MIN(1,('ตั้งค่า Setup'!$C$15-AA117+1)/(AB117-AA117+1))))</f>
        <v/>
      </c>
      <c r="S117" s="182" t="str">
        <f aca="false">IF(Q117="","",H117*Q117)</f>
        <v/>
      </c>
      <c r="T117" s="182" t="str">
        <f aca="false">IF(D117="","",H117*N(P117))</f>
        <v/>
      </c>
      <c r="U117" s="182" t="str">
        <f aca="false">IF(OR(S117="",T117=""),"",T117-S117)</f>
        <v/>
      </c>
      <c r="V117" s="183" t="str">
        <f aca="false">IF(OR(S117="",T117=""),"",IF(S117=0,"",T117/S117))</f>
        <v/>
      </c>
      <c r="W117" s="127" t="str">
        <f aca="false">IF(OR(D117="",AA117=0),"",IF(O117&lt;&gt;"",O117,IF(AND(N(P117)&gt;0,N117&lt;&gt;""),N117+ROUND((MAX('ตั้งค่า Setup'!$C$15,N117)-N117+1)/P117,0)-1,MAX(AB117,'ตั้งค่า Setup'!$C$15+AB117-AA117))))</f>
        <v/>
      </c>
      <c r="X117" s="184" t="str">
        <f aca="false">IF(OR(W117="",J117=""),"",W117-J117)</f>
        <v/>
      </c>
      <c r="Y117" s="117" t="str">
        <f aca="false">IF(OR(D117="",I117="",J117=""),"",IF(O117&lt;&gt;"",IF(O117&lt;=J117,"เสร็จ / Completed","เสร็จช้า / Completed Late"),IF(AND(N117="",'ตั้งค่า Setup'!$C$15&lt;AA117),"ยังไม่ถึงกำหนด / Not Due",IF(N(P117)&gt;=Q117,"ตามแผน / On Track",IF('ตั้งค่า Setup'!$C$15&gt;J117,"เกินกำหนด / Overdue","ล่าช้า / Behind")))))</f>
        <v/>
      </c>
      <c r="Z117" s="32"/>
      <c r="AA117" s="69" t="n">
        <f aca="false">IF(D117="",0,IF(L117&lt;&gt;"",L117,N(I117)))</f>
        <v>0</v>
      </c>
      <c r="AB117" s="69" t="n">
        <f aca="false">IF(D117="",0,IF(M117&lt;&gt;"",M117,N(J117)))</f>
        <v>0</v>
      </c>
      <c r="AC117" s="185" t="str">
        <f aca="false">IF(AND(D117&lt;&gt;"",O117="",ISNUMBER(X117)),X117+(1000-ROW())/1000000,"")</f>
        <v/>
      </c>
      <c r="AD117" s="185" t="n">
        <f aca="false">IF(AND(D117&lt;&gt;"",O117="",AA117&gt;0,AA117&lt;='ตั้งค่า Setup'!$C$15+'ตั้งค่า Setup'!$C$20),1,0)</f>
        <v>0</v>
      </c>
      <c r="AE117" s="185" t="str">
        <f aca="false">IF(AD117=1,SUM(AD$7:AD117),"")</f>
        <v/>
      </c>
    </row>
    <row r="118" customFormat="false" ht="15" hidden="false" customHeight="false" outlineLevel="0" collapsed="false">
      <c r="A118" s="181" t="str">
        <f aca="false">IF(OR(B118="",C118="",D118=""),"",IFERROR(MATCH(B118,'ตั้งค่า Setup'!$C$26:$C$65,0)&amp;"."&amp;MATCH(C118,'ตั้งค่า Setup'!$C$68:$C$107,0)&amp;"."&amp;TEXT(COUNTIFS(B$7:B118,B118,C$7:C118,C118),"00"),"?"))</f>
        <v/>
      </c>
      <c r="B118" s="32"/>
      <c r="C118" s="32"/>
      <c r="D118" s="32"/>
      <c r="E118" s="23"/>
      <c r="F118" s="113"/>
      <c r="G118" s="115" t="n">
        <f aca="false">IF(D118="",0,IF(F118&lt;&gt;"",F118,IF(SUM($E$7:$E$156)&gt;0,N(E118)/SUM($E$7:$E$156),0)))</f>
        <v>0</v>
      </c>
      <c r="H118" s="182" t="str">
        <f aca="false">IF(D118="","",G118*'ตั้งค่า Setup'!$C$9)</f>
        <v/>
      </c>
      <c r="I118" s="24"/>
      <c r="J118" s="24"/>
      <c r="K118" s="117" t="str">
        <f aca="false">IF(OR(I118="",J118=""),"",J118-I118+1)</f>
        <v/>
      </c>
      <c r="L118" s="24"/>
      <c r="M118" s="24"/>
      <c r="N118" s="24"/>
      <c r="O118" s="24"/>
      <c r="P118" s="113"/>
      <c r="Q118" s="115" t="str">
        <f aca="false">IF(OR(D118="",I118="",J118=""),"",MAX(0,MIN(1,('ตั้งค่า Setup'!$C$15-I118+1)/(J118-I118+1))))</f>
        <v/>
      </c>
      <c r="R118" s="115" t="str">
        <f aca="false">IF(OR(D118="",AA118=0),"",MAX(0,MIN(1,('ตั้งค่า Setup'!$C$15-AA118+1)/(AB118-AA118+1))))</f>
        <v/>
      </c>
      <c r="S118" s="182" t="str">
        <f aca="false">IF(Q118="","",H118*Q118)</f>
        <v/>
      </c>
      <c r="T118" s="182" t="str">
        <f aca="false">IF(D118="","",H118*N(P118))</f>
        <v/>
      </c>
      <c r="U118" s="182" t="str">
        <f aca="false">IF(OR(S118="",T118=""),"",T118-S118)</f>
        <v/>
      </c>
      <c r="V118" s="183" t="str">
        <f aca="false">IF(OR(S118="",T118=""),"",IF(S118=0,"",T118/S118))</f>
        <v/>
      </c>
      <c r="W118" s="127" t="str">
        <f aca="false">IF(OR(D118="",AA118=0),"",IF(O118&lt;&gt;"",O118,IF(AND(N(P118)&gt;0,N118&lt;&gt;""),N118+ROUND((MAX('ตั้งค่า Setup'!$C$15,N118)-N118+1)/P118,0)-1,MAX(AB118,'ตั้งค่า Setup'!$C$15+AB118-AA118))))</f>
        <v/>
      </c>
      <c r="X118" s="184" t="str">
        <f aca="false">IF(OR(W118="",J118=""),"",W118-J118)</f>
        <v/>
      </c>
      <c r="Y118" s="117" t="str">
        <f aca="false">IF(OR(D118="",I118="",J118=""),"",IF(O118&lt;&gt;"",IF(O118&lt;=J118,"เสร็จ / Completed","เสร็จช้า / Completed Late"),IF(AND(N118="",'ตั้งค่า Setup'!$C$15&lt;AA118),"ยังไม่ถึงกำหนด / Not Due",IF(N(P118)&gt;=Q118,"ตามแผน / On Track",IF('ตั้งค่า Setup'!$C$15&gt;J118,"เกินกำหนด / Overdue","ล่าช้า / Behind")))))</f>
        <v/>
      </c>
      <c r="Z118" s="32"/>
      <c r="AA118" s="69" t="n">
        <f aca="false">IF(D118="",0,IF(L118&lt;&gt;"",L118,N(I118)))</f>
        <v>0</v>
      </c>
      <c r="AB118" s="69" t="n">
        <f aca="false">IF(D118="",0,IF(M118&lt;&gt;"",M118,N(J118)))</f>
        <v>0</v>
      </c>
      <c r="AC118" s="185" t="str">
        <f aca="false">IF(AND(D118&lt;&gt;"",O118="",ISNUMBER(X118)),X118+(1000-ROW())/1000000,"")</f>
        <v/>
      </c>
      <c r="AD118" s="185" t="n">
        <f aca="false">IF(AND(D118&lt;&gt;"",O118="",AA118&gt;0,AA118&lt;='ตั้งค่า Setup'!$C$15+'ตั้งค่า Setup'!$C$20),1,0)</f>
        <v>0</v>
      </c>
      <c r="AE118" s="185" t="str">
        <f aca="false">IF(AD118=1,SUM(AD$7:AD118),"")</f>
        <v/>
      </c>
    </row>
    <row r="119" customFormat="false" ht="15" hidden="false" customHeight="false" outlineLevel="0" collapsed="false">
      <c r="A119" s="181" t="str">
        <f aca="false">IF(OR(B119="",C119="",D119=""),"",IFERROR(MATCH(B119,'ตั้งค่า Setup'!$C$26:$C$65,0)&amp;"."&amp;MATCH(C119,'ตั้งค่า Setup'!$C$68:$C$107,0)&amp;"."&amp;TEXT(COUNTIFS(B$7:B119,B119,C$7:C119,C119),"00"),"?"))</f>
        <v/>
      </c>
      <c r="B119" s="32"/>
      <c r="C119" s="32"/>
      <c r="D119" s="32"/>
      <c r="E119" s="23"/>
      <c r="F119" s="113"/>
      <c r="G119" s="115" t="n">
        <f aca="false">IF(D119="",0,IF(F119&lt;&gt;"",F119,IF(SUM($E$7:$E$156)&gt;0,N(E119)/SUM($E$7:$E$156),0)))</f>
        <v>0</v>
      </c>
      <c r="H119" s="182" t="str">
        <f aca="false">IF(D119="","",G119*'ตั้งค่า Setup'!$C$9)</f>
        <v/>
      </c>
      <c r="I119" s="24"/>
      <c r="J119" s="24"/>
      <c r="K119" s="117" t="str">
        <f aca="false">IF(OR(I119="",J119=""),"",J119-I119+1)</f>
        <v/>
      </c>
      <c r="L119" s="24"/>
      <c r="M119" s="24"/>
      <c r="N119" s="24"/>
      <c r="O119" s="24"/>
      <c r="P119" s="113"/>
      <c r="Q119" s="115" t="str">
        <f aca="false">IF(OR(D119="",I119="",J119=""),"",MAX(0,MIN(1,('ตั้งค่า Setup'!$C$15-I119+1)/(J119-I119+1))))</f>
        <v/>
      </c>
      <c r="R119" s="115" t="str">
        <f aca="false">IF(OR(D119="",AA119=0),"",MAX(0,MIN(1,('ตั้งค่า Setup'!$C$15-AA119+1)/(AB119-AA119+1))))</f>
        <v/>
      </c>
      <c r="S119" s="182" t="str">
        <f aca="false">IF(Q119="","",H119*Q119)</f>
        <v/>
      </c>
      <c r="T119" s="182" t="str">
        <f aca="false">IF(D119="","",H119*N(P119))</f>
        <v/>
      </c>
      <c r="U119" s="182" t="str">
        <f aca="false">IF(OR(S119="",T119=""),"",T119-S119)</f>
        <v/>
      </c>
      <c r="V119" s="183" t="str">
        <f aca="false">IF(OR(S119="",T119=""),"",IF(S119=0,"",T119/S119))</f>
        <v/>
      </c>
      <c r="W119" s="127" t="str">
        <f aca="false">IF(OR(D119="",AA119=0),"",IF(O119&lt;&gt;"",O119,IF(AND(N(P119)&gt;0,N119&lt;&gt;""),N119+ROUND((MAX('ตั้งค่า Setup'!$C$15,N119)-N119+1)/P119,0)-1,MAX(AB119,'ตั้งค่า Setup'!$C$15+AB119-AA119))))</f>
        <v/>
      </c>
      <c r="X119" s="184" t="str">
        <f aca="false">IF(OR(W119="",J119=""),"",W119-J119)</f>
        <v/>
      </c>
      <c r="Y119" s="117" t="str">
        <f aca="false">IF(OR(D119="",I119="",J119=""),"",IF(O119&lt;&gt;"",IF(O119&lt;=J119,"เสร็จ / Completed","เสร็จช้า / Completed Late"),IF(AND(N119="",'ตั้งค่า Setup'!$C$15&lt;AA119),"ยังไม่ถึงกำหนด / Not Due",IF(N(P119)&gt;=Q119,"ตามแผน / On Track",IF('ตั้งค่า Setup'!$C$15&gt;J119,"เกินกำหนด / Overdue","ล่าช้า / Behind")))))</f>
        <v/>
      </c>
      <c r="Z119" s="32"/>
      <c r="AA119" s="69" t="n">
        <f aca="false">IF(D119="",0,IF(L119&lt;&gt;"",L119,N(I119)))</f>
        <v>0</v>
      </c>
      <c r="AB119" s="69" t="n">
        <f aca="false">IF(D119="",0,IF(M119&lt;&gt;"",M119,N(J119)))</f>
        <v>0</v>
      </c>
      <c r="AC119" s="185" t="str">
        <f aca="false">IF(AND(D119&lt;&gt;"",O119="",ISNUMBER(X119)),X119+(1000-ROW())/1000000,"")</f>
        <v/>
      </c>
      <c r="AD119" s="185" t="n">
        <f aca="false">IF(AND(D119&lt;&gt;"",O119="",AA119&gt;0,AA119&lt;='ตั้งค่า Setup'!$C$15+'ตั้งค่า Setup'!$C$20),1,0)</f>
        <v>0</v>
      </c>
      <c r="AE119" s="185" t="str">
        <f aca="false">IF(AD119=1,SUM(AD$7:AD119),"")</f>
        <v/>
      </c>
    </row>
    <row r="120" customFormat="false" ht="15" hidden="false" customHeight="false" outlineLevel="0" collapsed="false">
      <c r="A120" s="181" t="str">
        <f aca="false">IF(OR(B120="",C120="",D120=""),"",IFERROR(MATCH(B120,'ตั้งค่า Setup'!$C$26:$C$65,0)&amp;"."&amp;MATCH(C120,'ตั้งค่า Setup'!$C$68:$C$107,0)&amp;"."&amp;TEXT(COUNTIFS(B$7:B120,B120,C$7:C120,C120),"00"),"?"))</f>
        <v/>
      </c>
      <c r="B120" s="32"/>
      <c r="C120" s="32"/>
      <c r="D120" s="32"/>
      <c r="E120" s="23"/>
      <c r="F120" s="113"/>
      <c r="G120" s="115" t="n">
        <f aca="false">IF(D120="",0,IF(F120&lt;&gt;"",F120,IF(SUM($E$7:$E$156)&gt;0,N(E120)/SUM($E$7:$E$156),0)))</f>
        <v>0</v>
      </c>
      <c r="H120" s="182" t="str">
        <f aca="false">IF(D120="","",G120*'ตั้งค่า Setup'!$C$9)</f>
        <v/>
      </c>
      <c r="I120" s="24"/>
      <c r="J120" s="24"/>
      <c r="K120" s="117" t="str">
        <f aca="false">IF(OR(I120="",J120=""),"",J120-I120+1)</f>
        <v/>
      </c>
      <c r="L120" s="24"/>
      <c r="M120" s="24"/>
      <c r="N120" s="24"/>
      <c r="O120" s="24"/>
      <c r="P120" s="113"/>
      <c r="Q120" s="115" t="str">
        <f aca="false">IF(OR(D120="",I120="",J120=""),"",MAX(0,MIN(1,('ตั้งค่า Setup'!$C$15-I120+1)/(J120-I120+1))))</f>
        <v/>
      </c>
      <c r="R120" s="115" t="str">
        <f aca="false">IF(OR(D120="",AA120=0),"",MAX(0,MIN(1,('ตั้งค่า Setup'!$C$15-AA120+1)/(AB120-AA120+1))))</f>
        <v/>
      </c>
      <c r="S120" s="182" t="str">
        <f aca="false">IF(Q120="","",H120*Q120)</f>
        <v/>
      </c>
      <c r="T120" s="182" t="str">
        <f aca="false">IF(D120="","",H120*N(P120))</f>
        <v/>
      </c>
      <c r="U120" s="182" t="str">
        <f aca="false">IF(OR(S120="",T120=""),"",T120-S120)</f>
        <v/>
      </c>
      <c r="V120" s="183" t="str">
        <f aca="false">IF(OR(S120="",T120=""),"",IF(S120=0,"",T120/S120))</f>
        <v/>
      </c>
      <c r="W120" s="127" t="str">
        <f aca="false">IF(OR(D120="",AA120=0),"",IF(O120&lt;&gt;"",O120,IF(AND(N(P120)&gt;0,N120&lt;&gt;""),N120+ROUND((MAX('ตั้งค่า Setup'!$C$15,N120)-N120+1)/P120,0)-1,MAX(AB120,'ตั้งค่า Setup'!$C$15+AB120-AA120))))</f>
        <v/>
      </c>
      <c r="X120" s="184" t="str">
        <f aca="false">IF(OR(W120="",J120=""),"",W120-J120)</f>
        <v/>
      </c>
      <c r="Y120" s="117" t="str">
        <f aca="false">IF(OR(D120="",I120="",J120=""),"",IF(O120&lt;&gt;"",IF(O120&lt;=J120,"เสร็จ / Completed","เสร็จช้า / Completed Late"),IF(AND(N120="",'ตั้งค่า Setup'!$C$15&lt;AA120),"ยังไม่ถึงกำหนด / Not Due",IF(N(P120)&gt;=Q120,"ตามแผน / On Track",IF('ตั้งค่า Setup'!$C$15&gt;J120,"เกินกำหนด / Overdue","ล่าช้า / Behind")))))</f>
        <v/>
      </c>
      <c r="Z120" s="32"/>
      <c r="AA120" s="69" t="n">
        <f aca="false">IF(D120="",0,IF(L120&lt;&gt;"",L120,N(I120)))</f>
        <v>0</v>
      </c>
      <c r="AB120" s="69" t="n">
        <f aca="false">IF(D120="",0,IF(M120&lt;&gt;"",M120,N(J120)))</f>
        <v>0</v>
      </c>
      <c r="AC120" s="185" t="str">
        <f aca="false">IF(AND(D120&lt;&gt;"",O120="",ISNUMBER(X120)),X120+(1000-ROW())/1000000,"")</f>
        <v/>
      </c>
      <c r="AD120" s="185" t="n">
        <f aca="false">IF(AND(D120&lt;&gt;"",O120="",AA120&gt;0,AA120&lt;='ตั้งค่า Setup'!$C$15+'ตั้งค่า Setup'!$C$20),1,0)</f>
        <v>0</v>
      </c>
      <c r="AE120" s="185" t="str">
        <f aca="false">IF(AD120=1,SUM(AD$7:AD120),"")</f>
        <v/>
      </c>
    </row>
    <row r="121" customFormat="false" ht="15" hidden="false" customHeight="false" outlineLevel="0" collapsed="false">
      <c r="A121" s="181" t="str">
        <f aca="false">IF(OR(B121="",C121="",D121=""),"",IFERROR(MATCH(B121,'ตั้งค่า Setup'!$C$26:$C$65,0)&amp;"."&amp;MATCH(C121,'ตั้งค่า Setup'!$C$68:$C$107,0)&amp;"."&amp;TEXT(COUNTIFS(B$7:B121,B121,C$7:C121,C121),"00"),"?"))</f>
        <v/>
      </c>
      <c r="B121" s="32"/>
      <c r="C121" s="32"/>
      <c r="D121" s="32"/>
      <c r="E121" s="23"/>
      <c r="F121" s="113"/>
      <c r="G121" s="115" t="n">
        <f aca="false">IF(D121="",0,IF(F121&lt;&gt;"",F121,IF(SUM($E$7:$E$156)&gt;0,N(E121)/SUM($E$7:$E$156),0)))</f>
        <v>0</v>
      </c>
      <c r="H121" s="182" t="str">
        <f aca="false">IF(D121="","",G121*'ตั้งค่า Setup'!$C$9)</f>
        <v/>
      </c>
      <c r="I121" s="24"/>
      <c r="J121" s="24"/>
      <c r="K121" s="117" t="str">
        <f aca="false">IF(OR(I121="",J121=""),"",J121-I121+1)</f>
        <v/>
      </c>
      <c r="L121" s="24"/>
      <c r="M121" s="24"/>
      <c r="N121" s="24"/>
      <c r="O121" s="24"/>
      <c r="P121" s="113"/>
      <c r="Q121" s="115" t="str">
        <f aca="false">IF(OR(D121="",I121="",J121=""),"",MAX(0,MIN(1,('ตั้งค่า Setup'!$C$15-I121+1)/(J121-I121+1))))</f>
        <v/>
      </c>
      <c r="R121" s="115" t="str">
        <f aca="false">IF(OR(D121="",AA121=0),"",MAX(0,MIN(1,('ตั้งค่า Setup'!$C$15-AA121+1)/(AB121-AA121+1))))</f>
        <v/>
      </c>
      <c r="S121" s="182" t="str">
        <f aca="false">IF(Q121="","",H121*Q121)</f>
        <v/>
      </c>
      <c r="T121" s="182" t="str">
        <f aca="false">IF(D121="","",H121*N(P121))</f>
        <v/>
      </c>
      <c r="U121" s="182" t="str">
        <f aca="false">IF(OR(S121="",T121=""),"",T121-S121)</f>
        <v/>
      </c>
      <c r="V121" s="183" t="str">
        <f aca="false">IF(OR(S121="",T121=""),"",IF(S121=0,"",T121/S121))</f>
        <v/>
      </c>
      <c r="W121" s="127" t="str">
        <f aca="false">IF(OR(D121="",AA121=0),"",IF(O121&lt;&gt;"",O121,IF(AND(N(P121)&gt;0,N121&lt;&gt;""),N121+ROUND((MAX('ตั้งค่า Setup'!$C$15,N121)-N121+1)/P121,0)-1,MAX(AB121,'ตั้งค่า Setup'!$C$15+AB121-AA121))))</f>
        <v/>
      </c>
      <c r="X121" s="184" t="str">
        <f aca="false">IF(OR(W121="",J121=""),"",W121-J121)</f>
        <v/>
      </c>
      <c r="Y121" s="117" t="str">
        <f aca="false">IF(OR(D121="",I121="",J121=""),"",IF(O121&lt;&gt;"",IF(O121&lt;=J121,"เสร็จ / Completed","เสร็จช้า / Completed Late"),IF(AND(N121="",'ตั้งค่า Setup'!$C$15&lt;AA121),"ยังไม่ถึงกำหนด / Not Due",IF(N(P121)&gt;=Q121,"ตามแผน / On Track",IF('ตั้งค่า Setup'!$C$15&gt;J121,"เกินกำหนด / Overdue","ล่าช้า / Behind")))))</f>
        <v/>
      </c>
      <c r="Z121" s="32"/>
      <c r="AA121" s="69" t="n">
        <f aca="false">IF(D121="",0,IF(L121&lt;&gt;"",L121,N(I121)))</f>
        <v>0</v>
      </c>
      <c r="AB121" s="69" t="n">
        <f aca="false">IF(D121="",0,IF(M121&lt;&gt;"",M121,N(J121)))</f>
        <v>0</v>
      </c>
      <c r="AC121" s="185" t="str">
        <f aca="false">IF(AND(D121&lt;&gt;"",O121="",ISNUMBER(X121)),X121+(1000-ROW())/1000000,"")</f>
        <v/>
      </c>
      <c r="AD121" s="185" t="n">
        <f aca="false">IF(AND(D121&lt;&gt;"",O121="",AA121&gt;0,AA121&lt;='ตั้งค่า Setup'!$C$15+'ตั้งค่า Setup'!$C$20),1,0)</f>
        <v>0</v>
      </c>
      <c r="AE121" s="185" t="str">
        <f aca="false">IF(AD121=1,SUM(AD$7:AD121),"")</f>
        <v/>
      </c>
    </row>
    <row r="122" customFormat="false" ht="15" hidden="false" customHeight="false" outlineLevel="0" collapsed="false">
      <c r="A122" s="181" t="str">
        <f aca="false">IF(OR(B122="",C122="",D122=""),"",IFERROR(MATCH(B122,'ตั้งค่า Setup'!$C$26:$C$65,0)&amp;"."&amp;MATCH(C122,'ตั้งค่า Setup'!$C$68:$C$107,0)&amp;"."&amp;TEXT(COUNTIFS(B$7:B122,B122,C$7:C122,C122),"00"),"?"))</f>
        <v/>
      </c>
      <c r="B122" s="32"/>
      <c r="C122" s="32"/>
      <c r="D122" s="32"/>
      <c r="E122" s="23"/>
      <c r="F122" s="113"/>
      <c r="G122" s="115" t="n">
        <f aca="false">IF(D122="",0,IF(F122&lt;&gt;"",F122,IF(SUM($E$7:$E$156)&gt;0,N(E122)/SUM($E$7:$E$156),0)))</f>
        <v>0</v>
      </c>
      <c r="H122" s="182" t="str">
        <f aca="false">IF(D122="","",G122*'ตั้งค่า Setup'!$C$9)</f>
        <v/>
      </c>
      <c r="I122" s="24"/>
      <c r="J122" s="24"/>
      <c r="K122" s="117" t="str">
        <f aca="false">IF(OR(I122="",J122=""),"",J122-I122+1)</f>
        <v/>
      </c>
      <c r="L122" s="24"/>
      <c r="M122" s="24"/>
      <c r="N122" s="24"/>
      <c r="O122" s="24"/>
      <c r="P122" s="113"/>
      <c r="Q122" s="115" t="str">
        <f aca="false">IF(OR(D122="",I122="",J122=""),"",MAX(0,MIN(1,('ตั้งค่า Setup'!$C$15-I122+1)/(J122-I122+1))))</f>
        <v/>
      </c>
      <c r="R122" s="115" t="str">
        <f aca="false">IF(OR(D122="",AA122=0),"",MAX(0,MIN(1,('ตั้งค่า Setup'!$C$15-AA122+1)/(AB122-AA122+1))))</f>
        <v/>
      </c>
      <c r="S122" s="182" t="str">
        <f aca="false">IF(Q122="","",H122*Q122)</f>
        <v/>
      </c>
      <c r="T122" s="182" t="str">
        <f aca="false">IF(D122="","",H122*N(P122))</f>
        <v/>
      </c>
      <c r="U122" s="182" t="str">
        <f aca="false">IF(OR(S122="",T122=""),"",T122-S122)</f>
        <v/>
      </c>
      <c r="V122" s="183" t="str">
        <f aca="false">IF(OR(S122="",T122=""),"",IF(S122=0,"",T122/S122))</f>
        <v/>
      </c>
      <c r="W122" s="127" t="str">
        <f aca="false">IF(OR(D122="",AA122=0),"",IF(O122&lt;&gt;"",O122,IF(AND(N(P122)&gt;0,N122&lt;&gt;""),N122+ROUND((MAX('ตั้งค่า Setup'!$C$15,N122)-N122+1)/P122,0)-1,MAX(AB122,'ตั้งค่า Setup'!$C$15+AB122-AA122))))</f>
        <v/>
      </c>
      <c r="X122" s="184" t="str">
        <f aca="false">IF(OR(W122="",J122=""),"",W122-J122)</f>
        <v/>
      </c>
      <c r="Y122" s="117" t="str">
        <f aca="false">IF(OR(D122="",I122="",J122=""),"",IF(O122&lt;&gt;"",IF(O122&lt;=J122,"เสร็จ / Completed","เสร็จช้า / Completed Late"),IF(AND(N122="",'ตั้งค่า Setup'!$C$15&lt;AA122),"ยังไม่ถึงกำหนด / Not Due",IF(N(P122)&gt;=Q122,"ตามแผน / On Track",IF('ตั้งค่า Setup'!$C$15&gt;J122,"เกินกำหนด / Overdue","ล่าช้า / Behind")))))</f>
        <v/>
      </c>
      <c r="Z122" s="32"/>
      <c r="AA122" s="69" t="n">
        <f aca="false">IF(D122="",0,IF(L122&lt;&gt;"",L122,N(I122)))</f>
        <v>0</v>
      </c>
      <c r="AB122" s="69" t="n">
        <f aca="false">IF(D122="",0,IF(M122&lt;&gt;"",M122,N(J122)))</f>
        <v>0</v>
      </c>
      <c r="AC122" s="185" t="str">
        <f aca="false">IF(AND(D122&lt;&gt;"",O122="",ISNUMBER(X122)),X122+(1000-ROW())/1000000,"")</f>
        <v/>
      </c>
      <c r="AD122" s="185" t="n">
        <f aca="false">IF(AND(D122&lt;&gt;"",O122="",AA122&gt;0,AA122&lt;='ตั้งค่า Setup'!$C$15+'ตั้งค่า Setup'!$C$20),1,0)</f>
        <v>0</v>
      </c>
      <c r="AE122" s="185" t="str">
        <f aca="false">IF(AD122=1,SUM(AD$7:AD122),"")</f>
        <v/>
      </c>
    </row>
    <row r="123" customFormat="false" ht="15" hidden="false" customHeight="false" outlineLevel="0" collapsed="false">
      <c r="A123" s="181" t="str">
        <f aca="false">IF(OR(B123="",C123="",D123=""),"",IFERROR(MATCH(B123,'ตั้งค่า Setup'!$C$26:$C$65,0)&amp;"."&amp;MATCH(C123,'ตั้งค่า Setup'!$C$68:$C$107,0)&amp;"."&amp;TEXT(COUNTIFS(B$7:B123,B123,C$7:C123,C123),"00"),"?"))</f>
        <v/>
      </c>
      <c r="B123" s="32"/>
      <c r="C123" s="32"/>
      <c r="D123" s="32"/>
      <c r="E123" s="23"/>
      <c r="F123" s="113"/>
      <c r="G123" s="115" t="n">
        <f aca="false">IF(D123="",0,IF(F123&lt;&gt;"",F123,IF(SUM($E$7:$E$156)&gt;0,N(E123)/SUM($E$7:$E$156),0)))</f>
        <v>0</v>
      </c>
      <c r="H123" s="182" t="str">
        <f aca="false">IF(D123="","",G123*'ตั้งค่า Setup'!$C$9)</f>
        <v/>
      </c>
      <c r="I123" s="24"/>
      <c r="J123" s="24"/>
      <c r="K123" s="117" t="str">
        <f aca="false">IF(OR(I123="",J123=""),"",J123-I123+1)</f>
        <v/>
      </c>
      <c r="L123" s="24"/>
      <c r="M123" s="24"/>
      <c r="N123" s="24"/>
      <c r="O123" s="24"/>
      <c r="P123" s="113"/>
      <c r="Q123" s="115" t="str">
        <f aca="false">IF(OR(D123="",I123="",J123=""),"",MAX(0,MIN(1,('ตั้งค่า Setup'!$C$15-I123+1)/(J123-I123+1))))</f>
        <v/>
      </c>
      <c r="R123" s="115" t="str">
        <f aca="false">IF(OR(D123="",AA123=0),"",MAX(0,MIN(1,('ตั้งค่า Setup'!$C$15-AA123+1)/(AB123-AA123+1))))</f>
        <v/>
      </c>
      <c r="S123" s="182" t="str">
        <f aca="false">IF(Q123="","",H123*Q123)</f>
        <v/>
      </c>
      <c r="T123" s="182" t="str">
        <f aca="false">IF(D123="","",H123*N(P123))</f>
        <v/>
      </c>
      <c r="U123" s="182" t="str">
        <f aca="false">IF(OR(S123="",T123=""),"",T123-S123)</f>
        <v/>
      </c>
      <c r="V123" s="183" t="str">
        <f aca="false">IF(OR(S123="",T123=""),"",IF(S123=0,"",T123/S123))</f>
        <v/>
      </c>
      <c r="W123" s="127" t="str">
        <f aca="false">IF(OR(D123="",AA123=0),"",IF(O123&lt;&gt;"",O123,IF(AND(N(P123)&gt;0,N123&lt;&gt;""),N123+ROUND((MAX('ตั้งค่า Setup'!$C$15,N123)-N123+1)/P123,0)-1,MAX(AB123,'ตั้งค่า Setup'!$C$15+AB123-AA123))))</f>
        <v/>
      </c>
      <c r="X123" s="184" t="str">
        <f aca="false">IF(OR(W123="",J123=""),"",W123-J123)</f>
        <v/>
      </c>
      <c r="Y123" s="117" t="str">
        <f aca="false">IF(OR(D123="",I123="",J123=""),"",IF(O123&lt;&gt;"",IF(O123&lt;=J123,"เสร็จ / Completed","เสร็จช้า / Completed Late"),IF(AND(N123="",'ตั้งค่า Setup'!$C$15&lt;AA123),"ยังไม่ถึงกำหนด / Not Due",IF(N(P123)&gt;=Q123,"ตามแผน / On Track",IF('ตั้งค่า Setup'!$C$15&gt;J123,"เกินกำหนด / Overdue","ล่าช้า / Behind")))))</f>
        <v/>
      </c>
      <c r="Z123" s="32"/>
      <c r="AA123" s="69" t="n">
        <f aca="false">IF(D123="",0,IF(L123&lt;&gt;"",L123,N(I123)))</f>
        <v>0</v>
      </c>
      <c r="AB123" s="69" t="n">
        <f aca="false">IF(D123="",0,IF(M123&lt;&gt;"",M123,N(J123)))</f>
        <v>0</v>
      </c>
      <c r="AC123" s="185" t="str">
        <f aca="false">IF(AND(D123&lt;&gt;"",O123="",ISNUMBER(X123)),X123+(1000-ROW())/1000000,"")</f>
        <v/>
      </c>
      <c r="AD123" s="185" t="n">
        <f aca="false">IF(AND(D123&lt;&gt;"",O123="",AA123&gt;0,AA123&lt;='ตั้งค่า Setup'!$C$15+'ตั้งค่า Setup'!$C$20),1,0)</f>
        <v>0</v>
      </c>
      <c r="AE123" s="185" t="str">
        <f aca="false">IF(AD123=1,SUM(AD$7:AD123),"")</f>
        <v/>
      </c>
    </row>
    <row r="124" customFormat="false" ht="15" hidden="false" customHeight="false" outlineLevel="0" collapsed="false">
      <c r="A124" s="181" t="str">
        <f aca="false">IF(OR(B124="",C124="",D124=""),"",IFERROR(MATCH(B124,'ตั้งค่า Setup'!$C$26:$C$65,0)&amp;"."&amp;MATCH(C124,'ตั้งค่า Setup'!$C$68:$C$107,0)&amp;"."&amp;TEXT(COUNTIFS(B$7:B124,B124,C$7:C124,C124),"00"),"?"))</f>
        <v/>
      </c>
      <c r="B124" s="32"/>
      <c r="C124" s="32"/>
      <c r="D124" s="32"/>
      <c r="E124" s="23"/>
      <c r="F124" s="113"/>
      <c r="G124" s="115" t="n">
        <f aca="false">IF(D124="",0,IF(F124&lt;&gt;"",F124,IF(SUM($E$7:$E$156)&gt;0,N(E124)/SUM($E$7:$E$156),0)))</f>
        <v>0</v>
      </c>
      <c r="H124" s="182" t="str">
        <f aca="false">IF(D124="","",G124*'ตั้งค่า Setup'!$C$9)</f>
        <v/>
      </c>
      <c r="I124" s="24"/>
      <c r="J124" s="24"/>
      <c r="K124" s="117" t="str">
        <f aca="false">IF(OR(I124="",J124=""),"",J124-I124+1)</f>
        <v/>
      </c>
      <c r="L124" s="24"/>
      <c r="M124" s="24"/>
      <c r="N124" s="24"/>
      <c r="O124" s="24"/>
      <c r="P124" s="113"/>
      <c r="Q124" s="115" t="str">
        <f aca="false">IF(OR(D124="",I124="",J124=""),"",MAX(0,MIN(1,('ตั้งค่า Setup'!$C$15-I124+1)/(J124-I124+1))))</f>
        <v/>
      </c>
      <c r="R124" s="115" t="str">
        <f aca="false">IF(OR(D124="",AA124=0),"",MAX(0,MIN(1,('ตั้งค่า Setup'!$C$15-AA124+1)/(AB124-AA124+1))))</f>
        <v/>
      </c>
      <c r="S124" s="182" t="str">
        <f aca="false">IF(Q124="","",H124*Q124)</f>
        <v/>
      </c>
      <c r="T124" s="182" t="str">
        <f aca="false">IF(D124="","",H124*N(P124))</f>
        <v/>
      </c>
      <c r="U124" s="182" t="str">
        <f aca="false">IF(OR(S124="",T124=""),"",T124-S124)</f>
        <v/>
      </c>
      <c r="V124" s="183" t="str">
        <f aca="false">IF(OR(S124="",T124=""),"",IF(S124=0,"",T124/S124))</f>
        <v/>
      </c>
      <c r="W124" s="127" t="str">
        <f aca="false">IF(OR(D124="",AA124=0),"",IF(O124&lt;&gt;"",O124,IF(AND(N(P124)&gt;0,N124&lt;&gt;""),N124+ROUND((MAX('ตั้งค่า Setup'!$C$15,N124)-N124+1)/P124,0)-1,MAX(AB124,'ตั้งค่า Setup'!$C$15+AB124-AA124))))</f>
        <v/>
      </c>
      <c r="X124" s="184" t="str">
        <f aca="false">IF(OR(W124="",J124=""),"",W124-J124)</f>
        <v/>
      </c>
      <c r="Y124" s="117" t="str">
        <f aca="false">IF(OR(D124="",I124="",J124=""),"",IF(O124&lt;&gt;"",IF(O124&lt;=J124,"เสร็จ / Completed","เสร็จช้า / Completed Late"),IF(AND(N124="",'ตั้งค่า Setup'!$C$15&lt;AA124),"ยังไม่ถึงกำหนด / Not Due",IF(N(P124)&gt;=Q124,"ตามแผน / On Track",IF('ตั้งค่า Setup'!$C$15&gt;J124,"เกินกำหนด / Overdue","ล่าช้า / Behind")))))</f>
        <v/>
      </c>
      <c r="Z124" s="32"/>
      <c r="AA124" s="69" t="n">
        <f aca="false">IF(D124="",0,IF(L124&lt;&gt;"",L124,N(I124)))</f>
        <v>0</v>
      </c>
      <c r="AB124" s="69" t="n">
        <f aca="false">IF(D124="",0,IF(M124&lt;&gt;"",M124,N(J124)))</f>
        <v>0</v>
      </c>
      <c r="AC124" s="185" t="str">
        <f aca="false">IF(AND(D124&lt;&gt;"",O124="",ISNUMBER(X124)),X124+(1000-ROW())/1000000,"")</f>
        <v/>
      </c>
      <c r="AD124" s="185" t="n">
        <f aca="false">IF(AND(D124&lt;&gt;"",O124="",AA124&gt;0,AA124&lt;='ตั้งค่า Setup'!$C$15+'ตั้งค่า Setup'!$C$20),1,0)</f>
        <v>0</v>
      </c>
      <c r="AE124" s="185" t="str">
        <f aca="false">IF(AD124=1,SUM(AD$7:AD124),"")</f>
        <v/>
      </c>
    </row>
    <row r="125" customFormat="false" ht="15" hidden="false" customHeight="false" outlineLevel="0" collapsed="false">
      <c r="A125" s="181" t="str">
        <f aca="false">IF(OR(B125="",C125="",D125=""),"",IFERROR(MATCH(B125,'ตั้งค่า Setup'!$C$26:$C$65,0)&amp;"."&amp;MATCH(C125,'ตั้งค่า Setup'!$C$68:$C$107,0)&amp;"."&amp;TEXT(COUNTIFS(B$7:B125,B125,C$7:C125,C125),"00"),"?"))</f>
        <v/>
      </c>
      <c r="B125" s="32"/>
      <c r="C125" s="32"/>
      <c r="D125" s="32"/>
      <c r="E125" s="23"/>
      <c r="F125" s="113"/>
      <c r="G125" s="115" t="n">
        <f aca="false">IF(D125="",0,IF(F125&lt;&gt;"",F125,IF(SUM($E$7:$E$156)&gt;0,N(E125)/SUM($E$7:$E$156),0)))</f>
        <v>0</v>
      </c>
      <c r="H125" s="182" t="str">
        <f aca="false">IF(D125="","",G125*'ตั้งค่า Setup'!$C$9)</f>
        <v/>
      </c>
      <c r="I125" s="24"/>
      <c r="J125" s="24"/>
      <c r="K125" s="117" t="str">
        <f aca="false">IF(OR(I125="",J125=""),"",J125-I125+1)</f>
        <v/>
      </c>
      <c r="L125" s="24"/>
      <c r="M125" s="24"/>
      <c r="N125" s="24"/>
      <c r="O125" s="24"/>
      <c r="P125" s="113"/>
      <c r="Q125" s="115" t="str">
        <f aca="false">IF(OR(D125="",I125="",J125=""),"",MAX(0,MIN(1,('ตั้งค่า Setup'!$C$15-I125+1)/(J125-I125+1))))</f>
        <v/>
      </c>
      <c r="R125" s="115" t="str">
        <f aca="false">IF(OR(D125="",AA125=0),"",MAX(0,MIN(1,('ตั้งค่า Setup'!$C$15-AA125+1)/(AB125-AA125+1))))</f>
        <v/>
      </c>
      <c r="S125" s="182" t="str">
        <f aca="false">IF(Q125="","",H125*Q125)</f>
        <v/>
      </c>
      <c r="T125" s="182" t="str">
        <f aca="false">IF(D125="","",H125*N(P125))</f>
        <v/>
      </c>
      <c r="U125" s="182" t="str">
        <f aca="false">IF(OR(S125="",T125=""),"",T125-S125)</f>
        <v/>
      </c>
      <c r="V125" s="183" t="str">
        <f aca="false">IF(OR(S125="",T125=""),"",IF(S125=0,"",T125/S125))</f>
        <v/>
      </c>
      <c r="W125" s="127" t="str">
        <f aca="false">IF(OR(D125="",AA125=0),"",IF(O125&lt;&gt;"",O125,IF(AND(N(P125)&gt;0,N125&lt;&gt;""),N125+ROUND((MAX('ตั้งค่า Setup'!$C$15,N125)-N125+1)/P125,0)-1,MAX(AB125,'ตั้งค่า Setup'!$C$15+AB125-AA125))))</f>
        <v/>
      </c>
      <c r="X125" s="184" t="str">
        <f aca="false">IF(OR(W125="",J125=""),"",W125-J125)</f>
        <v/>
      </c>
      <c r="Y125" s="117" t="str">
        <f aca="false">IF(OR(D125="",I125="",J125=""),"",IF(O125&lt;&gt;"",IF(O125&lt;=J125,"เสร็จ / Completed","เสร็จช้า / Completed Late"),IF(AND(N125="",'ตั้งค่า Setup'!$C$15&lt;AA125),"ยังไม่ถึงกำหนด / Not Due",IF(N(P125)&gt;=Q125,"ตามแผน / On Track",IF('ตั้งค่า Setup'!$C$15&gt;J125,"เกินกำหนด / Overdue","ล่าช้า / Behind")))))</f>
        <v/>
      </c>
      <c r="Z125" s="32"/>
      <c r="AA125" s="69" t="n">
        <f aca="false">IF(D125="",0,IF(L125&lt;&gt;"",L125,N(I125)))</f>
        <v>0</v>
      </c>
      <c r="AB125" s="69" t="n">
        <f aca="false">IF(D125="",0,IF(M125&lt;&gt;"",M125,N(J125)))</f>
        <v>0</v>
      </c>
      <c r="AC125" s="185" t="str">
        <f aca="false">IF(AND(D125&lt;&gt;"",O125="",ISNUMBER(X125)),X125+(1000-ROW())/1000000,"")</f>
        <v/>
      </c>
      <c r="AD125" s="185" t="n">
        <f aca="false">IF(AND(D125&lt;&gt;"",O125="",AA125&gt;0,AA125&lt;='ตั้งค่า Setup'!$C$15+'ตั้งค่า Setup'!$C$20),1,0)</f>
        <v>0</v>
      </c>
      <c r="AE125" s="185" t="str">
        <f aca="false">IF(AD125=1,SUM(AD$7:AD125),"")</f>
        <v/>
      </c>
    </row>
    <row r="126" customFormat="false" ht="15" hidden="false" customHeight="false" outlineLevel="0" collapsed="false">
      <c r="A126" s="181" t="str">
        <f aca="false">IF(OR(B126="",C126="",D126=""),"",IFERROR(MATCH(B126,'ตั้งค่า Setup'!$C$26:$C$65,0)&amp;"."&amp;MATCH(C126,'ตั้งค่า Setup'!$C$68:$C$107,0)&amp;"."&amp;TEXT(COUNTIFS(B$7:B126,B126,C$7:C126,C126),"00"),"?"))</f>
        <v/>
      </c>
      <c r="B126" s="32"/>
      <c r="C126" s="32"/>
      <c r="D126" s="32"/>
      <c r="E126" s="23"/>
      <c r="F126" s="113"/>
      <c r="G126" s="115" t="n">
        <f aca="false">IF(D126="",0,IF(F126&lt;&gt;"",F126,IF(SUM($E$7:$E$156)&gt;0,N(E126)/SUM($E$7:$E$156),0)))</f>
        <v>0</v>
      </c>
      <c r="H126" s="182" t="str">
        <f aca="false">IF(D126="","",G126*'ตั้งค่า Setup'!$C$9)</f>
        <v/>
      </c>
      <c r="I126" s="24"/>
      <c r="J126" s="24"/>
      <c r="K126" s="117" t="str">
        <f aca="false">IF(OR(I126="",J126=""),"",J126-I126+1)</f>
        <v/>
      </c>
      <c r="L126" s="24"/>
      <c r="M126" s="24"/>
      <c r="N126" s="24"/>
      <c r="O126" s="24"/>
      <c r="P126" s="113"/>
      <c r="Q126" s="115" t="str">
        <f aca="false">IF(OR(D126="",I126="",J126=""),"",MAX(0,MIN(1,('ตั้งค่า Setup'!$C$15-I126+1)/(J126-I126+1))))</f>
        <v/>
      </c>
      <c r="R126" s="115" t="str">
        <f aca="false">IF(OR(D126="",AA126=0),"",MAX(0,MIN(1,('ตั้งค่า Setup'!$C$15-AA126+1)/(AB126-AA126+1))))</f>
        <v/>
      </c>
      <c r="S126" s="182" t="str">
        <f aca="false">IF(Q126="","",H126*Q126)</f>
        <v/>
      </c>
      <c r="T126" s="182" t="str">
        <f aca="false">IF(D126="","",H126*N(P126))</f>
        <v/>
      </c>
      <c r="U126" s="182" t="str">
        <f aca="false">IF(OR(S126="",T126=""),"",T126-S126)</f>
        <v/>
      </c>
      <c r="V126" s="183" t="str">
        <f aca="false">IF(OR(S126="",T126=""),"",IF(S126=0,"",T126/S126))</f>
        <v/>
      </c>
      <c r="W126" s="127" t="str">
        <f aca="false">IF(OR(D126="",AA126=0),"",IF(O126&lt;&gt;"",O126,IF(AND(N(P126)&gt;0,N126&lt;&gt;""),N126+ROUND((MAX('ตั้งค่า Setup'!$C$15,N126)-N126+1)/P126,0)-1,MAX(AB126,'ตั้งค่า Setup'!$C$15+AB126-AA126))))</f>
        <v/>
      </c>
      <c r="X126" s="184" t="str">
        <f aca="false">IF(OR(W126="",J126=""),"",W126-J126)</f>
        <v/>
      </c>
      <c r="Y126" s="117" t="str">
        <f aca="false">IF(OR(D126="",I126="",J126=""),"",IF(O126&lt;&gt;"",IF(O126&lt;=J126,"เสร็จ / Completed","เสร็จช้า / Completed Late"),IF(AND(N126="",'ตั้งค่า Setup'!$C$15&lt;AA126),"ยังไม่ถึงกำหนด / Not Due",IF(N(P126)&gt;=Q126,"ตามแผน / On Track",IF('ตั้งค่า Setup'!$C$15&gt;J126,"เกินกำหนด / Overdue","ล่าช้า / Behind")))))</f>
        <v/>
      </c>
      <c r="Z126" s="32"/>
      <c r="AA126" s="69" t="n">
        <f aca="false">IF(D126="",0,IF(L126&lt;&gt;"",L126,N(I126)))</f>
        <v>0</v>
      </c>
      <c r="AB126" s="69" t="n">
        <f aca="false">IF(D126="",0,IF(M126&lt;&gt;"",M126,N(J126)))</f>
        <v>0</v>
      </c>
      <c r="AC126" s="185" t="str">
        <f aca="false">IF(AND(D126&lt;&gt;"",O126="",ISNUMBER(X126)),X126+(1000-ROW())/1000000,"")</f>
        <v/>
      </c>
      <c r="AD126" s="185" t="n">
        <f aca="false">IF(AND(D126&lt;&gt;"",O126="",AA126&gt;0,AA126&lt;='ตั้งค่า Setup'!$C$15+'ตั้งค่า Setup'!$C$20),1,0)</f>
        <v>0</v>
      </c>
      <c r="AE126" s="185" t="str">
        <f aca="false">IF(AD126=1,SUM(AD$7:AD126),"")</f>
        <v/>
      </c>
    </row>
    <row r="127" customFormat="false" ht="15" hidden="false" customHeight="false" outlineLevel="0" collapsed="false">
      <c r="A127" s="181" t="str">
        <f aca="false">IF(OR(B127="",C127="",D127=""),"",IFERROR(MATCH(B127,'ตั้งค่า Setup'!$C$26:$C$65,0)&amp;"."&amp;MATCH(C127,'ตั้งค่า Setup'!$C$68:$C$107,0)&amp;"."&amp;TEXT(COUNTIFS(B$7:B127,B127,C$7:C127,C127),"00"),"?"))</f>
        <v/>
      </c>
      <c r="B127" s="32"/>
      <c r="C127" s="32"/>
      <c r="D127" s="32"/>
      <c r="E127" s="23"/>
      <c r="F127" s="113"/>
      <c r="G127" s="115" t="n">
        <f aca="false">IF(D127="",0,IF(F127&lt;&gt;"",F127,IF(SUM($E$7:$E$156)&gt;0,N(E127)/SUM($E$7:$E$156),0)))</f>
        <v>0</v>
      </c>
      <c r="H127" s="182" t="str">
        <f aca="false">IF(D127="","",G127*'ตั้งค่า Setup'!$C$9)</f>
        <v/>
      </c>
      <c r="I127" s="24"/>
      <c r="J127" s="24"/>
      <c r="K127" s="117" t="str">
        <f aca="false">IF(OR(I127="",J127=""),"",J127-I127+1)</f>
        <v/>
      </c>
      <c r="L127" s="24"/>
      <c r="M127" s="24"/>
      <c r="N127" s="24"/>
      <c r="O127" s="24"/>
      <c r="P127" s="113"/>
      <c r="Q127" s="115" t="str">
        <f aca="false">IF(OR(D127="",I127="",J127=""),"",MAX(0,MIN(1,('ตั้งค่า Setup'!$C$15-I127+1)/(J127-I127+1))))</f>
        <v/>
      </c>
      <c r="R127" s="115" t="str">
        <f aca="false">IF(OR(D127="",AA127=0),"",MAX(0,MIN(1,('ตั้งค่า Setup'!$C$15-AA127+1)/(AB127-AA127+1))))</f>
        <v/>
      </c>
      <c r="S127" s="182" t="str">
        <f aca="false">IF(Q127="","",H127*Q127)</f>
        <v/>
      </c>
      <c r="T127" s="182" t="str">
        <f aca="false">IF(D127="","",H127*N(P127))</f>
        <v/>
      </c>
      <c r="U127" s="182" t="str">
        <f aca="false">IF(OR(S127="",T127=""),"",T127-S127)</f>
        <v/>
      </c>
      <c r="V127" s="183" t="str">
        <f aca="false">IF(OR(S127="",T127=""),"",IF(S127=0,"",T127/S127))</f>
        <v/>
      </c>
      <c r="W127" s="127" t="str">
        <f aca="false">IF(OR(D127="",AA127=0),"",IF(O127&lt;&gt;"",O127,IF(AND(N(P127)&gt;0,N127&lt;&gt;""),N127+ROUND((MAX('ตั้งค่า Setup'!$C$15,N127)-N127+1)/P127,0)-1,MAX(AB127,'ตั้งค่า Setup'!$C$15+AB127-AA127))))</f>
        <v/>
      </c>
      <c r="X127" s="184" t="str">
        <f aca="false">IF(OR(W127="",J127=""),"",W127-J127)</f>
        <v/>
      </c>
      <c r="Y127" s="117" t="str">
        <f aca="false">IF(OR(D127="",I127="",J127=""),"",IF(O127&lt;&gt;"",IF(O127&lt;=J127,"เสร็จ / Completed","เสร็จช้า / Completed Late"),IF(AND(N127="",'ตั้งค่า Setup'!$C$15&lt;AA127),"ยังไม่ถึงกำหนด / Not Due",IF(N(P127)&gt;=Q127,"ตามแผน / On Track",IF('ตั้งค่า Setup'!$C$15&gt;J127,"เกินกำหนด / Overdue","ล่าช้า / Behind")))))</f>
        <v/>
      </c>
      <c r="Z127" s="32"/>
      <c r="AA127" s="69" t="n">
        <f aca="false">IF(D127="",0,IF(L127&lt;&gt;"",L127,N(I127)))</f>
        <v>0</v>
      </c>
      <c r="AB127" s="69" t="n">
        <f aca="false">IF(D127="",0,IF(M127&lt;&gt;"",M127,N(J127)))</f>
        <v>0</v>
      </c>
      <c r="AC127" s="185" t="str">
        <f aca="false">IF(AND(D127&lt;&gt;"",O127="",ISNUMBER(X127)),X127+(1000-ROW())/1000000,"")</f>
        <v/>
      </c>
      <c r="AD127" s="185" t="n">
        <f aca="false">IF(AND(D127&lt;&gt;"",O127="",AA127&gt;0,AA127&lt;='ตั้งค่า Setup'!$C$15+'ตั้งค่า Setup'!$C$20),1,0)</f>
        <v>0</v>
      </c>
      <c r="AE127" s="185" t="str">
        <f aca="false">IF(AD127=1,SUM(AD$7:AD127),"")</f>
        <v/>
      </c>
    </row>
    <row r="128" customFormat="false" ht="15" hidden="false" customHeight="false" outlineLevel="0" collapsed="false">
      <c r="A128" s="181" t="str">
        <f aca="false">IF(OR(B128="",C128="",D128=""),"",IFERROR(MATCH(B128,'ตั้งค่า Setup'!$C$26:$C$65,0)&amp;"."&amp;MATCH(C128,'ตั้งค่า Setup'!$C$68:$C$107,0)&amp;"."&amp;TEXT(COUNTIFS(B$7:B128,B128,C$7:C128,C128),"00"),"?"))</f>
        <v/>
      </c>
      <c r="B128" s="32"/>
      <c r="C128" s="32"/>
      <c r="D128" s="32"/>
      <c r="E128" s="23"/>
      <c r="F128" s="113"/>
      <c r="G128" s="115" t="n">
        <f aca="false">IF(D128="",0,IF(F128&lt;&gt;"",F128,IF(SUM($E$7:$E$156)&gt;0,N(E128)/SUM($E$7:$E$156),0)))</f>
        <v>0</v>
      </c>
      <c r="H128" s="182" t="str">
        <f aca="false">IF(D128="","",G128*'ตั้งค่า Setup'!$C$9)</f>
        <v/>
      </c>
      <c r="I128" s="24"/>
      <c r="J128" s="24"/>
      <c r="K128" s="117" t="str">
        <f aca="false">IF(OR(I128="",J128=""),"",J128-I128+1)</f>
        <v/>
      </c>
      <c r="L128" s="24"/>
      <c r="M128" s="24"/>
      <c r="N128" s="24"/>
      <c r="O128" s="24"/>
      <c r="P128" s="113"/>
      <c r="Q128" s="115" t="str">
        <f aca="false">IF(OR(D128="",I128="",J128=""),"",MAX(0,MIN(1,('ตั้งค่า Setup'!$C$15-I128+1)/(J128-I128+1))))</f>
        <v/>
      </c>
      <c r="R128" s="115" t="str">
        <f aca="false">IF(OR(D128="",AA128=0),"",MAX(0,MIN(1,('ตั้งค่า Setup'!$C$15-AA128+1)/(AB128-AA128+1))))</f>
        <v/>
      </c>
      <c r="S128" s="182" t="str">
        <f aca="false">IF(Q128="","",H128*Q128)</f>
        <v/>
      </c>
      <c r="T128" s="182" t="str">
        <f aca="false">IF(D128="","",H128*N(P128))</f>
        <v/>
      </c>
      <c r="U128" s="182" t="str">
        <f aca="false">IF(OR(S128="",T128=""),"",T128-S128)</f>
        <v/>
      </c>
      <c r="V128" s="183" t="str">
        <f aca="false">IF(OR(S128="",T128=""),"",IF(S128=0,"",T128/S128))</f>
        <v/>
      </c>
      <c r="W128" s="127" t="str">
        <f aca="false">IF(OR(D128="",AA128=0),"",IF(O128&lt;&gt;"",O128,IF(AND(N(P128)&gt;0,N128&lt;&gt;""),N128+ROUND((MAX('ตั้งค่า Setup'!$C$15,N128)-N128+1)/P128,0)-1,MAX(AB128,'ตั้งค่า Setup'!$C$15+AB128-AA128))))</f>
        <v/>
      </c>
      <c r="X128" s="184" t="str">
        <f aca="false">IF(OR(W128="",J128=""),"",W128-J128)</f>
        <v/>
      </c>
      <c r="Y128" s="117" t="str">
        <f aca="false">IF(OR(D128="",I128="",J128=""),"",IF(O128&lt;&gt;"",IF(O128&lt;=J128,"เสร็จ / Completed","เสร็จช้า / Completed Late"),IF(AND(N128="",'ตั้งค่า Setup'!$C$15&lt;AA128),"ยังไม่ถึงกำหนด / Not Due",IF(N(P128)&gt;=Q128,"ตามแผน / On Track",IF('ตั้งค่า Setup'!$C$15&gt;J128,"เกินกำหนด / Overdue","ล่าช้า / Behind")))))</f>
        <v/>
      </c>
      <c r="Z128" s="32"/>
      <c r="AA128" s="69" t="n">
        <f aca="false">IF(D128="",0,IF(L128&lt;&gt;"",L128,N(I128)))</f>
        <v>0</v>
      </c>
      <c r="AB128" s="69" t="n">
        <f aca="false">IF(D128="",0,IF(M128&lt;&gt;"",M128,N(J128)))</f>
        <v>0</v>
      </c>
      <c r="AC128" s="185" t="str">
        <f aca="false">IF(AND(D128&lt;&gt;"",O128="",ISNUMBER(X128)),X128+(1000-ROW())/1000000,"")</f>
        <v/>
      </c>
      <c r="AD128" s="185" t="n">
        <f aca="false">IF(AND(D128&lt;&gt;"",O128="",AA128&gt;0,AA128&lt;='ตั้งค่า Setup'!$C$15+'ตั้งค่า Setup'!$C$20),1,0)</f>
        <v>0</v>
      </c>
      <c r="AE128" s="185" t="str">
        <f aca="false">IF(AD128=1,SUM(AD$7:AD128),"")</f>
        <v/>
      </c>
    </row>
    <row r="129" customFormat="false" ht="15" hidden="false" customHeight="false" outlineLevel="0" collapsed="false">
      <c r="A129" s="181" t="str">
        <f aca="false">IF(OR(B129="",C129="",D129=""),"",IFERROR(MATCH(B129,'ตั้งค่า Setup'!$C$26:$C$65,0)&amp;"."&amp;MATCH(C129,'ตั้งค่า Setup'!$C$68:$C$107,0)&amp;"."&amp;TEXT(COUNTIFS(B$7:B129,B129,C$7:C129,C129),"00"),"?"))</f>
        <v/>
      </c>
      <c r="B129" s="32"/>
      <c r="C129" s="32"/>
      <c r="D129" s="32"/>
      <c r="E129" s="23"/>
      <c r="F129" s="113"/>
      <c r="G129" s="115" t="n">
        <f aca="false">IF(D129="",0,IF(F129&lt;&gt;"",F129,IF(SUM($E$7:$E$156)&gt;0,N(E129)/SUM($E$7:$E$156),0)))</f>
        <v>0</v>
      </c>
      <c r="H129" s="182" t="str">
        <f aca="false">IF(D129="","",G129*'ตั้งค่า Setup'!$C$9)</f>
        <v/>
      </c>
      <c r="I129" s="24"/>
      <c r="J129" s="24"/>
      <c r="K129" s="117" t="str">
        <f aca="false">IF(OR(I129="",J129=""),"",J129-I129+1)</f>
        <v/>
      </c>
      <c r="L129" s="24"/>
      <c r="M129" s="24"/>
      <c r="N129" s="24"/>
      <c r="O129" s="24"/>
      <c r="P129" s="113"/>
      <c r="Q129" s="115" t="str">
        <f aca="false">IF(OR(D129="",I129="",J129=""),"",MAX(0,MIN(1,('ตั้งค่า Setup'!$C$15-I129+1)/(J129-I129+1))))</f>
        <v/>
      </c>
      <c r="R129" s="115" t="str">
        <f aca="false">IF(OR(D129="",AA129=0),"",MAX(0,MIN(1,('ตั้งค่า Setup'!$C$15-AA129+1)/(AB129-AA129+1))))</f>
        <v/>
      </c>
      <c r="S129" s="182" t="str">
        <f aca="false">IF(Q129="","",H129*Q129)</f>
        <v/>
      </c>
      <c r="T129" s="182" t="str">
        <f aca="false">IF(D129="","",H129*N(P129))</f>
        <v/>
      </c>
      <c r="U129" s="182" t="str">
        <f aca="false">IF(OR(S129="",T129=""),"",T129-S129)</f>
        <v/>
      </c>
      <c r="V129" s="183" t="str">
        <f aca="false">IF(OR(S129="",T129=""),"",IF(S129=0,"",T129/S129))</f>
        <v/>
      </c>
      <c r="W129" s="127" t="str">
        <f aca="false">IF(OR(D129="",AA129=0),"",IF(O129&lt;&gt;"",O129,IF(AND(N(P129)&gt;0,N129&lt;&gt;""),N129+ROUND((MAX('ตั้งค่า Setup'!$C$15,N129)-N129+1)/P129,0)-1,MAX(AB129,'ตั้งค่า Setup'!$C$15+AB129-AA129))))</f>
        <v/>
      </c>
      <c r="X129" s="184" t="str">
        <f aca="false">IF(OR(W129="",J129=""),"",W129-J129)</f>
        <v/>
      </c>
      <c r="Y129" s="117" t="str">
        <f aca="false">IF(OR(D129="",I129="",J129=""),"",IF(O129&lt;&gt;"",IF(O129&lt;=J129,"เสร็จ / Completed","เสร็จช้า / Completed Late"),IF(AND(N129="",'ตั้งค่า Setup'!$C$15&lt;AA129),"ยังไม่ถึงกำหนด / Not Due",IF(N(P129)&gt;=Q129,"ตามแผน / On Track",IF('ตั้งค่า Setup'!$C$15&gt;J129,"เกินกำหนด / Overdue","ล่าช้า / Behind")))))</f>
        <v/>
      </c>
      <c r="Z129" s="32"/>
      <c r="AA129" s="69" t="n">
        <f aca="false">IF(D129="",0,IF(L129&lt;&gt;"",L129,N(I129)))</f>
        <v>0</v>
      </c>
      <c r="AB129" s="69" t="n">
        <f aca="false">IF(D129="",0,IF(M129&lt;&gt;"",M129,N(J129)))</f>
        <v>0</v>
      </c>
      <c r="AC129" s="185" t="str">
        <f aca="false">IF(AND(D129&lt;&gt;"",O129="",ISNUMBER(X129)),X129+(1000-ROW())/1000000,"")</f>
        <v/>
      </c>
      <c r="AD129" s="185" t="n">
        <f aca="false">IF(AND(D129&lt;&gt;"",O129="",AA129&gt;0,AA129&lt;='ตั้งค่า Setup'!$C$15+'ตั้งค่า Setup'!$C$20),1,0)</f>
        <v>0</v>
      </c>
      <c r="AE129" s="185" t="str">
        <f aca="false">IF(AD129=1,SUM(AD$7:AD129),"")</f>
        <v/>
      </c>
    </row>
    <row r="130" customFormat="false" ht="15" hidden="false" customHeight="false" outlineLevel="0" collapsed="false">
      <c r="A130" s="181" t="str">
        <f aca="false">IF(OR(B130="",C130="",D130=""),"",IFERROR(MATCH(B130,'ตั้งค่า Setup'!$C$26:$C$65,0)&amp;"."&amp;MATCH(C130,'ตั้งค่า Setup'!$C$68:$C$107,0)&amp;"."&amp;TEXT(COUNTIFS(B$7:B130,B130,C$7:C130,C130),"00"),"?"))</f>
        <v/>
      </c>
      <c r="B130" s="32"/>
      <c r="C130" s="32"/>
      <c r="D130" s="32"/>
      <c r="E130" s="23"/>
      <c r="F130" s="113"/>
      <c r="G130" s="115" t="n">
        <f aca="false">IF(D130="",0,IF(F130&lt;&gt;"",F130,IF(SUM($E$7:$E$156)&gt;0,N(E130)/SUM($E$7:$E$156),0)))</f>
        <v>0</v>
      </c>
      <c r="H130" s="182" t="str">
        <f aca="false">IF(D130="","",G130*'ตั้งค่า Setup'!$C$9)</f>
        <v/>
      </c>
      <c r="I130" s="24"/>
      <c r="J130" s="24"/>
      <c r="K130" s="117" t="str">
        <f aca="false">IF(OR(I130="",J130=""),"",J130-I130+1)</f>
        <v/>
      </c>
      <c r="L130" s="24"/>
      <c r="M130" s="24"/>
      <c r="N130" s="24"/>
      <c r="O130" s="24"/>
      <c r="P130" s="113"/>
      <c r="Q130" s="115" t="str">
        <f aca="false">IF(OR(D130="",I130="",J130=""),"",MAX(0,MIN(1,('ตั้งค่า Setup'!$C$15-I130+1)/(J130-I130+1))))</f>
        <v/>
      </c>
      <c r="R130" s="115" t="str">
        <f aca="false">IF(OR(D130="",AA130=0),"",MAX(0,MIN(1,('ตั้งค่า Setup'!$C$15-AA130+1)/(AB130-AA130+1))))</f>
        <v/>
      </c>
      <c r="S130" s="182" t="str">
        <f aca="false">IF(Q130="","",H130*Q130)</f>
        <v/>
      </c>
      <c r="T130" s="182" t="str">
        <f aca="false">IF(D130="","",H130*N(P130))</f>
        <v/>
      </c>
      <c r="U130" s="182" t="str">
        <f aca="false">IF(OR(S130="",T130=""),"",T130-S130)</f>
        <v/>
      </c>
      <c r="V130" s="183" t="str">
        <f aca="false">IF(OR(S130="",T130=""),"",IF(S130=0,"",T130/S130))</f>
        <v/>
      </c>
      <c r="W130" s="127" t="str">
        <f aca="false">IF(OR(D130="",AA130=0),"",IF(O130&lt;&gt;"",O130,IF(AND(N(P130)&gt;0,N130&lt;&gt;""),N130+ROUND((MAX('ตั้งค่า Setup'!$C$15,N130)-N130+1)/P130,0)-1,MAX(AB130,'ตั้งค่า Setup'!$C$15+AB130-AA130))))</f>
        <v/>
      </c>
      <c r="X130" s="184" t="str">
        <f aca="false">IF(OR(W130="",J130=""),"",W130-J130)</f>
        <v/>
      </c>
      <c r="Y130" s="117" t="str">
        <f aca="false">IF(OR(D130="",I130="",J130=""),"",IF(O130&lt;&gt;"",IF(O130&lt;=J130,"เสร็จ / Completed","เสร็จช้า / Completed Late"),IF(AND(N130="",'ตั้งค่า Setup'!$C$15&lt;AA130),"ยังไม่ถึงกำหนด / Not Due",IF(N(P130)&gt;=Q130,"ตามแผน / On Track",IF('ตั้งค่า Setup'!$C$15&gt;J130,"เกินกำหนด / Overdue","ล่าช้า / Behind")))))</f>
        <v/>
      </c>
      <c r="Z130" s="32"/>
      <c r="AA130" s="69" t="n">
        <f aca="false">IF(D130="",0,IF(L130&lt;&gt;"",L130,N(I130)))</f>
        <v>0</v>
      </c>
      <c r="AB130" s="69" t="n">
        <f aca="false">IF(D130="",0,IF(M130&lt;&gt;"",M130,N(J130)))</f>
        <v>0</v>
      </c>
      <c r="AC130" s="185" t="str">
        <f aca="false">IF(AND(D130&lt;&gt;"",O130="",ISNUMBER(X130)),X130+(1000-ROW())/1000000,"")</f>
        <v/>
      </c>
      <c r="AD130" s="185" t="n">
        <f aca="false">IF(AND(D130&lt;&gt;"",O130="",AA130&gt;0,AA130&lt;='ตั้งค่า Setup'!$C$15+'ตั้งค่า Setup'!$C$20),1,0)</f>
        <v>0</v>
      </c>
      <c r="AE130" s="185" t="str">
        <f aca="false">IF(AD130=1,SUM(AD$7:AD130),"")</f>
        <v/>
      </c>
    </row>
    <row r="131" customFormat="false" ht="15" hidden="false" customHeight="false" outlineLevel="0" collapsed="false">
      <c r="A131" s="181" t="str">
        <f aca="false">IF(OR(B131="",C131="",D131=""),"",IFERROR(MATCH(B131,'ตั้งค่า Setup'!$C$26:$C$65,0)&amp;"."&amp;MATCH(C131,'ตั้งค่า Setup'!$C$68:$C$107,0)&amp;"."&amp;TEXT(COUNTIFS(B$7:B131,B131,C$7:C131,C131),"00"),"?"))</f>
        <v/>
      </c>
      <c r="B131" s="32"/>
      <c r="C131" s="32"/>
      <c r="D131" s="32"/>
      <c r="E131" s="23"/>
      <c r="F131" s="113"/>
      <c r="G131" s="115" t="n">
        <f aca="false">IF(D131="",0,IF(F131&lt;&gt;"",F131,IF(SUM($E$7:$E$156)&gt;0,N(E131)/SUM($E$7:$E$156),0)))</f>
        <v>0</v>
      </c>
      <c r="H131" s="182" t="str">
        <f aca="false">IF(D131="","",G131*'ตั้งค่า Setup'!$C$9)</f>
        <v/>
      </c>
      <c r="I131" s="24"/>
      <c r="J131" s="24"/>
      <c r="K131" s="117" t="str">
        <f aca="false">IF(OR(I131="",J131=""),"",J131-I131+1)</f>
        <v/>
      </c>
      <c r="L131" s="24"/>
      <c r="M131" s="24"/>
      <c r="N131" s="24"/>
      <c r="O131" s="24"/>
      <c r="P131" s="113"/>
      <c r="Q131" s="115" t="str">
        <f aca="false">IF(OR(D131="",I131="",J131=""),"",MAX(0,MIN(1,('ตั้งค่า Setup'!$C$15-I131+1)/(J131-I131+1))))</f>
        <v/>
      </c>
      <c r="R131" s="115" t="str">
        <f aca="false">IF(OR(D131="",AA131=0),"",MAX(0,MIN(1,('ตั้งค่า Setup'!$C$15-AA131+1)/(AB131-AA131+1))))</f>
        <v/>
      </c>
      <c r="S131" s="182" t="str">
        <f aca="false">IF(Q131="","",H131*Q131)</f>
        <v/>
      </c>
      <c r="T131" s="182" t="str">
        <f aca="false">IF(D131="","",H131*N(P131))</f>
        <v/>
      </c>
      <c r="U131" s="182" t="str">
        <f aca="false">IF(OR(S131="",T131=""),"",T131-S131)</f>
        <v/>
      </c>
      <c r="V131" s="183" t="str">
        <f aca="false">IF(OR(S131="",T131=""),"",IF(S131=0,"",T131/S131))</f>
        <v/>
      </c>
      <c r="W131" s="127" t="str">
        <f aca="false">IF(OR(D131="",AA131=0),"",IF(O131&lt;&gt;"",O131,IF(AND(N(P131)&gt;0,N131&lt;&gt;""),N131+ROUND((MAX('ตั้งค่า Setup'!$C$15,N131)-N131+1)/P131,0)-1,MAX(AB131,'ตั้งค่า Setup'!$C$15+AB131-AA131))))</f>
        <v/>
      </c>
      <c r="X131" s="184" t="str">
        <f aca="false">IF(OR(W131="",J131=""),"",W131-J131)</f>
        <v/>
      </c>
      <c r="Y131" s="117" t="str">
        <f aca="false">IF(OR(D131="",I131="",J131=""),"",IF(O131&lt;&gt;"",IF(O131&lt;=J131,"เสร็จ / Completed","เสร็จช้า / Completed Late"),IF(AND(N131="",'ตั้งค่า Setup'!$C$15&lt;AA131),"ยังไม่ถึงกำหนด / Not Due",IF(N(P131)&gt;=Q131,"ตามแผน / On Track",IF('ตั้งค่า Setup'!$C$15&gt;J131,"เกินกำหนด / Overdue","ล่าช้า / Behind")))))</f>
        <v/>
      </c>
      <c r="Z131" s="32"/>
      <c r="AA131" s="69" t="n">
        <f aca="false">IF(D131="",0,IF(L131&lt;&gt;"",L131,N(I131)))</f>
        <v>0</v>
      </c>
      <c r="AB131" s="69" t="n">
        <f aca="false">IF(D131="",0,IF(M131&lt;&gt;"",M131,N(J131)))</f>
        <v>0</v>
      </c>
      <c r="AC131" s="185" t="str">
        <f aca="false">IF(AND(D131&lt;&gt;"",O131="",ISNUMBER(X131)),X131+(1000-ROW())/1000000,"")</f>
        <v/>
      </c>
      <c r="AD131" s="185" t="n">
        <f aca="false">IF(AND(D131&lt;&gt;"",O131="",AA131&gt;0,AA131&lt;='ตั้งค่า Setup'!$C$15+'ตั้งค่า Setup'!$C$20),1,0)</f>
        <v>0</v>
      </c>
      <c r="AE131" s="185" t="str">
        <f aca="false">IF(AD131=1,SUM(AD$7:AD131),"")</f>
        <v/>
      </c>
    </row>
    <row r="132" customFormat="false" ht="15" hidden="false" customHeight="false" outlineLevel="0" collapsed="false">
      <c r="A132" s="181" t="str">
        <f aca="false">IF(OR(B132="",C132="",D132=""),"",IFERROR(MATCH(B132,'ตั้งค่า Setup'!$C$26:$C$65,0)&amp;"."&amp;MATCH(C132,'ตั้งค่า Setup'!$C$68:$C$107,0)&amp;"."&amp;TEXT(COUNTIFS(B$7:B132,B132,C$7:C132,C132),"00"),"?"))</f>
        <v/>
      </c>
      <c r="B132" s="32"/>
      <c r="C132" s="32"/>
      <c r="D132" s="32"/>
      <c r="E132" s="23"/>
      <c r="F132" s="113"/>
      <c r="G132" s="115" t="n">
        <f aca="false">IF(D132="",0,IF(F132&lt;&gt;"",F132,IF(SUM($E$7:$E$156)&gt;0,N(E132)/SUM($E$7:$E$156),0)))</f>
        <v>0</v>
      </c>
      <c r="H132" s="182" t="str">
        <f aca="false">IF(D132="","",G132*'ตั้งค่า Setup'!$C$9)</f>
        <v/>
      </c>
      <c r="I132" s="24"/>
      <c r="J132" s="24"/>
      <c r="K132" s="117" t="str">
        <f aca="false">IF(OR(I132="",J132=""),"",J132-I132+1)</f>
        <v/>
      </c>
      <c r="L132" s="24"/>
      <c r="M132" s="24"/>
      <c r="N132" s="24"/>
      <c r="O132" s="24"/>
      <c r="P132" s="113"/>
      <c r="Q132" s="115" t="str">
        <f aca="false">IF(OR(D132="",I132="",J132=""),"",MAX(0,MIN(1,('ตั้งค่า Setup'!$C$15-I132+1)/(J132-I132+1))))</f>
        <v/>
      </c>
      <c r="R132" s="115" t="str">
        <f aca="false">IF(OR(D132="",AA132=0),"",MAX(0,MIN(1,('ตั้งค่า Setup'!$C$15-AA132+1)/(AB132-AA132+1))))</f>
        <v/>
      </c>
      <c r="S132" s="182" t="str">
        <f aca="false">IF(Q132="","",H132*Q132)</f>
        <v/>
      </c>
      <c r="T132" s="182" t="str">
        <f aca="false">IF(D132="","",H132*N(P132))</f>
        <v/>
      </c>
      <c r="U132" s="182" t="str">
        <f aca="false">IF(OR(S132="",T132=""),"",T132-S132)</f>
        <v/>
      </c>
      <c r="V132" s="183" t="str">
        <f aca="false">IF(OR(S132="",T132=""),"",IF(S132=0,"",T132/S132))</f>
        <v/>
      </c>
      <c r="W132" s="127" t="str">
        <f aca="false">IF(OR(D132="",AA132=0),"",IF(O132&lt;&gt;"",O132,IF(AND(N(P132)&gt;0,N132&lt;&gt;""),N132+ROUND((MAX('ตั้งค่า Setup'!$C$15,N132)-N132+1)/P132,0)-1,MAX(AB132,'ตั้งค่า Setup'!$C$15+AB132-AA132))))</f>
        <v/>
      </c>
      <c r="X132" s="184" t="str">
        <f aca="false">IF(OR(W132="",J132=""),"",W132-J132)</f>
        <v/>
      </c>
      <c r="Y132" s="117" t="str">
        <f aca="false">IF(OR(D132="",I132="",J132=""),"",IF(O132&lt;&gt;"",IF(O132&lt;=J132,"เสร็จ / Completed","เสร็จช้า / Completed Late"),IF(AND(N132="",'ตั้งค่า Setup'!$C$15&lt;AA132),"ยังไม่ถึงกำหนด / Not Due",IF(N(P132)&gt;=Q132,"ตามแผน / On Track",IF('ตั้งค่า Setup'!$C$15&gt;J132,"เกินกำหนด / Overdue","ล่าช้า / Behind")))))</f>
        <v/>
      </c>
      <c r="Z132" s="32"/>
      <c r="AA132" s="69" t="n">
        <f aca="false">IF(D132="",0,IF(L132&lt;&gt;"",L132,N(I132)))</f>
        <v>0</v>
      </c>
      <c r="AB132" s="69" t="n">
        <f aca="false">IF(D132="",0,IF(M132&lt;&gt;"",M132,N(J132)))</f>
        <v>0</v>
      </c>
      <c r="AC132" s="185" t="str">
        <f aca="false">IF(AND(D132&lt;&gt;"",O132="",ISNUMBER(X132)),X132+(1000-ROW())/1000000,"")</f>
        <v/>
      </c>
      <c r="AD132" s="185" t="n">
        <f aca="false">IF(AND(D132&lt;&gt;"",O132="",AA132&gt;0,AA132&lt;='ตั้งค่า Setup'!$C$15+'ตั้งค่า Setup'!$C$20),1,0)</f>
        <v>0</v>
      </c>
      <c r="AE132" s="185" t="str">
        <f aca="false">IF(AD132=1,SUM(AD$7:AD132),"")</f>
        <v/>
      </c>
    </row>
    <row r="133" customFormat="false" ht="15" hidden="false" customHeight="false" outlineLevel="0" collapsed="false">
      <c r="A133" s="181" t="str">
        <f aca="false">IF(OR(B133="",C133="",D133=""),"",IFERROR(MATCH(B133,'ตั้งค่า Setup'!$C$26:$C$65,0)&amp;"."&amp;MATCH(C133,'ตั้งค่า Setup'!$C$68:$C$107,0)&amp;"."&amp;TEXT(COUNTIFS(B$7:B133,B133,C$7:C133,C133),"00"),"?"))</f>
        <v/>
      </c>
      <c r="B133" s="32"/>
      <c r="C133" s="32"/>
      <c r="D133" s="32"/>
      <c r="E133" s="23"/>
      <c r="F133" s="113"/>
      <c r="G133" s="115" t="n">
        <f aca="false">IF(D133="",0,IF(F133&lt;&gt;"",F133,IF(SUM($E$7:$E$156)&gt;0,N(E133)/SUM($E$7:$E$156),0)))</f>
        <v>0</v>
      </c>
      <c r="H133" s="182" t="str">
        <f aca="false">IF(D133="","",G133*'ตั้งค่า Setup'!$C$9)</f>
        <v/>
      </c>
      <c r="I133" s="24"/>
      <c r="J133" s="24"/>
      <c r="K133" s="117" t="str">
        <f aca="false">IF(OR(I133="",J133=""),"",J133-I133+1)</f>
        <v/>
      </c>
      <c r="L133" s="24"/>
      <c r="M133" s="24"/>
      <c r="N133" s="24"/>
      <c r="O133" s="24"/>
      <c r="P133" s="113"/>
      <c r="Q133" s="115" t="str">
        <f aca="false">IF(OR(D133="",I133="",J133=""),"",MAX(0,MIN(1,('ตั้งค่า Setup'!$C$15-I133+1)/(J133-I133+1))))</f>
        <v/>
      </c>
      <c r="R133" s="115" t="str">
        <f aca="false">IF(OR(D133="",AA133=0),"",MAX(0,MIN(1,('ตั้งค่า Setup'!$C$15-AA133+1)/(AB133-AA133+1))))</f>
        <v/>
      </c>
      <c r="S133" s="182" t="str">
        <f aca="false">IF(Q133="","",H133*Q133)</f>
        <v/>
      </c>
      <c r="T133" s="182" t="str">
        <f aca="false">IF(D133="","",H133*N(P133))</f>
        <v/>
      </c>
      <c r="U133" s="182" t="str">
        <f aca="false">IF(OR(S133="",T133=""),"",T133-S133)</f>
        <v/>
      </c>
      <c r="V133" s="183" t="str">
        <f aca="false">IF(OR(S133="",T133=""),"",IF(S133=0,"",T133/S133))</f>
        <v/>
      </c>
      <c r="W133" s="127" t="str">
        <f aca="false">IF(OR(D133="",AA133=0),"",IF(O133&lt;&gt;"",O133,IF(AND(N(P133)&gt;0,N133&lt;&gt;""),N133+ROUND((MAX('ตั้งค่า Setup'!$C$15,N133)-N133+1)/P133,0)-1,MAX(AB133,'ตั้งค่า Setup'!$C$15+AB133-AA133))))</f>
        <v/>
      </c>
      <c r="X133" s="184" t="str">
        <f aca="false">IF(OR(W133="",J133=""),"",W133-J133)</f>
        <v/>
      </c>
      <c r="Y133" s="117" t="str">
        <f aca="false">IF(OR(D133="",I133="",J133=""),"",IF(O133&lt;&gt;"",IF(O133&lt;=J133,"เสร็จ / Completed","เสร็จช้า / Completed Late"),IF(AND(N133="",'ตั้งค่า Setup'!$C$15&lt;AA133),"ยังไม่ถึงกำหนด / Not Due",IF(N(P133)&gt;=Q133,"ตามแผน / On Track",IF('ตั้งค่า Setup'!$C$15&gt;J133,"เกินกำหนด / Overdue","ล่าช้า / Behind")))))</f>
        <v/>
      </c>
      <c r="Z133" s="32"/>
      <c r="AA133" s="69" t="n">
        <f aca="false">IF(D133="",0,IF(L133&lt;&gt;"",L133,N(I133)))</f>
        <v>0</v>
      </c>
      <c r="AB133" s="69" t="n">
        <f aca="false">IF(D133="",0,IF(M133&lt;&gt;"",M133,N(J133)))</f>
        <v>0</v>
      </c>
      <c r="AC133" s="185" t="str">
        <f aca="false">IF(AND(D133&lt;&gt;"",O133="",ISNUMBER(X133)),X133+(1000-ROW())/1000000,"")</f>
        <v/>
      </c>
      <c r="AD133" s="185" t="n">
        <f aca="false">IF(AND(D133&lt;&gt;"",O133="",AA133&gt;0,AA133&lt;='ตั้งค่า Setup'!$C$15+'ตั้งค่า Setup'!$C$20),1,0)</f>
        <v>0</v>
      </c>
      <c r="AE133" s="185" t="str">
        <f aca="false">IF(AD133=1,SUM(AD$7:AD133),"")</f>
        <v/>
      </c>
    </row>
    <row r="134" customFormat="false" ht="15" hidden="false" customHeight="false" outlineLevel="0" collapsed="false">
      <c r="A134" s="181" t="str">
        <f aca="false">IF(OR(B134="",C134="",D134=""),"",IFERROR(MATCH(B134,'ตั้งค่า Setup'!$C$26:$C$65,0)&amp;"."&amp;MATCH(C134,'ตั้งค่า Setup'!$C$68:$C$107,0)&amp;"."&amp;TEXT(COUNTIFS(B$7:B134,B134,C$7:C134,C134),"00"),"?"))</f>
        <v/>
      </c>
      <c r="B134" s="32"/>
      <c r="C134" s="32"/>
      <c r="D134" s="32"/>
      <c r="E134" s="23"/>
      <c r="F134" s="113"/>
      <c r="G134" s="115" t="n">
        <f aca="false">IF(D134="",0,IF(F134&lt;&gt;"",F134,IF(SUM($E$7:$E$156)&gt;0,N(E134)/SUM($E$7:$E$156),0)))</f>
        <v>0</v>
      </c>
      <c r="H134" s="182" t="str">
        <f aca="false">IF(D134="","",G134*'ตั้งค่า Setup'!$C$9)</f>
        <v/>
      </c>
      <c r="I134" s="24"/>
      <c r="J134" s="24"/>
      <c r="K134" s="117" t="str">
        <f aca="false">IF(OR(I134="",J134=""),"",J134-I134+1)</f>
        <v/>
      </c>
      <c r="L134" s="24"/>
      <c r="M134" s="24"/>
      <c r="N134" s="24"/>
      <c r="O134" s="24"/>
      <c r="P134" s="113"/>
      <c r="Q134" s="115" t="str">
        <f aca="false">IF(OR(D134="",I134="",J134=""),"",MAX(0,MIN(1,('ตั้งค่า Setup'!$C$15-I134+1)/(J134-I134+1))))</f>
        <v/>
      </c>
      <c r="R134" s="115" t="str">
        <f aca="false">IF(OR(D134="",AA134=0),"",MAX(0,MIN(1,('ตั้งค่า Setup'!$C$15-AA134+1)/(AB134-AA134+1))))</f>
        <v/>
      </c>
      <c r="S134" s="182" t="str">
        <f aca="false">IF(Q134="","",H134*Q134)</f>
        <v/>
      </c>
      <c r="T134" s="182" t="str">
        <f aca="false">IF(D134="","",H134*N(P134))</f>
        <v/>
      </c>
      <c r="U134" s="182" t="str">
        <f aca="false">IF(OR(S134="",T134=""),"",T134-S134)</f>
        <v/>
      </c>
      <c r="V134" s="183" t="str">
        <f aca="false">IF(OR(S134="",T134=""),"",IF(S134=0,"",T134/S134))</f>
        <v/>
      </c>
      <c r="W134" s="127" t="str">
        <f aca="false">IF(OR(D134="",AA134=0),"",IF(O134&lt;&gt;"",O134,IF(AND(N(P134)&gt;0,N134&lt;&gt;""),N134+ROUND((MAX('ตั้งค่า Setup'!$C$15,N134)-N134+1)/P134,0)-1,MAX(AB134,'ตั้งค่า Setup'!$C$15+AB134-AA134))))</f>
        <v/>
      </c>
      <c r="X134" s="184" t="str">
        <f aca="false">IF(OR(W134="",J134=""),"",W134-J134)</f>
        <v/>
      </c>
      <c r="Y134" s="117" t="str">
        <f aca="false">IF(OR(D134="",I134="",J134=""),"",IF(O134&lt;&gt;"",IF(O134&lt;=J134,"เสร็จ / Completed","เสร็จช้า / Completed Late"),IF(AND(N134="",'ตั้งค่า Setup'!$C$15&lt;AA134),"ยังไม่ถึงกำหนด / Not Due",IF(N(P134)&gt;=Q134,"ตามแผน / On Track",IF('ตั้งค่า Setup'!$C$15&gt;J134,"เกินกำหนด / Overdue","ล่าช้า / Behind")))))</f>
        <v/>
      </c>
      <c r="Z134" s="32"/>
      <c r="AA134" s="69" t="n">
        <f aca="false">IF(D134="",0,IF(L134&lt;&gt;"",L134,N(I134)))</f>
        <v>0</v>
      </c>
      <c r="AB134" s="69" t="n">
        <f aca="false">IF(D134="",0,IF(M134&lt;&gt;"",M134,N(J134)))</f>
        <v>0</v>
      </c>
      <c r="AC134" s="185" t="str">
        <f aca="false">IF(AND(D134&lt;&gt;"",O134="",ISNUMBER(X134)),X134+(1000-ROW())/1000000,"")</f>
        <v/>
      </c>
      <c r="AD134" s="185" t="n">
        <f aca="false">IF(AND(D134&lt;&gt;"",O134="",AA134&gt;0,AA134&lt;='ตั้งค่า Setup'!$C$15+'ตั้งค่า Setup'!$C$20),1,0)</f>
        <v>0</v>
      </c>
      <c r="AE134" s="185" t="str">
        <f aca="false">IF(AD134=1,SUM(AD$7:AD134),"")</f>
        <v/>
      </c>
    </row>
    <row r="135" customFormat="false" ht="15" hidden="false" customHeight="false" outlineLevel="0" collapsed="false">
      <c r="A135" s="181" t="str">
        <f aca="false">IF(OR(B135="",C135="",D135=""),"",IFERROR(MATCH(B135,'ตั้งค่า Setup'!$C$26:$C$65,0)&amp;"."&amp;MATCH(C135,'ตั้งค่า Setup'!$C$68:$C$107,0)&amp;"."&amp;TEXT(COUNTIFS(B$7:B135,B135,C$7:C135,C135),"00"),"?"))</f>
        <v/>
      </c>
      <c r="B135" s="32"/>
      <c r="C135" s="32"/>
      <c r="D135" s="32"/>
      <c r="E135" s="23"/>
      <c r="F135" s="113"/>
      <c r="G135" s="115" t="n">
        <f aca="false">IF(D135="",0,IF(F135&lt;&gt;"",F135,IF(SUM($E$7:$E$156)&gt;0,N(E135)/SUM($E$7:$E$156),0)))</f>
        <v>0</v>
      </c>
      <c r="H135" s="182" t="str">
        <f aca="false">IF(D135="","",G135*'ตั้งค่า Setup'!$C$9)</f>
        <v/>
      </c>
      <c r="I135" s="24"/>
      <c r="J135" s="24"/>
      <c r="K135" s="117" t="str">
        <f aca="false">IF(OR(I135="",J135=""),"",J135-I135+1)</f>
        <v/>
      </c>
      <c r="L135" s="24"/>
      <c r="M135" s="24"/>
      <c r="N135" s="24"/>
      <c r="O135" s="24"/>
      <c r="P135" s="113"/>
      <c r="Q135" s="115" t="str">
        <f aca="false">IF(OR(D135="",I135="",J135=""),"",MAX(0,MIN(1,('ตั้งค่า Setup'!$C$15-I135+1)/(J135-I135+1))))</f>
        <v/>
      </c>
      <c r="R135" s="115" t="str">
        <f aca="false">IF(OR(D135="",AA135=0),"",MAX(0,MIN(1,('ตั้งค่า Setup'!$C$15-AA135+1)/(AB135-AA135+1))))</f>
        <v/>
      </c>
      <c r="S135" s="182" t="str">
        <f aca="false">IF(Q135="","",H135*Q135)</f>
        <v/>
      </c>
      <c r="T135" s="182" t="str">
        <f aca="false">IF(D135="","",H135*N(P135))</f>
        <v/>
      </c>
      <c r="U135" s="182" t="str">
        <f aca="false">IF(OR(S135="",T135=""),"",T135-S135)</f>
        <v/>
      </c>
      <c r="V135" s="183" t="str">
        <f aca="false">IF(OR(S135="",T135=""),"",IF(S135=0,"",T135/S135))</f>
        <v/>
      </c>
      <c r="W135" s="127" t="str">
        <f aca="false">IF(OR(D135="",AA135=0),"",IF(O135&lt;&gt;"",O135,IF(AND(N(P135)&gt;0,N135&lt;&gt;""),N135+ROUND((MAX('ตั้งค่า Setup'!$C$15,N135)-N135+1)/P135,0)-1,MAX(AB135,'ตั้งค่า Setup'!$C$15+AB135-AA135))))</f>
        <v/>
      </c>
      <c r="X135" s="184" t="str">
        <f aca="false">IF(OR(W135="",J135=""),"",W135-J135)</f>
        <v/>
      </c>
      <c r="Y135" s="117" t="str">
        <f aca="false">IF(OR(D135="",I135="",J135=""),"",IF(O135&lt;&gt;"",IF(O135&lt;=J135,"เสร็จ / Completed","เสร็จช้า / Completed Late"),IF(AND(N135="",'ตั้งค่า Setup'!$C$15&lt;AA135),"ยังไม่ถึงกำหนด / Not Due",IF(N(P135)&gt;=Q135,"ตามแผน / On Track",IF('ตั้งค่า Setup'!$C$15&gt;J135,"เกินกำหนด / Overdue","ล่าช้า / Behind")))))</f>
        <v/>
      </c>
      <c r="Z135" s="32"/>
      <c r="AA135" s="69" t="n">
        <f aca="false">IF(D135="",0,IF(L135&lt;&gt;"",L135,N(I135)))</f>
        <v>0</v>
      </c>
      <c r="AB135" s="69" t="n">
        <f aca="false">IF(D135="",0,IF(M135&lt;&gt;"",M135,N(J135)))</f>
        <v>0</v>
      </c>
      <c r="AC135" s="185" t="str">
        <f aca="false">IF(AND(D135&lt;&gt;"",O135="",ISNUMBER(X135)),X135+(1000-ROW())/1000000,"")</f>
        <v/>
      </c>
      <c r="AD135" s="185" t="n">
        <f aca="false">IF(AND(D135&lt;&gt;"",O135="",AA135&gt;0,AA135&lt;='ตั้งค่า Setup'!$C$15+'ตั้งค่า Setup'!$C$20),1,0)</f>
        <v>0</v>
      </c>
      <c r="AE135" s="185" t="str">
        <f aca="false">IF(AD135=1,SUM(AD$7:AD135),"")</f>
        <v/>
      </c>
    </row>
    <row r="136" customFormat="false" ht="15" hidden="false" customHeight="false" outlineLevel="0" collapsed="false">
      <c r="A136" s="181" t="str">
        <f aca="false">IF(OR(B136="",C136="",D136=""),"",IFERROR(MATCH(B136,'ตั้งค่า Setup'!$C$26:$C$65,0)&amp;"."&amp;MATCH(C136,'ตั้งค่า Setup'!$C$68:$C$107,0)&amp;"."&amp;TEXT(COUNTIFS(B$7:B136,B136,C$7:C136,C136),"00"),"?"))</f>
        <v/>
      </c>
      <c r="B136" s="32"/>
      <c r="C136" s="32"/>
      <c r="D136" s="32"/>
      <c r="E136" s="23"/>
      <c r="F136" s="113"/>
      <c r="G136" s="115" t="n">
        <f aca="false">IF(D136="",0,IF(F136&lt;&gt;"",F136,IF(SUM($E$7:$E$156)&gt;0,N(E136)/SUM($E$7:$E$156),0)))</f>
        <v>0</v>
      </c>
      <c r="H136" s="182" t="str">
        <f aca="false">IF(D136="","",G136*'ตั้งค่า Setup'!$C$9)</f>
        <v/>
      </c>
      <c r="I136" s="24"/>
      <c r="J136" s="24"/>
      <c r="K136" s="117" t="str">
        <f aca="false">IF(OR(I136="",J136=""),"",J136-I136+1)</f>
        <v/>
      </c>
      <c r="L136" s="24"/>
      <c r="M136" s="24"/>
      <c r="N136" s="24"/>
      <c r="O136" s="24"/>
      <c r="P136" s="113"/>
      <c r="Q136" s="115" t="str">
        <f aca="false">IF(OR(D136="",I136="",J136=""),"",MAX(0,MIN(1,('ตั้งค่า Setup'!$C$15-I136+1)/(J136-I136+1))))</f>
        <v/>
      </c>
      <c r="R136" s="115" t="str">
        <f aca="false">IF(OR(D136="",AA136=0),"",MAX(0,MIN(1,('ตั้งค่า Setup'!$C$15-AA136+1)/(AB136-AA136+1))))</f>
        <v/>
      </c>
      <c r="S136" s="182" t="str">
        <f aca="false">IF(Q136="","",H136*Q136)</f>
        <v/>
      </c>
      <c r="T136" s="182" t="str">
        <f aca="false">IF(D136="","",H136*N(P136))</f>
        <v/>
      </c>
      <c r="U136" s="182" t="str">
        <f aca="false">IF(OR(S136="",T136=""),"",T136-S136)</f>
        <v/>
      </c>
      <c r="V136" s="183" t="str">
        <f aca="false">IF(OR(S136="",T136=""),"",IF(S136=0,"",T136/S136))</f>
        <v/>
      </c>
      <c r="W136" s="127" t="str">
        <f aca="false">IF(OR(D136="",AA136=0),"",IF(O136&lt;&gt;"",O136,IF(AND(N(P136)&gt;0,N136&lt;&gt;""),N136+ROUND((MAX('ตั้งค่า Setup'!$C$15,N136)-N136+1)/P136,0)-1,MAX(AB136,'ตั้งค่า Setup'!$C$15+AB136-AA136))))</f>
        <v/>
      </c>
      <c r="X136" s="184" t="str">
        <f aca="false">IF(OR(W136="",J136=""),"",W136-J136)</f>
        <v/>
      </c>
      <c r="Y136" s="117" t="str">
        <f aca="false">IF(OR(D136="",I136="",J136=""),"",IF(O136&lt;&gt;"",IF(O136&lt;=J136,"เสร็จ / Completed","เสร็จช้า / Completed Late"),IF(AND(N136="",'ตั้งค่า Setup'!$C$15&lt;AA136),"ยังไม่ถึงกำหนด / Not Due",IF(N(P136)&gt;=Q136,"ตามแผน / On Track",IF('ตั้งค่า Setup'!$C$15&gt;J136,"เกินกำหนด / Overdue","ล่าช้า / Behind")))))</f>
        <v/>
      </c>
      <c r="Z136" s="32"/>
      <c r="AA136" s="69" t="n">
        <f aca="false">IF(D136="",0,IF(L136&lt;&gt;"",L136,N(I136)))</f>
        <v>0</v>
      </c>
      <c r="AB136" s="69" t="n">
        <f aca="false">IF(D136="",0,IF(M136&lt;&gt;"",M136,N(J136)))</f>
        <v>0</v>
      </c>
      <c r="AC136" s="185" t="str">
        <f aca="false">IF(AND(D136&lt;&gt;"",O136="",ISNUMBER(X136)),X136+(1000-ROW())/1000000,"")</f>
        <v/>
      </c>
      <c r="AD136" s="185" t="n">
        <f aca="false">IF(AND(D136&lt;&gt;"",O136="",AA136&gt;0,AA136&lt;='ตั้งค่า Setup'!$C$15+'ตั้งค่า Setup'!$C$20),1,0)</f>
        <v>0</v>
      </c>
      <c r="AE136" s="185" t="str">
        <f aca="false">IF(AD136=1,SUM(AD$7:AD136),"")</f>
        <v/>
      </c>
    </row>
    <row r="137" customFormat="false" ht="15" hidden="false" customHeight="false" outlineLevel="0" collapsed="false">
      <c r="A137" s="181" t="str">
        <f aca="false">IF(OR(B137="",C137="",D137=""),"",IFERROR(MATCH(B137,'ตั้งค่า Setup'!$C$26:$C$65,0)&amp;"."&amp;MATCH(C137,'ตั้งค่า Setup'!$C$68:$C$107,0)&amp;"."&amp;TEXT(COUNTIFS(B$7:B137,B137,C$7:C137,C137),"00"),"?"))</f>
        <v/>
      </c>
      <c r="B137" s="32"/>
      <c r="C137" s="32"/>
      <c r="D137" s="32"/>
      <c r="E137" s="23"/>
      <c r="F137" s="113"/>
      <c r="G137" s="115" t="n">
        <f aca="false">IF(D137="",0,IF(F137&lt;&gt;"",F137,IF(SUM($E$7:$E$156)&gt;0,N(E137)/SUM($E$7:$E$156),0)))</f>
        <v>0</v>
      </c>
      <c r="H137" s="182" t="str">
        <f aca="false">IF(D137="","",G137*'ตั้งค่า Setup'!$C$9)</f>
        <v/>
      </c>
      <c r="I137" s="24"/>
      <c r="J137" s="24"/>
      <c r="K137" s="117" t="str">
        <f aca="false">IF(OR(I137="",J137=""),"",J137-I137+1)</f>
        <v/>
      </c>
      <c r="L137" s="24"/>
      <c r="M137" s="24"/>
      <c r="N137" s="24"/>
      <c r="O137" s="24"/>
      <c r="P137" s="113"/>
      <c r="Q137" s="115" t="str">
        <f aca="false">IF(OR(D137="",I137="",J137=""),"",MAX(0,MIN(1,('ตั้งค่า Setup'!$C$15-I137+1)/(J137-I137+1))))</f>
        <v/>
      </c>
      <c r="R137" s="115" t="str">
        <f aca="false">IF(OR(D137="",AA137=0),"",MAX(0,MIN(1,('ตั้งค่า Setup'!$C$15-AA137+1)/(AB137-AA137+1))))</f>
        <v/>
      </c>
      <c r="S137" s="182" t="str">
        <f aca="false">IF(Q137="","",H137*Q137)</f>
        <v/>
      </c>
      <c r="T137" s="182" t="str">
        <f aca="false">IF(D137="","",H137*N(P137))</f>
        <v/>
      </c>
      <c r="U137" s="182" t="str">
        <f aca="false">IF(OR(S137="",T137=""),"",T137-S137)</f>
        <v/>
      </c>
      <c r="V137" s="183" t="str">
        <f aca="false">IF(OR(S137="",T137=""),"",IF(S137=0,"",T137/S137))</f>
        <v/>
      </c>
      <c r="W137" s="127" t="str">
        <f aca="false">IF(OR(D137="",AA137=0),"",IF(O137&lt;&gt;"",O137,IF(AND(N(P137)&gt;0,N137&lt;&gt;""),N137+ROUND((MAX('ตั้งค่า Setup'!$C$15,N137)-N137+1)/P137,0)-1,MAX(AB137,'ตั้งค่า Setup'!$C$15+AB137-AA137))))</f>
        <v/>
      </c>
      <c r="X137" s="184" t="str">
        <f aca="false">IF(OR(W137="",J137=""),"",W137-J137)</f>
        <v/>
      </c>
      <c r="Y137" s="117" t="str">
        <f aca="false">IF(OR(D137="",I137="",J137=""),"",IF(O137&lt;&gt;"",IF(O137&lt;=J137,"เสร็จ / Completed","เสร็จช้า / Completed Late"),IF(AND(N137="",'ตั้งค่า Setup'!$C$15&lt;AA137),"ยังไม่ถึงกำหนด / Not Due",IF(N(P137)&gt;=Q137,"ตามแผน / On Track",IF('ตั้งค่า Setup'!$C$15&gt;J137,"เกินกำหนด / Overdue","ล่าช้า / Behind")))))</f>
        <v/>
      </c>
      <c r="Z137" s="32"/>
      <c r="AA137" s="69" t="n">
        <f aca="false">IF(D137="",0,IF(L137&lt;&gt;"",L137,N(I137)))</f>
        <v>0</v>
      </c>
      <c r="AB137" s="69" t="n">
        <f aca="false">IF(D137="",0,IF(M137&lt;&gt;"",M137,N(J137)))</f>
        <v>0</v>
      </c>
      <c r="AC137" s="185" t="str">
        <f aca="false">IF(AND(D137&lt;&gt;"",O137="",ISNUMBER(X137)),X137+(1000-ROW())/1000000,"")</f>
        <v/>
      </c>
      <c r="AD137" s="185" t="n">
        <f aca="false">IF(AND(D137&lt;&gt;"",O137="",AA137&gt;0,AA137&lt;='ตั้งค่า Setup'!$C$15+'ตั้งค่า Setup'!$C$20),1,0)</f>
        <v>0</v>
      </c>
      <c r="AE137" s="185" t="str">
        <f aca="false">IF(AD137=1,SUM(AD$7:AD137),"")</f>
        <v/>
      </c>
    </row>
    <row r="138" customFormat="false" ht="15" hidden="false" customHeight="false" outlineLevel="0" collapsed="false">
      <c r="A138" s="181" t="str">
        <f aca="false">IF(OR(B138="",C138="",D138=""),"",IFERROR(MATCH(B138,'ตั้งค่า Setup'!$C$26:$C$65,0)&amp;"."&amp;MATCH(C138,'ตั้งค่า Setup'!$C$68:$C$107,0)&amp;"."&amp;TEXT(COUNTIFS(B$7:B138,B138,C$7:C138,C138),"00"),"?"))</f>
        <v/>
      </c>
      <c r="B138" s="32"/>
      <c r="C138" s="32"/>
      <c r="D138" s="32"/>
      <c r="E138" s="23"/>
      <c r="F138" s="113"/>
      <c r="G138" s="115" t="n">
        <f aca="false">IF(D138="",0,IF(F138&lt;&gt;"",F138,IF(SUM($E$7:$E$156)&gt;0,N(E138)/SUM($E$7:$E$156),0)))</f>
        <v>0</v>
      </c>
      <c r="H138" s="182" t="str">
        <f aca="false">IF(D138="","",G138*'ตั้งค่า Setup'!$C$9)</f>
        <v/>
      </c>
      <c r="I138" s="24"/>
      <c r="J138" s="24"/>
      <c r="K138" s="117" t="str">
        <f aca="false">IF(OR(I138="",J138=""),"",J138-I138+1)</f>
        <v/>
      </c>
      <c r="L138" s="24"/>
      <c r="M138" s="24"/>
      <c r="N138" s="24"/>
      <c r="O138" s="24"/>
      <c r="P138" s="113"/>
      <c r="Q138" s="115" t="str">
        <f aca="false">IF(OR(D138="",I138="",J138=""),"",MAX(0,MIN(1,('ตั้งค่า Setup'!$C$15-I138+1)/(J138-I138+1))))</f>
        <v/>
      </c>
      <c r="R138" s="115" t="str">
        <f aca="false">IF(OR(D138="",AA138=0),"",MAX(0,MIN(1,('ตั้งค่า Setup'!$C$15-AA138+1)/(AB138-AA138+1))))</f>
        <v/>
      </c>
      <c r="S138" s="182" t="str">
        <f aca="false">IF(Q138="","",H138*Q138)</f>
        <v/>
      </c>
      <c r="T138" s="182" t="str">
        <f aca="false">IF(D138="","",H138*N(P138))</f>
        <v/>
      </c>
      <c r="U138" s="182" t="str">
        <f aca="false">IF(OR(S138="",T138=""),"",T138-S138)</f>
        <v/>
      </c>
      <c r="V138" s="183" t="str">
        <f aca="false">IF(OR(S138="",T138=""),"",IF(S138=0,"",T138/S138))</f>
        <v/>
      </c>
      <c r="W138" s="127" t="str">
        <f aca="false">IF(OR(D138="",AA138=0),"",IF(O138&lt;&gt;"",O138,IF(AND(N(P138)&gt;0,N138&lt;&gt;""),N138+ROUND((MAX('ตั้งค่า Setup'!$C$15,N138)-N138+1)/P138,0)-1,MAX(AB138,'ตั้งค่า Setup'!$C$15+AB138-AA138))))</f>
        <v/>
      </c>
      <c r="X138" s="184" t="str">
        <f aca="false">IF(OR(W138="",J138=""),"",W138-J138)</f>
        <v/>
      </c>
      <c r="Y138" s="117" t="str">
        <f aca="false">IF(OR(D138="",I138="",J138=""),"",IF(O138&lt;&gt;"",IF(O138&lt;=J138,"เสร็จ / Completed","เสร็จช้า / Completed Late"),IF(AND(N138="",'ตั้งค่า Setup'!$C$15&lt;AA138),"ยังไม่ถึงกำหนด / Not Due",IF(N(P138)&gt;=Q138,"ตามแผน / On Track",IF('ตั้งค่า Setup'!$C$15&gt;J138,"เกินกำหนด / Overdue","ล่าช้า / Behind")))))</f>
        <v/>
      </c>
      <c r="Z138" s="32"/>
      <c r="AA138" s="69" t="n">
        <f aca="false">IF(D138="",0,IF(L138&lt;&gt;"",L138,N(I138)))</f>
        <v>0</v>
      </c>
      <c r="AB138" s="69" t="n">
        <f aca="false">IF(D138="",0,IF(M138&lt;&gt;"",M138,N(J138)))</f>
        <v>0</v>
      </c>
      <c r="AC138" s="185" t="str">
        <f aca="false">IF(AND(D138&lt;&gt;"",O138="",ISNUMBER(X138)),X138+(1000-ROW())/1000000,"")</f>
        <v/>
      </c>
      <c r="AD138" s="185" t="n">
        <f aca="false">IF(AND(D138&lt;&gt;"",O138="",AA138&gt;0,AA138&lt;='ตั้งค่า Setup'!$C$15+'ตั้งค่า Setup'!$C$20),1,0)</f>
        <v>0</v>
      </c>
      <c r="AE138" s="185" t="str">
        <f aca="false">IF(AD138=1,SUM(AD$7:AD138),"")</f>
        <v/>
      </c>
    </row>
    <row r="139" customFormat="false" ht="15" hidden="false" customHeight="false" outlineLevel="0" collapsed="false">
      <c r="A139" s="181" t="str">
        <f aca="false">IF(OR(B139="",C139="",D139=""),"",IFERROR(MATCH(B139,'ตั้งค่า Setup'!$C$26:$C$65,0)&amp;"."&amp;MATCH(C139,'ตั้งค่า Setup'!$C$68:$C$107,0)&amp;"."&amp;TEXT(COUNTIFS(B$7:B139,B139,C$7:C139,C139),"00"),"?"))</f>
        <v/>
      </c>
      <c r="B139" s="32"/>
      <c r="C139" s="32"/>
      <c r="D139" s="32"/>
      <c r="E139" s="23"/>
      <c r="F139" s="113"/>
      <c r="G139" s="115" t="n">
        <f aca="false">IF(D139="",0,IF(F139&lt;&gt;"",F139,IF(SUM($E$7:$E$156)&gt;0,N(E139)/SUM($E$7:$E$156),0)))</f>
        <v>0</v>
      </c>
      <c r="H139" s="182" t="str">
        <f aca="false">IF(D139="","",G139*'ตั้งค่า Setup'!$C$9)</f>
        <v/>
      </c>
      <c r="I139" s="24"/>
      <c r="J139" s="24"/>
      <c r="K139" s="117" t="str">
        <f aca="false">IF(OR(I139="",J139=""),"",J139-I139+1)</f>
        <v/>
      </c>
      <c r="L139" s="24"/>
      <c r="M139" s="24"/>
      <c r="N139" s="24"/>
      <c r="O139" s="24"/>
      <c r="P139" s="113"/>
      <c r="Q139" s="115" t="str">
        <f aca="false">IF(OR(D139="",I139="",J139=""),"",MAX(0,MIN(1,('ตั้งค่า Setup'!$C$15-I139+1)/(J139-I139+1))))</f>
        <v/>
      </c>
      <c r="R139" s="115" t="str">
        <f aca="false">IF(OR(D139="",AA139=0),"",MAX(0,MIN(1,('ตั้งค่า Setup'!$C$15-AA139+1)/(AB139-AA139+1))))</f>
        <v/>
      </c>
      <c r="S139" s="182" t="str">
        <f aca="false">IF(Q139="","",H139*Q139)</f>
        <v/>
      </c>
      <c r="T139" s="182" t="str">
        <f aca="false">IF(D139="","",H139*N(P139))</f>
        <v/>
      </c>
      <c r="U139" s="182" t="str">
        <f aca="false">IF(OR(S139="",T139=""),"",T139-S139)</f>
        <v/>
      </c>
      <c r="V139" s="183" t="str">
        <f aca="false">IF(OR(S139="",T139=""),"",IF(S139=0,"",T139/S139))</f>
        <v/>
      </c>
      <c r="W139" s="127" t="str">
        <f aca="false">IF(OR(D139="",AA139=0),"",IF(O139&lt;&gt;"",O139,IF(AND(N(P139)&gt;0,N139&lt;&gt;""),N139+ROUND((MAX('ตั้งค่า Setup'!$C$15,N139)-N139+1)/P139,0)-1,MAX(AB139,'ตั้งค่า Setup'!$C$15+AB139-AA139))))</f>
        <v/>
      </c>
      <c r="X139" s="184" t="str">
        <f aca="false">IF(OR(W139="",J139=""),"",W139-J139)</f>
        <v/>
      </c>
      <c r="Y139" s="117" t="str">
        <f aca="false">IF(OR(D139="",I139="",J139=""),"",IF(O139&lt;&gt;"",IF(O139&lt;=J139,"เสร็จ / Completed","เสร็จช้า / Completed Late"),IF(AND(N139="",'ตั้งค่า Setup'!$C$15&lt;AA139),"ยังไม่ถึงกำหนด / Not Due",IF(N(P139)&gt;=Q139,"ตามแผน / On Track",IF('ตั้งค่า Setup'!$C$15&gt;J139,"เกินกำหนด / Overdue","ล่าช้า / Behind")))))</f>
        <v/>
      </c>
      <c r="Z139" s="32"/>
      <c r="AA139" s="69" t="n">
        <f aca="false">IF(D139="",0,IF(L139&lt;&gt;"",L139,N(I139)))</f>
        <v>0</v>
      </c>
      <c r="AB139" s="69" t="n">
        <f aca="false">IF(D139="",0,IF(M139&lt;&gt;"",M139,N(J139)))</f>
        <v>0</v>
      </c>
      <c r="AC139" s="185" t="str">
        <f aca="false">IF(AND(D139&lt;&gt;"",O139="",ISNUMBER(X139)),X139+(1000-ROW())/1000000,"")</f>
        <v/>
      </c>
      <c r="AD139" s="185" t="n">
        <f aca="false">IF(AND(D139&lt;&gt;"",O139="",AA139&gt;0,AA139&lt;='ตั้งค่า Setup'!$C$15+'ตั้งค่า Setup'!$C$20),1,0)</f>
        <v>0</v>
      </c>
      <c r="AE139" s="185" t="str">
        <f aca="false">IF(AD139=1,SUM(AD$7:AD139),"")</f>
        <v/>
      </c>
    </row>
    <row r="140" customFormat="false" ht="15" hidden="false" customHeight="false" outlineLevel="0" collapsed="false">
      <c r="A140" s="181" t="str">
        <f aca="false">IF(OR(B140="",C140="",D140=""),"",IFERROR(MATCH(B140,'ตั้งค่า Setup'!$C$26:$C$65,0)&amp;"."&amp;MATCH(C140,'ตั้งค่า Setup'!$C$68:$C$107,0)&amp;"."&amp;TEXT(COUNTIFS(B$7:B140,B140,C$7:C140,C140),"00"),"?"))</f>
        <v/>
      </c>
      <c r="B140" s="32"/>
      <c r="C140" s="32"/>
      <c r="D140" s="32"/>
      <c r="E140" s="23"/>
      <c r="F140" s="113"/>
      <c r="G140" s="115" t="n">
        <f aca="false">IF(D140="",0,IF(F140&lt;&gt;"",F140,IF(SUM($E$7:$E$156)&gt;0,N(E140)/SUM($E$7:$E$156),0)))</f>
        <v>0</v>
      </c>
      <c r="H140" s="182" t="str">
        <f aca="false">IF(D140="","",G140*'ตั้งค่า Setup'!$C$9)</f>
        <v/>
      </c>
      <c r="I140" s="24"/>
      <c r="J140" s="24"/>
      <c r="K140" s="117" t="str">
        <f aca="false">IF(OR(I140="",J140=""),"",J140-I140+1)</f>
        <v/>
      </c>
      <c r="L140" s="24"/>
      <c r="M140" s="24"/>
      <c r="N140" s="24"/>
      <c r="O140" s="24"/>
      <c r="P140" s="113"/>
      <c r="Q140" s="115" t="str">
        <f aca="false">IF(OR(D140="",I140="",J140=""),"",MAX(0,MIN(1,('ตั้งค่า Setup'!$C$15-I140+1)/(J140-I140+1))))</f>
        <v/>
      </c>
      <c r="R140" s="115" t="str">
        <f aca="false">IF(OR(D140="",AA140=0),"",MAX(0,MIN(1,('ตั้งค่า Setup'!$C$15-AA140+1)/(AB140-AA140+1))))</f>
        <v/>
      </c>
      <c r="S140" s="182" t="str">
        <f aca="false">IF(Q140="","",H140*Q140)</f>
        <v/>
      </c>
      <c r="T140" s="182" t="str">
        <f aca="false">IF(D140="","",H140*N(P140))</f>
        <v/>
      </c>
      <c r="U140" s="182" t="str">
        <f aca="false">IF(OR(S140="",T140=""),"",T140-S140)</f>
        <v/>
      </c>
      <c r="V140" s="183" t="str">
        <f aca="false">IF(OR(S140="",T140=""),"",IF(S140=0,"",T140/S140))</f>
        <v/>
      </c>
      <c r="W140" s="127" t="str">
        <f aca="false">IF(OR(D140="",AA140=0),"",IF(O140&lt;&gt;"",O140,IF(AND(N(P140)&gt;0,N140&lt;&gt;""),N140+ROUND((MAX('ตั้งค่า Setup'!$C$15,N140)-N140+1)/P140,0)-1,MAX(AB140,'ตั้งค่า Setup'!$C$15+AB140-AA140))))</f>
        <v/>
      </c>
      <c r="X140" s="184" t="str">
        <f aca="false">IF(OR(W140="",J140=""),"",W140-J140)</f>
        <v/>
      </c>
      <c r="Y140" s="117" t="str">
        <f aca="false">IF(OR(D140="",I140="",J140=""),"",IF(O140&lt;&gt;"",IF(O140&lt;=J140,"เสร็จ / Completed","เสร็จช้า / Completed Late"),IF(AND(N140="",'ตั้งค่า Setup'!$C$15&lt;AA140),"ยังไม่ถึงกำหนด / Not Due",IF(N(P140)&gt;=Q140,"ตามแผน / On Track",IF('ตั้งค่า Setup'!$C$15&gt;J140,"เกินกำหนด / Overdue","ล่าช้า / Behind")))))</f>
        <v/>
      </c>
      <c r="Z140" s="32"/>
      <c r="AA140" s="69" t="n">
        <f aca="false">IF(D140="",0,IF(L140&lt;&gt;"",L140,N(I140)))</f>
        <v>0</v>
      </c>
      <c r="AB140" s="69" t="n">
        <f aca="false">IF(D140="",0,IF(M140&lt;&gt;"",M140,N(J140)))</f>
        <v>0</v>
      </c>
      <c r="AC140" s="185" t="str">
        <f aca="false">IF(AND(D140&lt;&gt;"",O140="",ISNUMBER(X140)),X140+(1000-ROW())/1000000,"")</f>
        <v/>
      </c>
      <c r="AD140" s="185" t="n">
        <f aca="false">IF(AND(D140&lt;&gt;"",O140="",AA140&gt;0,AA140&lt;='ตั้งค่า Setup'!$C$15+'ตั้งค่า Setup'!$C$20),1,0)</f>
        <v>0</v>
      </c>
      <c r="AE140" s="185" t="str">
        <f aca="false">IF(AD140=1,SUM(AD$7:AD140),"")</f>
        <v/>
      </c>
    </row>
    <row r="141" customFormat="false" ht="15" hidden="false" customHeight="false" outlineLevel="0" collapsed="false">
      <c r="A141" s="181" t="str">
        <f aca="false">IF(OR(B141="",C141="",D141=""),"",IFERROR(MATCH(B141,'ตั้งค่า Setup'!$C$26:$C$65,0)&amp;"."&amp;MATCH(C141,'ตั้งค่า Setup'!$C$68:$C$107,0)&amp;"."&amp;TEXT(COUNTIFS(B$7:B141,B141,C$7:C141,C141),"00"),"?"))</f>
        <v/>
      </c>
      <c r="B141" s="32"/>
      <c r="C141" s="32"/>
      <c r="D141" s="32"/>
      <c r="E141" s="23"/>
      <c r="F141" s="113"/>
      <c r="G141" s="115" t="n">
        <f aca="false">IF(D141="",0,IF(F141&lt;&gt;"",F141,IF(SUM($E$7:$E$156)&gt;0,N(E141)/SUM($E$7:$E$156),0)))</f>
        <v>0</v>
      </c>
      <c r="H141" s="182" t="str">
        <f aca="false">IF(D141="","",G141*'ตั้งค่า Setup'!$C$9)</f>
        <v/>
      </c>
      <c r="I141" s="24"/>
      <c r="J141" s="24"/>
      <c r="K141" s="117" t="str">
        <f aca="false">IF(OR(I141="",J141=""),"",J141-I141+1)</f>
        <v/>
      </c>
      <c r="L141" s="24"/>
      <c r="M141" s="24"/>
      <c r="N141" s="24"/>
      <c r="O141" s="24"/>
      <c r="P141" s="113"/>
      <c r="Q141" s="115" t="str">
        <f aca="false">IF(OR(D141="",I141="",J141=""),"",MAX(0,MIN(1,('ตั้งค่า Setup'!$C$15-I141+1)/(J141-I141+1))))</f>
        <v/>
      </c>
      <c r="R141" s="115" t="str">
        <f aca="false">IF(OR(D141="",AA141=0),"",MAX(0,MIN(1,('ตั้งค่า Setup'!$C$15-AA141+1)/(AB141-AA141+1))))</f>
        <v/>
      </c>
      <c r="S141" s="182" t="str">
        <f aca="false">IF(Q141="","",H141*Q141)</f>
        <v/>
      </c>
      <c r="T141" s="182" t="str">
        <f aca="false">IF(D141="","",H141*N(P141))</f>
        <v/>
      </c>
      <c r="U141" s="182" t="str">
        <f aca="false">IF(OR(S141="",T141=""),"",T141-S141)</f>
        <v/>
      </c>
      <c r="V141" s="183" t="str">
        <f aca="false">IF(OR(S141="",T141=""),"",IF(S141=0,"",T141/S141))</f>
        <v/>
      </c>
      <c r="W141" s="127" t="str">
        <f aca="false">IF(OR(D141="",AA141=0),"",IF(O141&lt;&gt;"",O141,IF(AND(N(P141)&gt;0,N141&lt;&gt;""),N141+ROUND((MAX('ตั้งค่า Setup'!$C$15,N141)-N141+1)/P141,0)-1,MAX(AB141,'ตั้งค่า Setup'!$C$15+AB141-AA141))))</f>
        <v/>
      </c>
      <c r="X141" s="184" t="str">
        <f aca="false">IF(OR(W141="",J141=""),"",W141-J141)</f>
        <v/>
      </c>
      <c r="Y141" s="117" t="str">
        <f aca="false">IF(OR(D141="",I141="",J141=""),"",IF(O141&lt;&gt;"",IF(O141&lt;=J141,"เสร็จ / Completed","เสร็จช้า / Completed Late"),IF(AND(N141="",'ตั้งค่า Setup'!$C$15&lt;AA141),"ยังไม่ถึงกำหนด / Not Due",IF(N(P141)&gt;=Q141,"ตามแผน / On Track",IF('ตั้งค่า Setup'!$C$15&gt;J141,"เกินกำหนด / Overdue","ล่าช้า / Behind")))))</f>
        <v/>
      </c>
      <c r="Z141" s="32"/>
      <c r="AA141" s="69" t="n">
        <f aca="false">IF(D141="",0,IF(L141&lt;&gt;"",L141,N(I141)))</f>
        <v>0</v>
      </c>
      <c r="AB141" s="69" t="n">
        <f aca="false">IF(D141="",0,IF(M141&lt;&gt;"",M141,N(J141)))</f>
        <v>0</v>
      </c>
      <c r="AC141" s="185" t="str">
        <f aca="false">IF(AND(D141&lt;&gt;"",O141="",ISNUMBER(X141)),X141+(1000-ROW())/1000000,"")</f>
        <v/>
      </c>
      <c r="AD141" s="185" t="n">
        <f aca="false">IF(AND(D141&lt;&gt;"",O141="",AA141&gt;0,AA141&lt;='ตั้งค่า Setup'!$C$15+'ตั้งค่า Setup'!$C$20),1,0)</f>
        <v>0</v>
      </c>
      <c r="AE141" s="185" t="str">
        <f aca="false">IF(AD141=1,SUM(AD$7:AD141),"")</f>
        <v/>
      </c>
    </row>
    <row r="142" customFormat="false" ht="15" hidden="false" customHeight="false" outlineLevel="0" collapsed="false">
      <c r="A142" s="181" t="str">
        <f aca="false">IF(OR(B142="",C142="",D142=""),"",IFERROR(MATCH(B142,'ตั้งค่า Setup'!$C$26:$C$65,0)&amp;"."&amp;MATCH(C142,'ตั้งค่า Setup'!$C$68:$C$107,0)&amp;"."&amp;TEXT(COUNTIFS(B$7:B142,B142,C$7:C142,C142),"00"),"?"))</f>
        <v/>
      </c>
      <c r="B142" s="32"/>
      <c r="C142" s="32"/>
      <c r="D142" s="32"/>
      <c r="E142" s="23"/>
      <c r="F142" s="113"/>
      <c r="G142" s="115" t="n">
        <f aca="false">IF(D142="",0,IF(F142&lt;&gt;"",F142,IF(SUM($E$7:$E$156)&gt;0,N(E142)/SUM($E$7:$E$156),0)))</f>
        <v>0</v>
      </c>
      <c r="H142" s="182" t="str">
        <f aca="false">IF(D142="","",G142*'ตั้งค่า Setup'!$C$9)</f>
        <v/>
      </c>
      <c r="I142" s="24"/>
      <c r="J142" s="24"/>
      <c r="K142" s="117" t="str">
        <f aca="false">IF(OR(I142="",J142=""),"",J142-I142+1)</f>
        <v/>
      </c>
      <c r="L142" s="24"/>
      <c r="M142" s="24"/>
      <c r="N142" s="24"/>
      <c r="O142" s="24"/>
      <c r="P142" s="113"/>
      <c r="Q142" s="115" t="str">
        <f aca="false">IF(OR(D142="",I142="",J142=""),"",MAX(0,MIN(1,('ตั้งค่า Setup'!$C$15-I142+1)/(J142-I142+1))))</f>
        <v/>
      </c>
      <c r="R142" s="115" t="str">
        <f aca="false">IF(OR(D142="",AA142=0),"",MAX(0,MIN(1,('ตั้งค่า Setup'!$C$15-AA142+1)/(AB142-AA142+1))))</f>
        <v/>
      </c>
      <c r="S142" s="182" t="str">
        <f aca="false">IF(Q142="","",H142*Q142)</f>
        <v/>
      </c>
      <c r="T142" s="182" t="str">
        <f aca="false">IF(D142="","",H142*N(P142))</f>
        <v/>
      </c>
      <c r="U142" s="182" t="str">
        <f aca="false">IF(OR(S142="",T142=""),"",T142-S142)</f>
        <v/>
      </c>
      <c r="V142" s="183" t="str">
        <f aca="false">IF(OR(S142="",T142=""),"",IF(S142=0,"",T142/S142))</f>
        <v/>
      </c>
      <c r="W142" s="127" t="str">
        <f aca="false">IF(OR(D142="",AA142=0),"",IF(O142&lt;&gt;"",O142,IF(AND(N(P142)&gt;0,N142&lt;&gt;""),N142+ROUND((MAX('ตั้งค่า Setup'!$C$15,N142)-N142+1)/P142,0)-1,MAX(AB142,'ตั้งค่า Setup'!$C$15+AB142-AA142))))</f>
        <v/>
      </c>
      <c r="X142" s="184" t="str">
        <f aca="false">IF(OR(W142="",J142=""),"",W142-J142)</f>
        <v/>
      </c>
      <c r="Y142" s="117" t="str">
        <f aca="false">IF(OR(D142="",I142="",J142=""),"",IF(O142&lt;&gt;"",IF(O142&lt;=J142,"เสร็จ / Completed","เสร็จช้า / Completed Late"),IF(AND(N142="",'ตั้งค่า Setup'!$C$15&lt;AA142),"ยังไม่ถึงกำหนด / Not Due",IF(N(P142)&gt;=Q142,"ตามแผน / On Track",IF('ตั้งค่า Setup'!$C$15&gt;J142,"เกินกำหนด / Overdue","ล่าช้า / Behind")))))</f>
        <v/>
      </c>
      <c r="Z142" s="32"/>
      <c r="AA142" s="69" t="n">
        <f aca="false">IF(D142="",0,IF(L142&lt;&gt;"",L142,N(I142)))</f>
        <v>0</v>
      </c>
      <c r="AB142" s="69" t="n">
        <f aca="false">IF(D142="",0,IF(M142&lt;&gt;"",M142,N(J142)))</f>
        <v>0</v>
      </c>
      <c r="AC142" s="185" t="str">
        <f aca="false">IF(AND(D142&lt;&gt;"",O142="",ISNUMBER(X142)),X142+(1000-ROW())/1000000,"")</f>
        <v/>
      </c>
      <c r="AD142" s="185" t="n">
        <f aca="false">IF(AND(D142&lt;&gt;"",O142="",AA142&gt;0,AA142&lt;='ตั้งค่า Setup'!$C$15+'ตั้งค่า Setup'!$C$20),1,0)</f>
        <v>0</v>
      </c>
      <c r="AE142" s="185" t="str">
        <f aca="false">IF(AD142=1,SUM(AD$7:AD142),"")</f>
        <v/>
      </c>
    </row>
    <row r="143" customFormat="false" ht="15" hidden="false" customHeight="false" outlineLevel="0" collapsed="false">
      <c r="A143" s="181" t="str">
        <f aca="false">IF(OR(B143="",C143="",D143=""),"",IFERROR(MATCH(B143,'ตั้งค่า Setup'!$C$26:$C$65,0)&amp;"."&amp;MATCH(C143,'ตั้งค่า Setup'!$C$68:$C$107,0)&amp;"."&amp;TEXT(COUNTIFS(B$7:B143,B143,C$7:C143,C143),"00"),"?"))</f>
        <v/>
      </c>
      <c r="B143" s="32"/>
      <c r="C143" s="32"/>
      <c r="D143" s="32"/>
      <c r="E143" s="23"/>
      <c r="F143" s="113"/>
      <c r="G143" s="115" t="n">
        <f aca="false">IF(D143="",0,IF(F143&lt;&gt;"",F143,IF(SUM($E$7:$E$156)&gt;0,N(E143)/SUM($E$7:$E$156),0)))</f>
        <v>0</v>
      </c>
      <c r="H143" s="182" t="str">
        <f aca="false">IF(D143="","",G143*'ตั้งค่า Setup'!$C$9)</f>
        <v/>
      </c>
      <c r="I143" s="24"/>
      <c r="J143" s="24"/>
      <c r="K143" s="117" t="str">
        <f aca="false">IF(OR(I143="",J143=""),"",J143-I143+1)</f>
        <v/>
      </c>
      <c r="L143" s="24"/>
      <c r="M143" s="24"/>
      <c r="N143" s="24"/>
      <c r="O143" s="24"/>
      <c r="P143" s="113"/>
      <c r="Q143" s="115" t="str">
        <f aca="false">IF(OR(D143="",I143="",J143=""),"",MAX(0,MIN(1,('ตั้งค่า Setup'!$C$15-I143+1)/(J143-I143+1))))</f>
        <v/>
      </c>
      <c r="R143" s="115" t="str">
        <f aca="false">IF(OR(D143="",AA143=0),"",MAX(0,MIN(1,('ตั้งค่า Setup'!$C$15-AA143+1)/(AB143-AA143+1))))</f>
        <v/>
      </c>
      <c r="S143" s="182" t="str">
        <f aca="false">IF(Q143="","",H143*Q143)</f>
        <v/>
      </c>
      <c r="T143" s="182" t="str">
        <f aca="false">IF(D143="","",H143*N(P143))</f>
        <v/>
      </c>
      <c r="U143" s="182" t="str">
        <f aca="false">IF(OR(S143="",T143=""),"",T143-S143)</f>
        <v/>
      </c>
      <c r="V143" s="183" t="str">
        <f aca="false">IF(OR(S143="",T143=""),"",IF(S143=0,"",T143/S143))</f>
        <v/>
      </c>
      <c r="W143" s="127" t="str">
        <f aca="false">IF(OR(D143="",AA143=0),"",IF(O143&lt;&gt;"",O143,IF(AND(N(P143)&gt;0,N143&lt;&gt;""),N143+ROUND((MAX('ตั้งค่า Setup'!$C$15,N143)-N143+1)/P143,0)-1,MAX(AB143,'ตั้งค่า Setup'!$C$15+AB143-AA143))))</f>
        <v/>
      </c>
      <c r="X143" s="184" t="str">
        <f aca="false">IF(OR(W143="",J143=""),"",W143-J143)</f>
        <v/>
      </c>
      <c r="Y143" s="117" t="str">
        <f aca="false">IF(OR(D143="",I143="",J143=""),"",IF(O143&lt;&gt;"",IF(O143&lt;=J143,"เสร็จ / Completed","เสร็จช้า / Completed Late"),IF(AND(N143="",'ตั้งค่า Setup'!$C$15&lt;AA143),"ยังไม่ถึงกำหนด / Not Due",IF(N(P143)&gt;=Q143,"ตามแผน / On Track",IF('ตั้งค่า Setup'!$C$15&gt;J143,"เกินกำหนด / Overdue","ล่าช้า / Behind")))))</f>
        <v/>
      </c>
      <c r="Z143" s="32"/>
      <c r="AA143" s="69" t="n">
        <f aca="false">IF(D143="",0,IF(L143&lt;&gt;"",L143,N(I143)))</f>
        <v>0</v>
      </c>
      <c r="AB143" s="69" t="n">
        <f aca="false">IF(D143="",0,IF(M143&lt;&gt;"",M143,N(J143)))</f>
        <v>0</v>
      </c>
      <c r="AC143" s="185" t="str">
        <f aca="false">IF(AND(D143&lt;&gt;"",O143="",ISNUMBER(X143)),X143+(1000-ROW())/1000000,"")</f>
        <v/>
      </c>
      <c r="AD143" s="185" t="n">
        <f aca="false">IF(AND(D143&lt;&gt;"",O143="",AA143&gt;0,AA143&lt;='ตั้งค่า Setup'!$C$15+'ตั้งค่า Setup'!$C$20),1,0)</f>
        <v>0</v>
      </c>
      <c r="AE143" s="185" t="str">
        <f aca="false">IF(AD143=1,SUM(AD$7:AD143),"")</f>
        <v/>
      </c>
    </row>
    <row r="144" customFormat="false" ht="15" hidden="false" customHeight="false" outlineLevel="0" collapsed="false">
      <c r="A144" s="181" t="str">
        <f aca="false">IF(OR(B144="",C144="",D144=""),"",IFERROR(MATCH(B144,'ตั้งค่า Setup'!$C$26:$C$65,0)&amp;"."&amp;MATCH(C144,'ตั้งค่า Setup'!$C$68:$C$107,0)&amp;"."&amp;TEXT(COUNTIFS(B$7:B144,B144,C$7:C144,C144),"00"),"?"))</f>
        <v/>
      </c>
      <c r="B144" s="32"/>
      <c r="C144" s="32"/>
      <c r="D144" s="32"/>
      <c r="E144" s="23"/>
      <c r="F144" s="113"/>
      <c r="G144" s="115" t="n">
        <f aca="false">IF(D144="",0,IF(F144&lt;&gt;"",F144,IF(SUM($E$7:$E$156)&gt;0,N(E144)/SUM($E$7:$E$156),0)))</f>
        <v>0</v>
      </c>
      <c r="H144" s="182" t="str">
        <f aca="false">IF(D144="","",G144*'ตั้งค่า Setup'!$C$9)</f>
        <v/>
      </c>
      <c r="I144" s="24"/>
      <c r="J144" s="24"/>
      <c r="K144" s="117" t="str">
        <f aca="false">IF(OR(I144="",J144=""),"",J144-I144+1)</f>
        <v/>
      </c>
      <c r="L144" s="24"/>
      <c r="M144" s="24"/>
      <c r="N144" s="24"/>
      <c r="O144" s="24"/>
      <c r="P144" s="113"/>
      <c r="Q144" s="115" t="str">
        <f aca="false">IF(OR(D144="",I144="",J144=""),"",MAX(0,MIN(1,('ตั้งค่า Setup'!$C$15-I144+1)/(J144-I144+1))))</f>
        <v/>
      </c>
      <c r="R144" s="115" t="str">
        <f aca="false">IF(OR(D144="",AA144=0),"",MAX(0,MIN(1,('ตั้งค่า Setup'!$C$15-AA144+1)/(AB144-AA144+1))))</f>
        <v/>
      </c>
      <c r="S144" s="182" t="str">
        <f aca="false">IF(Q144="","",H144*Q144)</f>
        <v/>
      </c>
      <c r="T144" s="182" t="str">
        <f aca="false">IF(D144="","",H144*N(P144))</f>
        <v/>
      </c>
      <c r="U144" s="182" t="str">
        <f aca="false">IF(OR(S144="",T144=""),"",T144-S144)</f>
        <v/>
      </c>
      <c r="V144" s="183" t="str">
        <f aca="false">IF(OR(S144="",T144=""),"",IF(S144=0,"",T144/S144))</f>
        <v/>
      </c>
      <c r="W144" s="127" t="str">
        <f aca="false">IF(OR(D144="",AA144=0),"",IF(O144&lt;&gt;"",O144,IF(AND(N(P144)&gt;0,N144&lt;&gt;""),N144+ROUND((MAX('ตั้งค่า Setup'!$C$15,N144)-N144+1)/P144,0)-1,MAX(AB144,'ตั้งค่า Setup'!$C$15+AB144-AA144))))</f>
        <v/>
      </c>
      <c r="X144" s="184" t="str">
        <f aca="false">IF(OR(W144="",J144=""),"",W144-J144)</f>
        <v/>
      </c>
      <c r="Y144" s="117" t="str">
        <f aca="false">IF(OR(D144="",I144="",J144=""),"",IF(O144&lt;&gt;"",IF(O144&lt;=J144,"เสร็จ / Completed","เสร็จช้า / Completed Late"),IF(AND(N144="",'ตั้งค่า Setup'!$C$15&lt;AA144),"ยังไม่ถึงกำหนด / Not Due",IF(N(P144)&gt;=Q144,"ตามแผน / On Track",IF('ตั้งค่า Setup'!$C$15&gt;J144,"เกินกำหนด / Overdue","ล่าช้า / Behind")))))</f>
        <v/>
      </c>
      <c r="Z144" s="32"/>
      <c r="AA144" s="69" t="n">
        <f aca="false">IF(D144="",0,IF(L144&lt;&gt;"",L144,N(I144)))</f>
        <v>0</v>
      </c>
      <c r="AB144" s="69" t="n">
        <f aca="false">IF(D144="",0,IF(M144&lt;&gt;"",M144,N(J144)))</f>
        <v>0</v>
      </c>
      <c r="AC144" s="185" t="str">
        <f aca="false">IF(AND(D144&lt;&gt;"",O144="",ISNUMBER(X144)),X144+(1000-ROW())/1000000,"")</f>
        <v/>
      </c>
      <c r="AD144" s="185" t="n">
        <f aca="false">IF(AND(D144&lt;&gt;"",O144="",AA144&gt;0,AA144&lt;='ตั้งค่า Setup'!$C$15+'ตั้งค่า Setup'!$C$20),1,0)</f>
        <v>0</v>
      </c>
      <c r="AE144" s="185" t="str">
        <f aca="false">IF(AD144=1,SUM(AD$7:AD144),"")</f>
        <v/>
      </c>
    </row>
    <row r="145" customFormat="false" ht="15" hidden="false" customHeight="false" outlineLevel="0" collapsed="false">
      <c r="A145" s="181" t="str">
        <f aca="false">IF(OR(B145="",C145="",D145=""),"",IFERROR(MATCH(B145,'ตั้งค่า Setup'!$C$26:$C$65,0)&amp;"."&amp;MATCH(C145,'ตั้งค่า Setup'!$C$68:$C$107,0)&amp;"."&amp;TEXT(COUNTIFS(B$7:B145,B145,C$7:C145,C145),"00"),"?"))</f>
        <v/>
      </c>
      <c r="B145" s="32"/>
      <c r="C145" s="32"/>
      <c r="D145" s="32"/>
      <c r="E145" s="23"/>
      <c r="F145" s="113"/>
      <c r="G145" s="115" t="n">
        <f aca="false">IF(D145="",0,IF(F145&lt;&gt;"",F145,IF(SUM($E$7:$E$156)&gt;0,N(E145)/SUM($E$7:$E$156),0)))</f>
        <v>0</v>
      </c>
      <c r="H145" s="182" t="str">
        <f aca="false">IF(D145="","",G145*'ตั้งค่า Setup'!$C$9)</f>
        <v/>
      </c>
      <c r="I145" s="24"/>
      <c r="J145" s="24"/>
      <c r="K145" s="117" t="str">
        <f aca="false">IF(OR(I145="",J145=""),"",J145-I145+1)</f>
        <v/>
      </c>
      <c r="L145" s="24"/>
      <c r="M145" s="24"/>
      <c r="N145" s="24"/>
      <c r="O145" s="24"/>
      <c r="P145" s="113"/>
      <c r="Q145" s="115" t="str">
        <f aca="false">IF(OR(D145="",I145="",J145=""),"",MAX(0,MIN(1,('ตั้งค่า Setup'!$C$15-I145+1)/(J145-I145+1))))</f>
        <v/>
      </c>
      <c r="R145" s="115" t="str">
        <f aca="false">IF(OR(D145="",AA145=0),"",MAX(0,MIN(1,('ตั้งค่า Setup'!$C$15-AA145+1)/(AB145-AA145+1))))</f>
        <v/>
      </c>
      <c r="S145" s="182" t="str">
        <f aca="false">IF(Q145="","",H145*Q145)</f>
        <v/>
      </c>
      <c r="T145" s="182" t="str">
        <f aca="false">IF(D145="","",H145*N(P145))</f>
        <v/>
      </c>
      <c r="U145" s="182" t="str">
        <f aca="false">IF(OR(S145="",T145=""),"",T145-S145)</f>
        <v/>
      </c>
      <c r="V145" s="183" t="str">
        <f aca="false">IF(OR(S145="",T145=""),"",IF(S145=0,"",T145/S145))</f>
        <v/>
      </c>
      <c r="W145" s="127" t="str">
        <f aca="false">IF(OR(D145="",AA145=0),"",IF(O145&lt;&gt;"",O145,IF(AND(N(P145)&gt;0,N145&lt;&gt;""),N145+ROUND((MAX('ตั้งค่า Setup'!$C$15,N145)-N145+1)/P145,0)-1,MAX(AB145,'ตั้งค่า Setup'!$C$15+AB145-AA145))))</f>
        <v/>
      </c>
      <c r="X145" s="184" t="str">
        <f aca="false">IF(OR(W145="",J145=""),"",W145-J145)</f>
        <v/>
      </c>
      <c r="Y145" s="117" t="str">
        <f aca="false">IF(OR(D145="",I145="",J145=""),"",IF(O145&lt;&gt;"",IF(O145&lt;=J145,"เสร็จ / Completed","เสร็จช้า / Completed Late"),IF(AND(N145="",'ตั้งค่า Setup'!$C$15&lt;AA145),"ยังไม่ถึงกำหนด / Not Due",IF(N(P145)&gt;=Q145,"ตามแผน / On Track",IF('ตั้งค่า Setup'!$C$15&gt;J145,"เกินกำหนด / Overdue","ล่าช้า / Behind")))))</f>
        <v/>
      </c>
      <c r="Z145" s="32"/>
      <c r="AA145" s="69" t="n">
        <f aca="false">IF(D145="",0,IF(L145&lt;&gt;"",L145,N(I145)))</f>
        <v>0</v>
      </c>
      <c r="AB145" s="69" t="n">
        <f aca="false">IF(D145="",0,IF(M145&lt;&gt;"",M145,N(J145)))</f>
        <v>0</v>
      </c>
      <c r="AC145" s="185" t="str">
        <f aca="false">IF(AND(D145&lt;&gt;"",O145="",ISNUMBER(X145)),X145+(1000-ROW())/1000000,"")</f>
        <v/>
      </c>
      <c r="AD145" s="185" t="n">
        <f aca="false">IF(AND(D145&lt;&gt;"",O145="",AA145&gt;0,AA145&lt;='ตั้งค่า Setup'!$C$15+'ตั้งค่า Setup'!$C$20),1,0)</f>
        <v>0</v>
      </c>
      <c r="AE145" s="185" t="str">
        <f aca="false">IF(AD145=1,SUM(AD$7:AD145),"")</f>
        <v/>
      </c>
    </row>
    <row r="146" customFormat="false" ht="15" hidden="false" customHeight="false" outlineLevel="0" collapsed="false">
      <c r="A146" s="181" t="str">
        <f aca="false">IF(OR(B146="",C146="",D146=""),"",IFERROR(MATCH(B146,'ตั้งค่า Setup'!$C$26:$C$65,0)&amp;"."&amp;MATCH(C146,'ตั้งค่า Setup'!$C$68:$C$107,0)&amp;"."&amp;TEXT(COUNTIFS(B$7:B146,B146,C$7:C146,C146),"00"),"?"))</f>
        <v/>
      </c>
      <c r="B146" s="32"/>
      <c r="C146" s="32"/>
      <c r="D146" s="32"/>
      <c r="E146" s="23"/>
      <c r="F146" s="113"/>
      <c r="G146" s="115" t="n">
        <f aca="false">IF(D146="",0,IF(F146&lt;&gt;"",F146,IF(SUM($E$7:$E$156)&gt;0,N(E146)/SUM($E$7:$E$156),0)))</f>
        <v>0</v>
      </c>
      <c r="H146" s="182" t="str">
        <f aca="false">IF(D146="","",G146*'ตั้งค่า Setup'!$C$9)</f>
        <v/>
      </c>
      <c r="I146" s="24"/>
      <c r="J146" s="24"/>
      <c r="K146" s="117" t="str">
        <f aca="false">IF(OR(I146="",J146=""),"",J146-I146+1)</f>
        <v/>
      </c>
      <c r="L146" s="24"/>
      <c r="M146" s="24"/>
      <c r="N146" s="24"/>
      <c r="O146" s="24"/>
      <c r="P146" s="113"/>
      <c r="Q146" s="115" t="str">
        <f aca="false">IF(OR(D146="",I146="",J146=""),"",MAX(0,MIN(1,('ตั้งค่า Setup'!$C$15-I146+1)/(J146-I146+1))))</f>
        <v/>
      </c>
      <c r="R146" s="115" t="str">
        <f aca="false">IF(OR(D146="",AA146=0),"",MAX(0,MIN(1,('ตั้งค่า Setup'!$C$15-AA146+1)/(AB146-AA146+1))))</f>
        <v/>
      </c>
      <c r="S146" s="182" t="str">
        <f aca="false">IF(Q146="","",H146*Q146)</f>
        <v/>
      </c>
      <c r="T146" s="182" t="str">
        <f aca="false">IF(D146="","",H146*N(P146))</f>
        <v/>
      </c>
      <c r="U146" s="182" t="str">
        <f aca="false">IF(OR(S146="",T146=""),"",T146-S146)</f>
        <v/>
      </c>
      <c r="V146" s="183" t="str">
        <f aca="false">IF(OR(S146="",T146=""),"",IF(S146=0,"",T146/S146))</f>
        <v/>
      </c>
      <c r="W146" s="127" t="str">
        <f aca="false">IF(OR(D146="",AA146=0),"",IF(O146&lt;&gt;"",O146,IF(AND(N(P146)&gt;0,N146&lt;&gt;""),N146+ROUND((MAX('ตั้งค่า Setup'!$C$15,N146)-N146+1)/P146,0)-1,MAX(AB146,'ตั้งค่า Setup'!$C$15+AB146-AA146))))</f>
        <v/>
      </c>
      <c r="X146" s="184" t="str">
        <f aca="false">IF(OR(W146="",J146=""),"",W146-J146)</f>
        <v/>
      </c>
      <c r="Y146" s="117" t="str">
        <f aca="false">IF(OR(D146="",I146="",J146=""),"",IF(O146&lt;&gt;"",IF(O146&lt;=J146,"เสร็จ / Completed","เสร็จช้า / Completed Late"),IF(AND(N146="",'ตั้งค่า Setup'!$C$15&lt;AA146),"ยังไม่ถึงกำหนด / Not Due",IF(N(P146)&gt;=Q146,"ตามแผน / On Track",IF('ตั้งค่า Setup'!$C$15&gt;J146,"เกินกำหนด / Overdue","ล่าช้า / Behind")))))</f>
        <v/>
      </c>
      <c r="Z146" s="32"/>
      <c r="AA146" s="69" t="n">
        <f aca="false">IF(D146="",0,IF(L146&lt;&gt;"",L146,N(I146)))</f>
        <v>0</v>
      </c>
      <c r="AB146" s="69" t="n">
        <f aca="false">IF(D146="",0,IF(M146&lt;&gt;"",M146,N(J146)))</f>
        <v>0</v>
      </c>
      <c r="AC146" s="185" t="str">
        <f aca="false">IF(AND(D146&lt;&gt;"",O146="",ISNUMBER(X146)),X146+(1000-ROW())/1000000,"")</f>
        <v/>
      </c>
      <c r="AD146" s="185" t="n">
        <f aca="false">IF(AND(D146&lt;&gt;"",O146="",AA146&gt;0,AA146&lt;='ตั้งค่า Setup'!$C$15+'ตั้งค่า Setup'!$C$20),1,0)</f>
        <v>0</v>
      </c>
      <c r="AE146" s="185" t="str">
        <f aca="false">IF(AD146=1,SUM(AD$7:AD146),"")</f>
        <v/>
      </c>
    </row>
    <row r="147" customFormat="false" ht="15" hidden="false" customHeight="false" outlineLevel="0" collapsed="false">
      <c r="A147" s="181" t="str">
        <f aca="false">IF(OR(B147="",C147="",D147=""),"",IFERROR(MATCH(B147,'ตั้งค่า Setup'!$C$26:$C$65,0)&amp;"."&amp;MATCH(C147,'ตั้งค่า Setup'!$C$68:$C$107,0)&amp;"."&amp;TEXT(COUNTIFS(B$7:B147,B147,C$7:C147,C147),"00"),"?"))</f>
        <v/>
      </c>
      <c r="B147" s="32"/>
      <c r="C147" s="32"/>
      <c r="D147" s="32"/>
      <c r="E147" s="23"/>
      <c r="F147" s="113"/>
      <c r="G147" s="115" t="n">
        <f aca="false">IF(D147="",0,IF(F147&lt;&gt;"",F147,IF(SUM($E$7:$E$156)&gt;0,N(E147)/SUM($E$7:$E$156),0)))</f>
        <v>0</v>
      </c>
      <c r="H147" s="182" t="str">
        <f aca="false">IF(D147="","",G147*'ตั้งค่า Setup'!$C$9)</f>
        <v/>
      </c>
      <c r="I147" s="24"/>
      <c r="J147" s="24"/>
      <c r="K147" s="117" t="str">
        <f aca="false">IF(OR(I147="",J147=""),"",J147-I147+1)</f>
        <v/>
      </c>
      <c r="L147" s="24"/>
      <c r="M147" s="24"/>
      <c r="N147" s="24"/>
      <c r="O147" s="24"/>
      <c r="P147" s="113"/>
      <c r="Q147" s="115" t="str">
        <f aca="false">IF(OR(D147="",I147="",J147=""),"",MAX(0,MIN(1,('ตั้งค่า Setup'!$C$15-I147+1)/(J147-I147+1))))</f>
        <v/>
      </c>
      <c r="R147" s="115" t="str">
        <f aca="false">IF(OR(D147="",AA147=0),"",MAX(0,MIN(1,('ตั้งค่า Setup'!$C$15-AA147+1)/(AB147-AA147+1))))</f>
        <v/>
      </c>
      <c r="S147" s="182" t="str">
        <f aca="false">IF(Q147="","",H147*Q147)</f>
        <v/>
      </c>
      <c r="T147" s="182" t="str">
        <f aca="false">IF(D147="","",H147*N(P147))</f>
        <v/>
      </c>
      <c r="U147" s="182" t="str">
        <f aca="false">IF(OR(S147="",T147=""),"",T147-S147)</f>
        <v/>
      </c>
      <c r="V147" s="183" t="str">
        <f aca="false">IF(OR(S147="",T147=""),"",IF(S147=0,"",T147/S147))</f>
        <v/>
      </c>
      <c r="W147" s="127" t="str">
        <f aca="false">IF(OR(D147="",AA147=0),"",IF(O147&lt;&gt;"",O147,IF(AND(N(P147)&gt;0,N147&lt;&gt;""),N147+ROUND((MAX('ตั้งค่า Setup'!$C$15,N147)-N147+1)/P147,0)-1,MAX(AB147,'ตั้งค่า Setup'!$C$15+AB147-AA147))))</f>
        <v/>
      </c>
      <c r="X147" s="184" t="str">
        <f aca="false">IF(OR(W147="",J147=""),"",W147-J147)</f>
        <v/>
      </c>
      <c r="Y147" s="117" t="str">
        <f aca="false">IF(OR(D147="",I147="",J147=""),"",IF(O147&lt;&gt;"",IF(O147&lt;=J147,"เสร็จ / Completed","เสร็จช้า / Completed Late"),IF(AND(N147="",'ตั้งค่า Setup'!$C$15&lt;AA147),"ยังไม่ถึงกำหนด / Not Due",IF(N(P147)&gt;=Q147,"ตามแผน / On Track",IF('ตั้งค่า Setup'!$C$15&gt;J147,"เกินกำหนด / Overdue","ล่าช้า / Behind")))))</f>
        <v/>
      </c>
      <c r="Z147" s="32"/>
      <c r="AA147" s="69" t="n">
        <f aca="false">IF(D147="",0,IF(L147&lt;&gt;"",L147,N(I147)))</f>
        <v>0</v>
      </c>
      <c r="AB147" s="69" t="n">
        <f aca="false">IF(D147="",0,IF(M147&lt;&gt;"",M147,N(J147)))</f>
        <v>0</v>
      </c>
      <c r="AC147" s="185" t="str">
        <f aca="false">IF(AND(D147&lt;&gt;"",O147="",ISNUMBER(X147)),X147+(1000-ROW())/1000000,"")</f>
        <v/>
      </c>
      <c r="AD147" s="185" t="n">
        <f aca="false">IF(AND(D147&lt;&gt;"",O147="",AA147&gt;0,AA147&lt;='ตั้งค่า Setup'!$C$15+'ตั้งค่า Setup'!$C$20),1,0)</f>
        <v>0</v>
      </c>
      <c r="AE147" s="185" t="str">
        <f aca="false">IF(AD147=1,SUM(AD$7:AD147),"")</f>
        <v/>
      </c>
    </row>
    <row r="148" customFormat="false" ht="15" hidden="false" customHeight="false" outlineLevel="0" collapsed="false">
      <c r="A148" s="181" t="str">
        <f aca="false">IF(OR(B148="",C148="",D148=""),"",IFERROR(MATCH(B148,'ตั้งค่า Setup'!$C$26:$C$65,0)&amp;"."&amp;MATCH(C148,'ตั้งค่า Setup'!$C$68:$C$107,0)&amp;"."&amp;TEXT(COUNTIFS(B$7:B148,B148,C$7:C148,C148),"00"),"?"))</f>
        <v/>
      </c>
      <c r="B148" s="32"/>
      <c r="C148" s="32"/>
      <c r="D148" s="32"/>
      <c r="E148" s="23"/>
      <c r="F148" s="113"/>
      <c r="G148" s="115" t="n">
        <f aca="false">IF(D148="",0,IF(F148&lt;&gt;"",F148,IF(SUM($E$7:$E$156)&gt;0,N(E148)/SUM($E$7:$E$156),0)))</f>
        <v>0</v>
      </c>
      <c r="H148" s="182" t="str">
        <f aca="false">IF(D148="","",G148*'ตั้งค่า Setup'!$C$9)</f>
        <v/>
      </c>
      <c r="I148" s="24"/>
      <c r="J148" s="24"/>
      <c r="K148" s="117" t="str">
        <f aca="false">IF(OR(I148="",J148=""),"",J148-I148+1)</f>
        <v/>
      </c>
      <c r="L148" s="24"/>
      <c r="M148" s="24"/>
      <c r="N148" s="24"/>
      <c r="O148" s="24"/>
      <c r="P148" s="113"/>
      <c r="Q148" s="115" t="str">
        <f aca="false">IF(OR(D148="",I148="",J148=""),"",MAX(0,MIN(1,('ตั้งค่า Setup'!$C$15-I148+1)/(J148-I148+1))))</f>
        <v/>
      </c>
      <c r="R148" s="115" t="str">
        <f aca="false">IF(OR(D148="",AA148=0),"",MAX(0,MIN(1,('ตั้งค่า Setup'!$C$15-AA148+1)/(AB148-AA148+1))))</f>
        <v/>
      </c>
      <c r="S148" s="182" t="str">
        <f aca="false">IF(Q148="","",H148*Q148)</f>
        <v/>
      </c>
      <c r="T148" s="182" t="str">
        <f aca="false">IF(D148="","",H148*N(P148))</f>
        <v/>
      </c>
      <c r="U148" s="182" t="str">
        <f aca="false">IF(OR(S148="",T148=""),"",T148-S148)</f>
        <v/>
      </c>
      <c r="V148" s="183" t="str">
        <f aca="false">IF(OR(S148="",T148=""),"",IF(S148=0,"",T148/S148))</f>
        <v/>
      </c>
      <c r="W148" s="127" t="str">
        <f aca="false">IF(OR(D148="",AA148=0),"",IF(O148&lt;&gt;"",O148,IF(AND(N(P148)&gt;0,N148&lt;&gt;""),N148+ROUND((MAX('ตั้งค่า Setup'!$C$15,N148)-N148+1)/P148,0)-1,MAX(AB148,'ตั้งค่า Setup'!$C$15+AB148-AA148))))</f>
        <v/>
      </c>
      <c r="X148" s="184" t="str">
        <f aca="false">IF(OR(W148="",J148=""),"",W148-J148)</f>
        <v/>
      </c>
      <c r="Y148" s="117" t="str">
        <f aca="false">IF(OR(D148="",I148="",J148=""),"",IF(O148&lt;&gt;"",IF(O148&lt;=J148,"เสร็จ / Completed","เสร็จช้า / Completed Late"),IF(AND(N148="",'ตั้งค่า Setup'!$C$15&lt;AA148),"ยังไม่ถึงกำหนด / Not Due",IF(N(P148)&gt;=Q148,"ตามแผน / On Track",IF('ตั้งค่า Setup'!$C$15&gt;J148,"เกินกำหนด / Overdue","ล่าช้า / Behind")))))</f>
        <v/>
      </c>
      <c r="Z148" s="32"/>
      <c r="AA148" s="69" t="n">
        <f aca="false">IF(D148="",0,IF(L148&lt;&gt;"",L148,N(I148)))</f>
        <v>0</v>
      </c>
      <c r="AB148" s="69" t="n">
        <f aca="false">IF(D148="",0,IF(M148&lt;&gt;"",M148,N(J148)))</f>
        <v>0</v>
      </c>
      <c r="AC148" s="185" t="str">
        <f aca="false">IF(AND(D148&lt;&gt;"",O148="",ISNUMBER(X148)),X148+(1000-ROW())/1000000,"")</f>
        <v/>
      </c>
      <c r="AD148" s="185" t="n">
        <f aca="false">IF(AND(D148&lt;&gt;"",O148="",AA148&gt;0,AA148&lt;='ตั้งค่า Setup'!$C$15+'ตั้งค่า Setup'!$C$20),1,0)</f>
        <v>0</v>
      </c>
      <c r="AE148" s="185" t="str">
        <f aca="false">IF(AD148=1,SUM(AD$7:AD148),"")</f>
        <v/>
      </c>
    </row>
    <row r="149" customFormat="false" ht="15" hidden="false" customHeight="false" outlineLevel="0" collapsed="false">
      <c r="A149" s="181" t="str">
        <f aca="false">IF(OR(B149="",C149="",D149=""),"",IFERROR(MATCH(B149,'ตั้งค่า Setup'!$C$26:$C$65,0)&amp;"."&amp;MATCH(C149,'ตั้งค่า Setup'!$C$68:$C$107,0)&amp;"."&amp;TEXT(COUNTIFS(B$7:B149,B149,C$7:C149,C149),"00"),"?"))</f>
        <v/>
      </c>
      <c r="B149" s="32"/>
      <c r="C149" s="32"/>
      <c r="D149" s="32"/>
      <c r="E149" s="23"/>
      <c r="F149" s="113"/>
      <c r="G149" s="115" t="n">
        <f aca="false">IF(D149="",0,IF(F149&lt;&gt;"",F149,IF(SUM($E$7:$E$156)&gt;0,N(E149)/SUM($E$7:$E$156),0)))</f>
        <v>0</v>
      </c>
      <c r="H149" s="182" t="str">
        <f aca="false">IF(D149="","",G149*'ตั้งค่า Setup'!$C$9)</f>
        <v/>
      </c>
      <c r="I149" s="24"/>
      <c r="J149" s="24"/>
      <c r="K149" s="117" t="str">
        <f aca="false">IF(OR(I149="",J149=""),"",J149-I149+1)</f>
        <v/>
      </c>
      <c r="L149" s="24"/>
      <c r="M149" s="24"/>
      <c r="N149" s="24"/>
      <c r="O149" s="24"/>
      <c r="P149" s="113"/>
      <c r="Q149" s="115" t="str">
        <f aca="false">IF(OR(D149="",I149="",J149=""),"",MAX(0,MIN(1,('ตั้งค่า Setup'!$C$15-I149+1)/(J149-I149+1))))</f>
        <v/>
      </c>
      <c r="R149" s="115" t="str">
        <f aca="false">IF(OR(D149="",AA149=0),"",MAX(0,MIN(1,('ตั้งค่า Setup'!$C$15-AA149+1)/(AB149-AA149+1))))</f>
        <v/>
      </c>
      <c r="S149" s="182" t="str">
        <f aca="false">IF(Q149="","",H149*Q149)</f>
        <v/>
      </c>
      <c r="T149" s="182" t="str">
        <f aca="false">IF(D149="","",H149*N(P149))</f>
        <v/>
      </c>
      <c r="U149" s="182" t="str">
        <f aca="false">IF(OR(S149="",T149=""),"",T149-S149)</f>
        <v/>
      </c>
      <c r="V149" s="183" t="str">
        <f aca="false">IF(OR(S149="",T149=""),"",IF(S149=0,"",T149/S149))</f>
        <v/>
      </c>
      <c r="W149" s="127" t="str">
        <f aca="false">IF(OR(D149="",AA149=0),"",IF(O149&lt;&gt;"",O149,IF(AND(N(P149)&gt;0,N149&lt;&gt;""),N149+ROUND((MAX('ตั้งค่า Setup'!$C$15,N149)-N149+1)/P149,0)-1,MAX(AB149,'ตั้งค่า Setup'!$C$15+AB149-AA149))))</f>
        <v/>
      </c>
      <c r="X149" s="184" t="str">
        <f aca="false">IF(OR(W149="",J149=""),"",W149-J149)</f>
        <v/>
      </c>
      <c r="Y149" s="117" t="str">
        <f aca="false">IF(OR(D149="",I149="",J149=""),"",IF(O149&lt;&gt;"",IF(O149&lt;=J149,"เสร็จ / Completed","เสร็จช้า / Completed Late"),IF(AND(N149="",'ตั้งค่า Setup'!$C$15&lt;AA149),"ยังไม่ถึงกำหนด / Not Due",IF(N(P149)&gt;=Q149,"ตามแผน / On Track",IF('ตั้งค่า Setup'!$C$15&gt;J149,"เกินกำหนด / Overdue","ล่าช้า / Behind")))))</f>
        <v/>
      </c>
      <c r="Z149" s="32"/>
      <c r="AA149" s="69" t="n">
        <f aca="false">IF(D149="",0,IF(L149&lt;&gt;"",L149,N(I149)))</f>
        <v>0</v>
      </c>
      <c r="AB149" s="69" t="n">
        <f aca="false">IF(D149="",0,IF(M149&lt;&gt;"",M149,N(J149)))</f>
        <v>0</v>
      </c>
      <c r="AC149" s="185" t="str">
        <f aca="false">IF(AND(D149&lt;&gt;"",O149="",ISNUMBER(X149)),X149+(1000-ROW())/1000000,"")</f>
        <v/>
      </c>
      <c r="AD149" s="185" t="n">
        <f aca="false">IF(AND(D149&lt;&gt;"",O149="",AA149&gt;0,AA149&lt;='ตั้งค่า Setup'!$C$15+'ตั้งค่า Setup'!$C$20),1,0)</f>
        <v>0</v>
      </c>
      <c r="AE149" s="185" t="str">
        <f aca="false">IF(AD149=1,SUM(AD$7:AD149),"")</f>
        <v/>
      </c>
    </row>
    <row r="150" customFormat="false" ht="15" hidden="false" customHeight="false" outlineLevel="0" collapsed="false">
      <c r="A150" s="181" t="str">
        <f aca="false">IF(OR(B150="",C150="",D150=""),"",IFERROR(MATCH(B150,'ตั้งค่า Setup'!$C$26:$C$65,0)&amp;"."&amp;MATCH(C150,'ตั้งค่า Setup'!$C$68:$C$107,0)&amp;"."&amp;TEXT(COUNTIFS(B$7:B150,B150,C$7:C150,C150),"00"),"?"))</f>
        <v/>
      </c>
      <c r="B150" s="32"/>
      <c r="C150" s="32"/>
      <c r="D150" s="32"/>
      <c r="E150" s="23"/>
      <c r="F150" s="113"/>
      <c r="G150" s="115" t="n">
        <f aca="false">IF(D150="",0,IF(F150&lt;&gt;"",F150,IF(SUM($E$7:$E$156)&gt;0,N(E150)/SUM($E$7:$E$156),0)))</f>
        <v>0</v>
      </c>
      <c r="H150" s="182" t="str">
        <f aca="false">IF(D150="","",G150*'ตั้งค่า Setup'!$C$9)</f>
        <v/>
      </c>
      <c r="I150" s="24"/>
      <c r="J150" s="24"/>
      <c r="K150" s="117" t="str">
        <f aca="false">IF(OR(I150="",J150=""),"",J150-I150+1)</f>
        <v/>
      </c>
      <c r="L150" s="24"/>
      <c r="M150" s="24"/>
      <c r="N150" s="24"/>
      <c r="O150" s="24"/>
      <c r="P150" s="113"/>
      <c r="Q150" s="115" t="str">
        <f aca="false">IF(OR(D150="",I150="",J150=""),"",MAX(0,MIN(1,('ตั้งค่า Setup'!$C$15-I150+1)/(J150-I150+1))))</f>
        <v/>
      </c>
      <c r="R150" s="115" t="str">
        <f aca="false">IF(OR(D150="",AA150=0),"",MAX(0,MIN(1,('ตั้งค่า Setup'!$C$15-AA150+1)/(AB150-AA150+1))))</f>
        <v/>
      </c>
      <c r="S150" s="182" t="str">
        <f aca="false">IF(Q150="","",H150*Q150)</f>
        <v/>
      </c>
      <c r="T150" s="182" t="str">
        <f aca="false">IF(D150="","",H150*N(P150))</f>
        <v/>
      </c>
      <c r="U150" s="182" t="str">
        <f aca="false">IF(OR(S150="",T150=""),"",T150-S150)</f>
        <v/>
      </c>
      <c r="V150" s="183" t="str">
        <f aca="false">IF(OR(S150="",T150=""),"",IF(S150=0,"",T150/S150))</f>
        <v/>
      </c>
      <c r="W150" s="127" t="str">
        <f aca="false">IF(OR(D150="",AA150=0),"",IF(O150&lt;&gt;"",O150,IF(AND(N(P150)&gt;0,N150&lt;&gt;""),N150+ROUND((MAX('ตั้งค่า Setup'!$C$15,N150)-N150+1)/P150,0)-1,MAX(AB150,'ตั้งค่า Setup'!$C$15+AB150-AA150))))</f>
        <v/>
      </c>
      <c r="X150" s="184" t="str">
        <f aca="false">IF(OR(W150="",J150=""),"",W150-J150)</f>
        <v/>
      </c>
      <c r="Y150" s="117" t="str">
        <f aca="false">IF(OR(D150="",I150="",J150=""),"",IF(O150&lt;&gt;"",IF(O150&lt;=J150,"เสร็จ / Completed","เสร็จช้า / Completed Late"),IF(AND(N150="",'ตั้งค่า Setup'!$C$15&lt;AA150),"ยังไม่ถึงกำหนด / Not Due",IF(N(P150)&gt;=Q150,"ตามแผน / On Track",IF('ตั้งค่า Setup'!$C$15&gt;J150,"เกินกำหนด / Overdue","ล่าช้า / Behind")))))</f>
        <v/>
      </c>
      <c r="Z150" s="32"/>
      <c r="AA150" s="69" t="n">
        <f aca="false">IF(D150="",0,IF(L150&lt;&gt;"",L150,N(I150)))</f>
        <v>0</v>
      </c>
      <c r="AB150" s="69" t="n">
        <f aca="false">IF(D150="",0,IF(M150&lt;&gt;"",M150,N(J150)))</f>
        <v>0</v>
      </c>
      <c r="AC150" s="185" t="str">
        <f aca="false">IF(AND(D150&lt;&gt;"",O150="",ISNUMBER(X150)),X150+(1000-ROW())/1000000,"")</f>
        <v/>
      </c>
      <c r="AD150" s="185" t="n">
        <f aca="false">IF(AND(D150&lt;&gt;"",O150="",AA150&gt;0,AA150&lt;='ตั้งค่า Setup'!$C$15+'ตั้งค่า Setup'!$C$20),1,0)</f>
        <v>0</v>
      </c>
      <c r="AE150" s="185" t="str">
        <f aca="false">IF(AD150=1,SUM(AD$7:AD150),"")</f>
        <v/>
      </c>
    </row>
    <row r="151" customFormat="false" ht="15" hidden="false" customHeight="false" outlineLevel="0" collapsed="false">
      <c r="A151" s="181" t="str">
        <f aca="false">IF(OR(B151="",C151="",D151=""),"",IFERROR(MATCH(B151,'ตั้งค่า Setup'!$C$26:$C$65,0)&amp;"."&amp;MATCH(C151,'ตั้งค่า Setup'!$C$68:$C$107,0)&amp;"."&amp;TEXT(COUNTIFS(B$7:B151,B151,C$7:C151,C151),"00"),"?"))</f>
        <v/>
      </c>
      <c r="B151" s="32"/>
      <c r="C151" s="32"/>
      <c r="D151" s="32"/>
      <c r="E151" s="23"/>
      <c r="F151" s="113"/>
      <c r="G151" s="115" t="n">
        <f aca="false">IF(D151="",0,IF(F151&lt;&gt;"",F151,IF(SUM($E$7:$E$156)&gt;0,N(E151)/SUM($E$7:$E$156),0)))</f>
        <v>0</v>
      </c>
      <c r="H151" s="182" t="str">
        <f aca="false">IF(D151="","",G151*'ตั้งค่า Setup'!$C$9)</f>
        <v/>
      </c>
      <c r="I151" s="24"/>
      <c r="J151" s="24"/>
      <c r="K151" s="117" t="str">
        <f aca="false">IF(OR(I151="",J151=""),"",J151-I151+1)</f>
        <v/>
      </c>
      <c r="L151" s="24"/>
      <c r="M151" s="24"/>
      <c r="N151" s="24"/>
      <c r="O151" s="24"/>
      <c r="P151" s="113"/>
      <c r="Q151" s="115" t="str">
        <f aca="false">IF(OR(D151="",I151="",J151=""),"",MAX(0,MIN(1,('ตั้งค่า Setup'!$C$15-I151+1)/(J151-I151+1))))</f>
        <v/>
      </c>
      <c r="R151" s="115" t="str">
        <f aca="false">IF(OR(D151="",AA151=0),"",MAX(0,MIN(1,('ตั้งค่า Setup'!$C$15-AA151+1)/(AB151-AA151+1))))</f>
        <v/>
      </c>
      <c r="S151" s="182" t="str">
        <f aca="false">IF(Q151="","",H151*Q151)</f>
        <v/>
      </c>
      <c r="T151" s="182" t="str">
        <f aca="false">IF(D151="","",H151*N(P151))</f>
        <v/>
      </c>
      <c r="U151" s="182" t="str">
        <f aca="false">IF(OR(S151="",T151=""),"",T151-S151)</f>
        <v/>
      </c>
      <c r="V151" s="183" t="str">
        <f aca="false">IF(OR(S151="",T151=""),"",IF(S151=0,"",T151/S151))</f>
        <v/>
      </c>
      <c r="W151" s="127" t="str">
        <f aca="false">IF(OR(D151="",AA151=0),"",IF(O151&lt;&gt;"",O151,IF(AND(N(P151)&gt;0,N151&lt;&gt;""),N151+ROUND((MAX('ตั้งค่า Setup'!$C$15,N151)-N151+1)/P151,0)-1,MAX(AB151,'ตั้งค่า Setup'!$C$15+AB151-AA151))))</f>
        <v/>
      </c>
      <c r="X151" s="184" t="str">
        <f aca="false">IF(OR(W151="",J151=""),"",W151-J151)</f>
        <v/>
      </c>
      <c r="Y151" s="117" t="str">
        <f aca="false">IF(OR(D151="",I151="",J151=""),"",IF(O151&lt;&gt;"",IF(O151&lt;=J151,"เสร็จ / Completed","เสร็จช้า / Completed Late"),IF(AND(N151="",'ตั้งค่า Setup'!$C$15&lt;AA151),"ยังไม่ถึงกำหนด / Not Due",IF(N(P151)&gt;=Q151,"ตามแผน / On Track",IF('ตั้งค่า Setup'!$C$15&gt;J151,"เกินกำหนด / Overdue","ล่าช้า / Behind")))))</f>
        <v/>
      </c>
      <c r="Z151" s="32"/>
      <c r="AA151" s="69" t="n">
        <f aca="false">IF(D151="",0,IF(L151&lt;&gt;"",L151,N(I151)))</f>
        <v>0</v>
      </c>
      <c r="AB151" s="69" t="n">
        <f aca="false">IF(D151="",0,IF(M151&lt;&gt;"",M151,N(J151)))</f>
        <v>0</v>
      </c>
      <c r="AC151" s="185" t="str">
        <f aca="false">IF(AND(D151&lt;&gt;"",O151="",ISNUMBER(X151)),X151+(1000-ROW())/1000000,"")</f>
        <v/>
      </c>
      <c r="AD151" s="185" t="n">
        <f aca="false">IF(AND(D151&lt;&gt;"",O151="",AA151&gt;0,AA151&lt;='ตั้งค่า Setup'!$C$15+'ตั้งค่า Setup'!$C$20),1,0)</f>
        <v>0</v>
      </c>
      <c r="AE151" s="185" t="str">
        <f aca="false">IF(AD151=1,SUM(AD$7:AD151),"")</f>
        <v/>
      </c>
    </row>
    <row r="152" customFormat="false" ht="15" hidden="false" customHeight="false" outlineLevel="0" collapsed="false">
      <c r="A152" s="181" t="str">
        <f aca="false">IF(OR(B152="",C152="",D152=""),"",IFERROR(MATCH(B152,'ตั้งค่า Setup'!$C$26:$C$65,0)&amp;"."&amp;MATCH(C152,'ตั้งค่า Setup'!$C$68:$C$107,0)&amp;"."&amp;TEXT(COUNTIFS(B$7:B152,B152,C$7:C152,C152),"00"),"?"))</f>
        <v/>
      </c>
      <c r="B152" s="32"/>
      <c r="C152" s="32"/>
      <c r="D152" s="32"/>
      <c r="E152" s="23"/>
      <c r="F152" s="113"/>
      <c r="G152" s="115" t="n">
        <f aca="false">IF(D152="",0,IF(F152&lt;&gt;"",F152,IF(SUM($E$7:$E$156)&gt;0,N(E152)/SUM($E$7:$E$156),0)))</f>
        <v>0</v>
      </c>
      <c r="H152" s="182" t="str">
        <f aca="false">IF(D152="","",G152*'ตั้งค่า Setup'!$C$9)</f>
        <v/>
      </c>
      <c r="I152" s="24"/>
      <c r="J152" s="24"/>
      <c r="K152" s="117" t="str">
        <f aca="false">IF(OR(I152="",J152=""),"",J152-I152+1)</f>
        <v/>
      </c>
      <c r="L152" s="24"/>
      <c r="M152" s="24"/>
      <c r="N152" s="24"/>
      <c r="O152" s="24"/>
      <c r="P152" s="113"/>
      <c r="Q152" s="115" t="str">
        <f aca="false">IF(OR(D152="",I152="",J152=""),"",MAX(0,MIN(1,('ตั้งค่า Setup'!$C$15-I152+1)/(J152-I152+1))))</f>
        <v/>
      </c>
      <c r="R152" s="115" t="str">
        <f aca="false">IF(OR(D152="",AA152=0),"",MAX(0,MIN(1,('ตั้งค่า Setup'!$C$15-AA152+1)/(AB152-AA152+1))))</f>
        <v/>
      </c>
      <c r="S152" s="182" t="str">
        <f aca="false">IF(Q152="","",H152*Q152)</f>
        <v/>
      </c>
      <c r="T152" s="182" t="str">
        <f aca="false">IF(D152="","",H152*N(P152))</f>
        <v/>
      </c>
      <c r="U152" s="182" t="str">
        <f aca="false">IF(OR(S152="",T152=""),"",T152-S152)</f>
        <v/>
      </c>
      <c r="V152" s="183" t="str">
        <f aca="false">IF(OR(S152="",T152=""),"",IF(S152=0,"",T152/S152))</f>
        <v/>
      </c>
      <c r="W152" s="127" t="str">
        <f aca="false">IF(OR(D152="",AA152=0),"",IF(O152&lt;&gt;"",O152,IF(AND(N(P152)&gt;0,N152&lt;&gt;""),N152+ROUND((MAX('ตั้งค่า Setup'!$C$15,N152)-N152+1)/P152,0)-1,MAX(AB152,'ตั้งค่า Setup'!$C$15+AB152-AA152))))</f>
        <v/>
      </c>
      <c r="X152" s="184" t="str">
        <f aca="false">IF(OR(W152="",J152=""),"",W152-J152)</f>
        <v/>
      </c>
      <c r="Y152" s="117" t="str">
        <f aca="false">IF(OR(D152="",I152="",J152=""),"",IF(O152&lt;&gt;"",IF(O152&lt;=J152,"เสร็จ / Completed","เสร็จช้า / Completed Late"),IF(AND(N152="",'ตั้งค่า Setup'!$C$15&lt;AA152),"ยังไม่ถึงกำหนด / Not Due",IF(N(P152)&gt;=Q152,"ตามแผน / On Track",IF('ตั้งค่า Setup'!$C$15&gt;J152,"เกินกำหนด / Overdue","ล่าช้า / Behind")))))</f>
        <v/>
      </c>
      <c r="Z152" s="32"/>
      <c r="AA152" s="69" t="n">
        <f aca="false">IF(D152="",0,IF(L152&lt;&gt;"",L152,N(I152)))</f>
        <v>0</v>
      </c>
      <c r="AB152" s="69" t="n">
        <f aca="false">IF(D152="",0,IF(M152&lt;&gt;"",M152,N(J152)))</f>
        <v>0</v>
      </c>
      <c r="AC152" s="185" t="str">
        <f aca="false">IF(AND(D152&lt;&gt;"",O152="",ISNUMBER(X152)),X152+(1000-ROW())/1000000,"")</f>
        <v/>
      </c>
      <c r="AD152" s="185" t="n">
        <f aca="false">IF(AND(D152&lt;&gt;"",O152="",AA152&gt;0,AA152&lt;='ตั้งค่า Setup'!$C$15+'ตั้งค่า Setup'!$C$20),1,0)</f>
        <v>0</v>
      </c>
      <c r="AE152" s="185" t="str">
        <f aca="false">IF(AD152=1,SUM(AD$7:AD152),"")</f>
        <v/>
      </c>
    </row>
    <row r="153" customFormat="false" ht="15" hidden="false" customHeight="false" outlineLevel="0" collapsed="false">
      <c r="A153" s="181" t="str">
        <f aca="false">IF(OR(B153="",C153="",D153=""),"",IFERROR(MATCH(B153,'ตั้งค่า Setup'!$C$26:$C$65,0)&amp;"."&amp;MATCH(C153,'ตั้งค่า Setup'!$C$68:$C$107,0)&amp;"."&amp;TEXT(COUNTIFS(B$7:B153,B153,C$7:C153,C153),"00"),"?"))</f>
        <v/>
      </c>
      <c r="B153" s="32"/>
      <c r="C153" s="32"/>
      <c r="D153" s="32"/>
      <c r="E153" s="23"/>
      <c r="F153" s="113"/>
      <c r="G153" s="115" t="n">
        <f aca="false">IF(D153="",0,IF(F153&lt;&gt;"",F153,IF(SUM($E$7:$E$156)&gt;0,N(E153)/SUM($E$7:$E$156),0)))</f>
        <v>0</v>
      </c>
      <c r="H153" s="182" t="str">
        <f aca="false">IF(D153="","",G153*'ตั้งค่า Setup'!$C$9)</f>
        <v/>
      </c>
      <c r="I153" s="24"/>
      <c r="J153" s="24"/>
      <c r="K153" s="117" t="str">
        <f aca="false">IF(OR(I153="",J153=""),"",J153-I153+1)</f>
        <v/>
      </c>
      <c r="L153" s="24"/>
      <c r="M153" s="24"/>
      <c r="N153" s="24"/>
      <c r="O153" s="24"/>
      <c r="P153" s="113"/>
      <c r="Q153" s="115" t="str">
        <f aca="false">IF(OR(D153="",I153="",J153=""),"",MAX(0,MIN(1,('ตั้งค่า Setup'!$C$15-I153+1)/(J153-I153+1))))</f>
        <v/>
      </c>
      <c r="R153" s="115" t="str">
        <f aca="false">IF(OR(D153="",AA153=0),"",MAX(0,MIN(1,('ตั้งค่า Setup'!$C$15-AA153+1)/(AB153-AA153+1))))</f>
        <v/>
      </c>
      <c r="S153" s="182" t="str">
        <f aca="false">IF(Q153="","",H153*Q153)</f>
        <v/>
      </c>
      <c r="T153" s="182" t="str">
        <f aca="false">IF(D153="","",H153*N(P153))</f>
        <v/>
      </c>
      <c r="U153" s="182" t="str">
        <f aca="false">IF(OR(S153="",T153=""),"",T153-S153)</f>
        <v/>
      </c>
      <c r="V153" s="183" t="str">
        <f aca="false">IF(OR(S153="",T153=""),"",IF(S153=0,"",T153/S153))</f>
        <v/>
      </c>
      <c r="W153" s="127" t="str">
        <f aca="false">IF(OR(D153="",AA153=0),"",IF(O153&lt;&gt;"",O153,IF(AND(N(P153)&gt;0,N153&lt;&gt;""),N153+ROUND((MAX('ตั้งค่า Setup'!$C$15,N153)-N153+1)/P153,0)-1,MAX(AB153,'ตั้งค่า Setup'!$C$15+AB153-AA153))))</f>
        <v/>
      </c>
      <c r="X153" s="184" t="str">
        <f aca="false">IF(OR(W153="",J153=""),"",W153-J153)</f>
        <v/>
      </c>
      <c r="Y153" s="117" t="str">
        <f aca="false">IF(OR(D153="",I153="",J153=""),"",IF(O153&lt;&gt;"",IF(O153&lt;=J153,"เสร็จ / Completed","เสร็จช้า / Completed Late"),IF(AND(N153="",'ตั้งค่า Setup'!$C$15&lt;AA153),"ยังไม่ถึงกำหนด / Not Due",IF(N(P153)&gt;=Q153,"ตามแผน / On Track",IF('ตั้งค่า Setup'!$C$15&gt;J153,"เกินกำหนด / Overdue","ล่าช้า / Behind")))))</f>
        <v/>
      </c>
      <c r="Z153" s="32"/>
      <c r="AA153" s="69" t="n">
        <f aca="false">IF(D153="",0,IF(L153&lt;&gt;"",L153,N(I153)))</f>
        <v>0</v>
      </c>
      <c r="AB153" s="69" t="n">
        <f aca="false">IF(D153="",0,IF(M153&lt;&gt;"",M153,N(J153)))</f>
        <v>0</v>
      </c>
      <c r="AC153" s="185" t="str">
        <f aca="false">IF(AND(D153&lt;&gt;"",O153="",ISNUMBER(X153)),X153+(1000-ROW())/1000000,"")</f>
        <v/>
      </c>
      <c r="AD153" s="185" t="n">
        <f aca="false">IF(AND(D153&lt;&gt;"",O153="",AA153&gt;0,AA153&lt;='ตั้งค่า Setup'!$C$15+'ตั้งค่า Setup'!$C$20),1,0)</f>
        <v>0</v>
      </c>
      <c r="AE153" s="185" t="str">
        <f aca="false">IF(AD153=1,SUM(AD$7:AD153),"")</f>
        <v/>
      </c>
    </row>
    <row r="154" customFormat="false" ht="15" hidden="false" customHeight="false" outlineLevel="0" collapsed="false">
      <c r="A154" s="181" t="str">
        <f aca="false">IF(OR(B154="",C154="",D154=""),"",IFERROR(MATCH(B154,'ตั้งค่า Setup'!$C$26:$C$65,0)&amp;"."&amp;MATCH(C154,'ตั้งค่า Setup'!$C$68:$C$107,0)&amp;"."&amp;TEXT(COUNTIFS(B$7:B154,B154,C$7:C154,C154),"00"),"?"))</f>
        <v/>
      </c>
      <c r="B154" s="32"/>
      <c r="C154" s="32"/>
      <c r="D154" s="32"/>
      <c r="E154" s="23"/>
      <c r="F154" s="113"/>
      <c r="G154" s="115" t="n">
        <f aca="false">IF(D154="",0,IF(F154&lt;&gt;"",F154,IF(SUM($E$7:$E$156)&gt;0,N(E154)/SUM($E$7:$E$156),0)))</f>
        <v>0</v>
      </c>
      <c r="H154" s="182" t="str">
        <f aca="false">IF(D154="","",G154*'ตั้งค่า Setup'!$C$9)</f>
        <v/>
      </c>
      <c r="I154" s="24"/>
      <c r="J154" s="24"/>
      <c r="K154" s="117" t="str">
        <f aca="false">IF(OR(I154="",J154=""),"",J154-I154+1)</f>
        <v/>
      </c>
      <c r="L154" s="24"/>
      <c r="M154" s="24"/>
      <c r="N154" s="24"/>
      <c r="O154" s="24"/>
      <c r="P154" s="113"/>
      <c r="Q154" s="115" t="str">
        <f aca="false">IF(OR(D154="",I154="",J154=""),"",MAX(0,MIN(1,('ตั้งค่า Setup'!$C$15-I154+1)/(J154-I154+1))))</f>
        <v/>
      </c>
      <c r="R154" s="115" t="str">
        <f aca="false">IF(OR(D154="",AA154=0),"",MAX(0,MIN(1,('ตั้งค่า Setup'!$C$15-AA154+1)/(AB154-AA154+1))))</f>
        <v/>
      </c>
      <c r="S154" s="182" t="str">
        <f aca="false">IF(Q154="","",H154*Q154)</f>
        <v/>
      </c>
      <c r="T154" s="182" t="str">
        <f aca="false">IF(D154="","",H154*N(P154))</f>
        <v/>
      </c>
      <c r="U154" s="182" t="str">
        <f aca="false">IF(OR(S154="",T154=""),"",T154-S154)</f>
        <v/>
      </c>
      <c r="V154" s="183" t="str">
        <f aca="false">IF(OR(S154="",T154=""),"",IF(S154=0,"",T154/S154))</f>
        <v/>
      </c>
      <c r="W154" s="127" t="str">
        <f aca="false">IF(OR(D154="",AA154=0),"",IF(O154&lt;&gt;"",O154,IF(AND(N(P154)&gt;0,N154&lt;&gt;""),N154+ROUND((MAX('ตั้งค่า Setup'!$C$15,N154)-N154+1)/P154,0)-1,MAX(AB154,'ตั้งค่า Setup'!$C$15+AB154-AA154))))</f>
        <v/>
      </c>
      <c r="X154" s="184" t="str">
        <f aca="false">IF(OR(W154="",J154=""),"",W154-J154)</f>
        <v/>
      </c>
      <c r="Y154" s="117" t="str">
        <f aca="false">IF(OR(D154="",I154="",J154=""),"",IF(O154&lt;&gt;"",IF(O154&lt;=J154,"เสร็จ / Completed","เสร็จช้า / Completed Late"),IF(AND(N154="",'ตั้งค่า Setup'!$C$15&lt;AA154),"ยังไม่ถึงกำหนด / Not Due",IF(N(P154)&gt;=Q154,"ตามแผน / On Track",IF('ตั้งค่า Setup'!$C$15&gt;J154,"เกินกำหนด / Overdue","ล่าช้า / Behind")))))</f>
        <v/>
      </c>
      <c r="Z154" s="32"/>
      <c r="AA154" s="69" t="n">
        <f aca="false">IF(D154="",0,IF(L154&lt;&gt;"",L154,N(I154)))</f>
        <v>0</v>
      </c>
      <c r="AB154" s="69" t="n">
        <f aca="false">IF(D154="",0,IF(M154&lt;&gt;"",M154,N(J154)))</f>
        <v>0</v>
      </c>
      <c r="AC154" s="185" t="str">
        <f aca="false">IF(AND(D154&lt;&gt;"",O154="",ISNUMBER(X154)),X154+(1000-ROW())/1000000,"")</f>
        <v/>
      </c>
      <c r="AD154" s="185" t="n">
        <f aca="false">IF(AND(D154&lt;&gt;"",O154="",AA154&gt;0,AA154&lt;='ตั้งค่า Setup'!$C$15+'ตั้งค่า Setup'!$C$20),1,0)</f>
        <v>0</v>
      </c>
      <c r="AE154" s="185" t="str">
        <f aca="false">IF(AD154=1,SUM(AD$7:AD154),"")</f>
        <v/>
      </c>
    </row>
    <row r="155" customFormat="false" ht="15" hidden="false" customHeight="false" outlineLevel="0" collapsed="false">
      <c r="A155" s="181" t="str">
        <f aca="false">IF(OR(B155="",C155="",D155=""),"",IFERROR(MATCH(B155,'ตั้งค่า Setup'!$C$26:$C$65,0)&amp;"."&amp;MATCH(C155,'ตั้งค่า Setup'!$C$68:$C$107,0)&amp;"."&amp;TEXT(COUNTIFS(B$7:B155,B155,C$7:C155,C155),"00"),"?"))</f>
        <v/>
      </c>
      <c r="B155" s="32"/>
      <c r="C155" s="32"/>
      <c r="D155" s="32"/>
      <c r="E155" s="23"/>
      <c r="F155" s="113"/>
      <c r="G155" s="115" t="n">
        <f aca="false">IF(D155="",0,IF(F155&lt;&gt;"",F155,IF(SUM($E$7:$E$156)&gt;0,N(E155)/SUM($E$7:$E$156),0)))</f>
        <v>0</v>
      </c>
      <c r="H155" s="182" t="str">
        <f aca="false">IF(D155="","",G155*'ตั้งค่า Setup'!$C$9)</f>
        <v/>
      </c>
      <c r="I155" s="24"/>
      <c r="J155" s="24"/>
      <c r="K155" s="117" t="str">
        <f aca="false">IF(OR(I155="",J155=""),"",J155-I155+1)</f>
        <v/>
      </c>
      <c r="L155" s="24"/>
      <c r="M155" s="24"/>
      <c r="N155" s="24"/>
      <c r="O155" s="24"/>
      <c r="P155" s="113"/>
      <c r="Q155" s="115" t="str">
        <f aca="false">IF(OR(D155="",I155="",J155=""),"",MAX(0,MIN(1,('ตั้งค่า Setup'!$C$15-I155+1)/(J155-I155+1))))</f>
        <v/>
      </c>
      <c r="R155" s="115" t="str">
        <f aca="false">IF(OR(D155="",AA155=0),"",MAX(0,MIN(1,('ตั้งค่า Setup'!$C$15-AA155+1)/(AB155-AA155+1))))</f>
        <v/>
      </c>
      <c r="S155" s="182" t="str">
        <f aca="false">IF(Q155="","",H155*Q155)</f>
        <v/>
      </c>
      <c r="T155" s="182" t="str">
        <f aca="false">IF(D155="","",H155*N(P155))</f>
        <v/>
      </c>
      <c r="U155" s="182" t="str">
        <f aca="false">IF(OR(S155="",T155=""),"",T155-S155)</f>
        <v/>
      </c>
      <c r="V155" s="183" t="str">
        <f aca="false">IF(OR(S155="",T155=""),"",IF(S155=0,"",T155/S155))</f>
        <v/>
      </c>
      <c r="W155" s="127" t="str">
        <f aca="false">IF(OR(D155="",AA155=0),"",IF(O155&lt;&gt;"",O155,IF(AND(N(P155)&gt;0,N155&lt;&gt;""),N155+ROUND((MAX('ตั้งค่า Setup'!$C$15,N155)-N155+1)/P155,0)-1,MAX(AB155,'ตั้งค่า Setup'!$C$15+AB155-AA155))))</f>
        <v/>
      </c>
      <c r="X155" s="184" t="str">
        <f aca="false">IF(OR(W155="",J155=""),"",W155-J155)</f>
        <v/>
      </c>
      <c r="Y155" s="117" t="str">
        <f aca="false">IF(OR(D155="",I155="",J155=""),"",IF(O155&lt;&gt;"",IF(O155&lt;=J155,"เสร็จ / Completed","เสร็จช้า / Completed Late"),IF(AND(N155="",'ตั้งค่า Setup'!$C$15&lt;AA155),"ยังไม่ถึงกำหนด / Not Due",IF(N(P155)&gt;=Q155,"ตามแผน / On Track",IF('ตั้งค่า Setup'!$C$15&gt;J155,"เกินกำหนด / Overdue","ล่าช้า / Behind")))))</f>
        <v/>
      </c>
      <c r="Z155" s="32"/>
      <c r="AA155" s="69" t="n">
        <f aca="false">IF(D155="",0,IF(L155&lt;&gt;"",L155,N(I155)))</f>
        <v>0</v>
      </c>
      <c r="AB155" s="69" t="n">
        <f aca="false">IF(D155="",0,IF(M155&lt;&gt;"",M155,N(J155)))</f>
        <v>0</v>
      </c>
      <c r="AC155" s="185" t="str">
        <f aca="false">IF(AND(D155&lt;&gt;"",O155="",ISNUMBER(X155)),X155+(1000-ROW())/1000000,"")</f>
        <v/>
      </c>
      <c r="AD155" s="185" t="n">
        <f aca="false">IF(AND(D155&lt;&gt;"",O155="",AA155&gt;0,AA155&lt;='ตั้งค่า Setup'!$C$15+'ตั้งค่า Setup'!$C$20),1,0)</f>
        <v>0</v>
      </c>
      <c r="AE155" s="185" t="str">
        <f aca="false">IF(AD155=1,SUM(AD$7:AD155),"")</f>
        <v/>
      </c>
    </row>
    <row r="156" customFormat="false" ht="15" hidden="false" customHeight="false" outlineLevel="0" collapsed="false">
      <c r="A156" s="181" t="str">
        <f aca="false">IF(OR(B156="",C156="",D156=""),"",IFERROR(MATCH(B156,'ตั้งค่า Setup'!$C$26:$C$65,0)&amp;"."&amp;MATCH(C156,'ตั้งค่า Setup'!$C$68:$C$107,0)&amp;"."&amp;TEXT(COUNTIFS(B$7:B156,B156,C$7:C156,C156),"00"),"?"))</f>
        <v/>
      </c>
      <c r="B156" s="32"/>
      <c r="C156" s="32"/>
      <c r="D156" s="32"/>
      <c r="E156" s="23"/>
      <c r="F156" s="113"/>
      <c r="G156" s="115" t="n">
        <f aca="false">IF(D156="",0,IF(F156&lt;&gt;"",F156,IF(SUM($E$7:$E$156)&gt;0,N(E156)/SUM($E$7:$E$156),0)))</f>
        <v>0</v>
      </c>
      <c r="H156" s="182" t="str">
        <f aca="false">IF(D156="","",G156*'ตั้งค่า Setup'!$C$9)</f>
        <v/>
      </c>
      <c r="I156" s="24"/>
      <c r="J156" s="24"/>
      <c r="K156" s="117" t="str">
        <f aca="false">IF(OR(I156="",J156=""),"",J156-I156+1)</f>
        <v/>
      </c>
      <c r="L156" s="24"/>
      <c r="M156" s="24"/>
      <c r="N156" s="24"/>
      <c r="O156" s="24"/>
      <c r="P156" s="113"/>
      <c r="Q156" s="115" t="str">
        <f aca="false">IF(OR(D156="",I156="",J156=""),"",MAX(0,MIN(1,('ตั้งค่า Setup'!$C$15-I156+1)/(J156-I156+1))))</f>
        <v/>
      </c>
      <c r="R156" s="115" t="str">
        <f aca="false">IF(OR(D156="",AA156=0),"",MAX(0,MIN(1,('ตั้งค่า Setup'!$C$15-AA156+1)/(AB156-AA156+1))))</f>
        <v/>
      </c>
      <c r="S156" s="182" t="str">
        <f aca="false">IF(Q156="","",H156*Q156)</f>
        <v/>
      </c>
      <c r="T156" s="182" t="str">
        <f aca="false">IF(D156="","",H156*N(P156))</f>
        <v/>
      </c>
      <c r="U156" s="182" t="str">
        <f aca="false">IF(OR(S156="",T156=""),"",T156-S156)</f>
        <v/>
      </c>
      <c r="V156" s="183" t="str">
        <f aca="false">IF(OR(S156="",T156=""),"",IF(S156=0,"",T156/S156))</f>
        <v/>
      </c>
      <c r="W156" s="127" t="str">
        <f aca="false">IF(OR(D156="",AA156=0),"",IF(O156&lt;&gt;"",O156,IF(AND(N(P156)&gt;0,N156&lt;&gt;""),N156+ROUND((MAX('ตั้งค่า Setup'!$C$15,N156)-N156+1)/P156,0)-1,MAX(AB156,'ตั้งค่า Setup'!$C$15+AB156-AA156))))</f>
        <v/>
      </c>
      <c r="X156" s="184" t="str">
        <f aca="false">IF(OR(W156="",J156=""),"",W156-J156)</f>
        <v/>
      </c>
      <c r="Y156" s="117" t="str">
        <f aca="false">IF(OR(D156="",I156="",J156=""),"",IF(O156&lt;&gt;"",IF(O156&lt;=J156,"เสร็จ / Completed","เสร็จช้า / Completed Late"),IF(AND(N156="",'ตั้งค่า Setup'!$C$15&lt;AA156),"ยังไม่ถึงกำหนด / Not Due",IF(N(P156)&gt;=Q156,"ตามแผน / On Track",IF('ตั้งค่า Setup'!$C$15&gt;J156,"เกินกำหนด / Overdue","ล่าช้า / Behind")))))</f>
        <v/>
      </c>
      <c r="Z156" s="32"/>
      <c r="AA156" s="69" t="n">
        <f aca="false">IF(D156="",0,IF(L156&lt;&gt;"",L156,N(I156)))</f>
        <v>0</v>
      </c>
      <c r="AB156" s="69" t="n">
        <f aca="false">IF(D156="",0,IF(M156&lt;&gt;"",M156,N(J156)))</f>
        <v>0</v>
      </c>
      <c r="AC156" s="185" t="str">
        <f aca="false">IF(AND(D156&lt;&gt;"",O156="",ISNUMBER(X156)),X156+(1000-ROW())/1000000,"")</f>
        <v/>
      </c>
      <c r="AD156" s="185" t="n">
        <f aca="false">IF(AND(D156&lt;&gt;"",O156="",AA156&gt;0,AA156&lt;='ตั้งค่า Setup'!$C$15+'ตั้งค่า Setup'!$C$20),1,0)</f>
        <v>0</v>
      </c>
      <c r="AE156" s="185" t="str">
        <f aca="false">IF(AD156=1,SUM(AD$7:AD156),"")</f>
        <v/>
      </c>
    </row>
    <row r="157" customFormat="false" ht="15" hidden="false" customHeight="false" outlineLevel="0" collapsed="false">
      <c r="A157" s="119"/>
      <c r="B157" s="119"/>
      <c r="C157" s="119"/>
      <c r="D157" s="120" t="s">
        <v>486</v>
      </c>
      <c r="E157" s="186" t="n">
        <f aca="false">SUM(E7:E156)</f>
        <v>24200000</v>
      </c>
      <c r="F157" s="119"/>
      <c r="G157" s="122" t="n">
        <f aca="false">SUM(G7:G156)</f>
        <v>1</v>
      </c>
      <c r="H157" s="186" t="n">
        <f aca="false">SUM(H7:H156)</f>
        <v>24200000</v>
      </c>
      <c r="I157" s="119"/>
      <c r="J157" s="119"/>
      <c r="K157" s="119"/>
      <c r="L157" s="119"/>
      <c r="M157" s="119"/>
      <c r="N157" s="119"/>
      <c r="O157" s="119"/>
      <c r="P157" s="122" t="n">
        <f aca="false">IFERROR(T157/'ตั้งค่า Setup'!$C$9,0)</f>
        <v>0.187809917355372</v>
      </c>
      <c r="Q157" s="122" t="n">
        <f aca="false">IFERROR(S157/'ตั้งค่า Setup'!$C$9,0)</f>
        <v>0.253650514082705</v>
      </c>
      <c r="R157" s="119"/>
      <c r="S157" s="186" t="n">
        <f aca="false">SUM(S7:S156)</f>
        <v>6138342.44080146</v>
      </c>
      <c r="T157" s="186" t="n">
        <f aca="false">SUM(T7:T156)</f>
        <v>4545000</v>
      </c>
      <c r="U157" s="186" t="n">
        <f aca="false">T157-S157</f>
        <v>-1593342.44080146</v>
      </c>
      <c r="V157" s="187" t="n">
        <f aca="false">IFERROR(T157/S157,"")</f>
        <v>0.740427899523732</v>
      </c>
      <c r="W157" s="119"/>
      <c r="X157" s="119"/>
      <c r="Y157" s="119"/>
      <c r="Z157" s="119"/>
    </row>
  </sheetData>
  <sheetProtection sheet="true" formatCells="false" formatColumns="false" formatRows="false" autoFilter="false"/>
  <autoFilter ref="A6:Z156"/>
  <mergeCells count="6">
    <mergeCell ref="A5:E5"/>
    <mergeCell ref="F5:H5"/>
    <mergeCell ref="I5:K5"/>
    <mergeCell ref="L5:M5"/>
    <mergeCell ref="N5:P5"/>
    <mergeCell ref="Q5:Z5"/>
  </mergeCells>
  <conditionalFormatting sqref="Y7:Y156">
    <cfRule type="expression" priority="2" aboveAverage="0" equalAverage="0" bottom="0" percent="0" rank="0" text="" dxfId="5">
      <formula>OR(ISNUMBER(SEARCH("ล่าช้า",Y7)),ISNUMBER(SEARCH("เกินกำหนด",Y7)),ISNUMBER(SEARCH("เสร็จช้า",Y7)))</formula>
    </cfRule>
    <cfRule type="expression" priority="3" aboveAverage="0" equalAverage="0" bottom="0" percent="0" rank="0" text="" dxfId="2">
      <formula>OR(ISNUMBER(SEARCH("ตามแผน",Y7)),Y7="เสร็จ / Completed")</formula>
    </cfRule>
  </conditionalFormatting>
  <conditionalFormatting sqref="V7:V156">
    <cfRule type="expression" priority="4" aboveAverage="0" equalAverage="0" bottom="0" percent="0" rank="0" text="" dxfId="4">
      <formula>AND(ISNUMBER(V7),V7&lt;0.9)</formula>
    </cfRule>
  </conditionalFormatting>
  <conditionalFormatting sqref="A7:A156">
    <cfRule type="expression" priority="5" aboveAverage="0" equalAverage="0" bottom="0" percent="0" rank="0" text="" dxfId="25">
      <formula>AND(A7&lt;&gt;"",ISODD(IFERROR(MATCH($B7,'ตั้งค่า Setup'!$C$26:$C$65,0),0)))</formula>
    </cfRule>
  </conditionalFormatting>
  <conditionalFormatting sqref="AG7:DH156">
    <cfRule type="expression" priority="6" aboveAverage="0" equalAverage="0" bottom="0" percent="0" rank="0" text="" dxfId="6">
      <formula>AND(AND($I7&lt;&gt;"",$J7&lt;&gt;"",AG$6&lt;&gt;"",$I7&lt;=AG$6,$J7&gt;=AG$5),AND($N7&lt;&gt;"",AG$6&lt;&gt;"",$N7&lt;=AG$6,IF($O7&lt;&gt;"",$O7,'ตั้งค่า Setup'!$C$15)&gt;=AG$5))</formula>
    </cfRule>
    <cfRule type="expression" priority="7" aboveAverage="0" equalAverage="0" bottom="0" percent="0" rank="0" text="" dxfId="7">
      <formula>AND($N7&lt;&gt;"",AG$6&lt;&gt;"",$N7&lt;=AG$6,IF($O7&lt;&gt;"",$O7,'ตั้งค่า Setup'!$C$15)&gt;=AG$5)</formula>
    </cfRule>
    <cfRule type="expression" priority="8" aboveAverage="0" equalAverage="0" bottom="0" percent="0" rank="0" text="" dxfId="8">
      <formula>AND($I7&lt;&gt;"",$J7&lt;&gt;"",AG$6&lt;&gt;"",$I7&lt;=AG$6,$J7&gt;=AG$5)</formula>
    </cfRule>
  </conditionalFormatting>
  <conditionalFormatting sqref="AG6:DH6">
    <cfRule type="expression" priority="9" aboveAverage="0" equalAverage="0" bottom="0" percent="0" rank="0" text="" dxfId="9">
      <formula>AND(AG$6&lt;&gt;"",AG$5&lt;='ตั้งค่า Setup'!$C$15,AG$6&gt;='ตั้งค่า Setup'!$C$15)</formula>
    </cfRule>
  </conditionalFormatting>
  <dataValidations count="4">
    <dataValidation allowBlank="false" error="กรุณากรอกวันที่" errorStyle="stop" operator="greaterThan" showDropDown="false" showErrorMessage="false" showInputMessage="false" sqref="I7:J156 L7:O156" type="date">
      <formula1>36526</formula1>
      <formula2>0</formula2>
    </dataValidation>
    <dataValidation allowBlank="true" errorStyle="stop" operator="between" showDropDown="false" showErrorMessage="false" showInputMessage="false" sqref="B7:B156" type="list">
      <formula1>'ตั้งค่า Setup'!$C$26:$C$65</formula1>
      <formula2>0</formula2>
    </dataValidation>
    <dataValidation allowBlank="true" errorStyle="stop" operator="between" showDropDown="false" showErrorMessage="false" showInputMessage="false" sqref="C7:C156" type="list">
      <formula1>'ตั้งค่า Setup'!$C$68:$C$107</formula1>
      <formula2>0</formula2>
    </dataValidation>
    <dataValidation allowBlank="false" error="กรอก 0%–100% เช่น 60%" errorStyle="stop" errorTitle="% ไม่ถูกต้อง" operator="between" showDropDown="false" showErrorMessage="false" showInputMessage="false" sqref="F7:F156 P7:P156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11"/>
    <col collapsed="false" customWidth="true" hidden="false" outlineLevel="0" max="8" min="4" style="1" width="10"/>
    <col collapsed="false" customWidth="true" hidden="false" outlineLevel="0" max="14" min="9" style="1" width="14"/>
    <col collapsed="false" customWidth="true" hidden="false" outlineLevel="0" max="15" min="15" style="1" width="2"/>
    <col collapsed="false" customWidth="true" hidden="false" outlineLevel="0" max="27" min="16" style="1" width="9"/>
    <col collapsed="false" customWidth="true" hidden="false" outlineLevel="0" max="31" min="29" style="1" width="9"/>
  </cols>
  <sheetData>
    <row r="1" customFormat="false" ht="20.1" hidden="false" customHeight="false" outlineLevel="0" collapsed="false">
      <c r="A1" s="188" t="s">
        <v>773</v>
      </c>
    </row>
    <row r="2" customFormat="false" ht="15" hidden="false" customHeight="false" outlineLevel="0" collapsed="false">
      <c r="A2" s="17" t="s">
        <v>774</v>
      </c>
    </row>
    <row r="3" customFormat="false" ht="15" hidden="false" customHeight="false" outlineLevel="0" collapsed="false">
      <c r="A3" s="176" t="s">
        <v>717</v>
      </c>
      <c r="C3" s="56" t="n">
        <f aca="false">'ตั้งค่า Setup'!$C$15</f>
        <v>46293</v>
      </c>
    </row>
    <row r="5" customFormat="false" ht="15" hidden="false" customHeight="true" outlineLevel="0" collapsed="false">
      <c r="A5" s="57" t="s">
        <v>775</v>
      </c>
      <c r="B5" s="57"/>
      <c r="C5" s="57"/>
      <c r="D5" s="189" t="s">
        <v>776</v>
      </c>
      <c r="E5" s="189"/>
      <c r="F5" s="189"/>
      <c r="G5" s="189"/>
      <c r="H5" s="189"/>
      <c r="I5" s="180" t="s">
        <v>777</v>
      </c>
      <c r="J5" s="180"/>
      <c r="K5" s="180"/>
      <c r="L5" s="180"/>
      <c r="M5" s="190" t="s">
        <v>778</v>
      </c>
      <c r="N5" s="190"/>
    </row>
    <row r="6" customFormat="false" ht="39.75" hidden="false" customHeight="true" outlineLevel="0" collapsed="false">
      <c r="A6" s="18" t="s">
        <v>779</v>
      </c>
      <c r="B6" s="18" t="s">
        <v>780</v>
      </c>
      <c r="C6" s="18" t="s">
        <v>781</v>
      </c>
      <c r="D6" s="59" t="s">
        <v>782</v>
      </c>
      <c r="E6" s="59" t="s">
        <v>783</v>
      </c>
      <c r="F6" s="59" t="s">
        <v>784</v>
      </c>
      <c r="G6" s="59" t="s">
        <v>785</v>
      </c>
      <c r="H6" s="18" t="s">
        <v>786</v>
      </c>
      <c r="I6" s="59" t="s">
        <v>787</v>
      </c>
      <c r="J6" s="59" t="s">
        <v>788</v>
      </c>
      <c r="K6" s="59" t="s">
        <v>789</v>
      </c>
      <c r="L6" s="59" t="s">
        <v>790</v>
      </c>
      <c r="M6" s="18" t="s">
        <v>791</v>
      </c>
      <c r="N6" s="18" t="s">
        <v>792</v>
      </c>
      <c r="P6" s="191" t="s">
        <v>793</v>
      </c>
      <c r="Q6" s="191" t="s">
        <v>794</v>
      </c>
      <c r="R6" s="191" t="s">
        <v>795</v>
      </c>
      <c r="S6" s="191" t="s">
        <v>796</v>
      </c>
      <c r="T6" s="191" t="s">
        <v>797</v>
      </c>
      <c r="U6" s="191" t="s">
        <v>798</v>
      </c>
      <c r="V6" s="191" t="s">
        <v>799</v>
      </c>
      <c r="W6" s="191" t="s">
        <v>800</v>
      </c>
      <c r="X6" s="191" t="s">
        <v>801</v>
      </c>
      <c r="Y6" s="191" t="s">
        <v>802</v>
      </c>
      <c r="Z6" s="191" t="s">
        <v>803</v>
      </c>
      <c r="AA6" s="191" t="s">
        <v>804</v>
      </c>
      <c r="AC6" s="191" t="s">
        <v>805</v>
      </c>
      <c r="AD6" s="191" t="s">
        <v>806</v>
      </c>
      <c r="AE6" s="191" t="s">
        <v>807</v>
      </c>
    </row>
    <row r="7" customFormat="false" ht="15" hidden="false" customHeight="false" outlineLevel="0" collapsed="false">
      <c r="A7" s="117" t="n">
        <f aca="false">IF(B7="","",ROW()-6)</f>
        <v>1</v>
      </c>
      <c r="B7" s="127" t="n">
        <f aca="false">'ตั้งค่า Setup'!$C$110</f>
        <v>46174</v>
      </c>
      <c r="C7" s="127" t="n">
        <f aca="false">IF(B7="","",IF('ตั้งค่า Setup'!$C$16="รายสัปดาห์ / Weekly",B7+6,IF('ตั้งค่า Setup'!$C$16="รายเดือน / Monthly",EOMONTH(B7,0),IF(DAY(B7)&lt;=10,DATE(YEAR(B7),MONTH(B7),10),IF(DAY(B7)&lt;=20,DATE(YEAR(B7),MONTH(B7),20),EOMONTH(B7,0))))))</f>
        <v>46183</v>
      </c>
      <c r="D7" s="115" t="n">
        <f aca="false">IF(C7="","",SUMPRODUCT('แผนงาน Schedule'!$G$7:$G$156,('แผนงาน Schedule'!$J$7:$J$156&lt;=C7)+('แผนงาน Schedule'!$I$7:$I$156&lt;=C7)*('แผนงาน Schedule'!$J$7:$J$156&gt;C7)*(C7-'แผนงาน Schedule'!$I$7:$I$156+1)/('แผนงาน Schedule'!$J$7:$J$156-'แผนงาน Schedule'!$I$7:$I$156+1)))</f>
        <v>0.00723140495867769</v>
      </c>
      <c r="E7" s="115" t="n">
        <f aca="false">IF(C7="","",SUMPRODUCT('แผนงาน Schedule'!$G$7:$G$156,('แผนงาน Schedule'!$AB$7:$AB$156&lt;=C7)+('แผนงาน Schedule'!$AA$7:$AA$156&lt;=C7)*('แผนงาน Schedule'!$AB$7:$AB$156&gt;C7)*(C7-'แผนงาน Schedule'!$AA$7:$AA$156+1)/('แผนงาน Schedule'!$AB$7:$AB$156-'แผนงาน Schedule'!$AA$7:$AA$156+1)))</f>
        <v>0.00723140495867769</v>
      </c>
      <c r="F7" s="113" t="n">
        <v>0.0061</v>
      </c>
      <c r="G7" s="115" t="str">
        <f aca="false">IF(OR(C7="",NOT(ISNUMBER(Dashboard!$C$27))),"",IF(C7&lt;Dashboard!$C$7,"",IF(Dashboard!$C$27&lt;=Dashboard!$C$7,1,MIN(1,Dashboard!$C$19+(1-Dashboard!$C$19)*(C7-Dashboard!$C$7)/(Dashboard!$C$27-Dashboard!$C$7)))))</f>
        <v/>
      </c>
      <c r="H7" s="192" t="n">
        <f aca="false">IF(OR(F7="",D7=""),"",F7-D7)</f>
        <v>-0.00113140495867769</v>
      </c>
      <c r="I7" s="182" t="n">
        <f aca="false">IF(D7="","",D7*'ตั้งค่า Setup'!$C$9)</f>
        <v>175000</v>
      </c>
      <c r="J7" s="182" t="n">
        <f aca="false">IF(OR(C7="",F7=""),"",F7*'ตั้งค่า Setup'!$C$9)</f>
        <v>147620</v>
      </c>
      <c r="K7" s="23"/>
      <c r="L7" s="182" t="str">
        <f aca="false">IF(OR(C7="",K7=""),"",SUM(K$7:K7))</f>
        <v/>
      </c>
      <c r="M7" s="23"/>
      <c r="N7" s="182" t="n">
        <f aca="false">IF(OR(C7="",B7&gt;'ตั้งค่า Setup'!$C$15),"",SUM(M$7:M7))</f>
        <v>0</v>
      </c>
      <c r="P7" s="69" t="n">
        <f aca="false">IF(C7&lt;&gt;"",C7,'ตั้งค่า Setup'!$C$110)</f>
        <v>46183</v>
      </c>
      <c r="Q7" s="193" t="n">
        <f aca="false">IF(D7&lt;&gt;"",D7,0)</f>
        <v>0.00723140495867769</v>
      </c>
      <c r="R7" s="69" t="n">
        <f aca="false">IF(Dashboard!$C$63,P7,'ตั้งค่า Setup'!$C$110)</f>
        <v>46174</v>
      </c>
      <c r="S7" s="193" t="n">
        <f aca="false">IF(AND(Dashboard!$C$63,E7&lt;&gt;""),E7,0)</f>
        <v>0</v>
      </c>
      <c r="T7" s="69" t="n">
        <f aca="false">IF(AND(F7&lt;&gt;"",C7&lt;&gt;""),C7,'ตั้งค่า Setup'!$C$110)</f>
        <v>46183</v>
      </c>
      <c r="U7" s="193" t="n">
        <f aca="false">IF(AND(F7&lt;&gt;"",C7&lt;&gt;""),F7,0)</f>
        <v>0.0061</v>
      </c>
      <c r="V7" s="69" t="n">
        <f aca="false">IF(ISNUMBER(G7),C7,Dashboard!$C$7)</f>
        <v>46293</v>
      </c>
      <c r="W7" s="193" t="n">
        <f aca="false">IF(ISNUMBER(G7),G7,Dashboard!$C$19)</f>
        <v>0.187809917355372</v>
      </c>
      <c r="X7" s="194" t="n">
        <f aca="false">IF(I7&lt;&gt;"",I7,0)</f>
        <v>175000</v>
      </c>
      <c r="Y7" s="194" t="n">
        <f aca="false">IF(AND(F7&lt;&gt;"",C7&lt;&gt;""),J7,0)</f>
        <v>147620</v>
      </c>
      <c r="Z7" s="69" t="n">
        <f aca="false">IF(AND(K7&lt;&gt;"",C7&lt;&gt;""),C7,'ตั้งค่า Setup'!$C$110)</f>
        <v>46174</v>
      </c>
      <c r="AA7" s="194" t="n">
        <f aca="false">IF(AND(K7&lt;&gt;"",C7&lt;&gt;""),L7,0)</f>
        <v>0</v>
      </c>
      <c r="AC7" s="69" t="n">
        <f aca="false">'ตั้งค่า Setup'!$C$15</f>
        <v>46293</v>
      </c>
      <c r="AD7" s="185" t="n">
        <v>0</v>
      </c>
      <c r="AE7" s="185" t="n">
        <v>0</v>
      </c>
    </row>
    <row r="8" customFormat="false" ht="15" hidden="false" customHeight="false" outlineLevel="0" collapsed="false">
      <c r="A8" s="117" t="n">
        <f aca="false">IF(B8="","",ROW()-6)</f>
        <v>2</v>
      </c>
      <c r="B8" s="127" t="n">
        <f aca="false">IF(C7="","",IF(C7&gt;='ตั้งค่า Setup'!$C$111,"",C7+1))</f>
        <v>46184</v>
      </c>
      <c r="C8" s="127" t="n">
        <f aca="false">IF(B8="","",IF('ตั้งค่า Setup'!$C$16="รายสัปดาห์ / Weekly",B8+6,IF('ตั้งค่า Setup'!$C$16="รายเดือน / Monthly",EOMONTH(B8,0),IF(DAY(B8)&lt;=10,DATE(YEAR(B8),MONTH(B8),10),IF(DAY(B8)&lt;=20,DATE(YEAR(B8),MONTH(B8),20),EOMONTH(B8,0))))))</f>
        <v>46193</v>
      </c>
      <c r="D8" s="115" t="n">
        <f aca="false">IF(C8="","",SUMPRODUCT('แผนงาน Schedule'!$G$7:$G$156,('แผนงาน Schedule'!$J$7:$J$156&lt;=C8)+('แผนงาน Schedule'!$I$7:$I$156&lt;=C8)*('แผนงาน Schedule'!$J$7:$J$156&gt;C8)*(C8-'แผนงาน Schedule'!$I$7:$I$156+1)/('แผนงาน Schedule'!$J$7:$J$156-'แผนงาน Schedule'!$I$7:$I$156+1)))</f>
        <v>0.02406025059984</v>
      </c>
      <c r="E8" s="115" t="n">
        <f aca="false">IF(C8="","",SUMPRODUCT('แผนงาน Schedule'!$G$7:$G$156,('แผนงาน Schedule'!$AB$7:$AB$156&lt;=C8)+('แผนงาน Schedule'!$AA$7:$AA$156&lt;=C8)*('แผนงาน Schedule'!$AB$7:$AB$156&gt;C8)*(C8-'แผนงาน Schedule'!$AA$7:$AA$156+1)/('แผนงาน Schedule'!$AB$7:$AB$156-'แผนงาน Schedule'!$AA$7:$AA$156+1)))</f>
        <v>0.02406025059984</v>
      </c>
      <c r="F8" s="113" t="n">
        <v>0.0212</v>
      </c>
      <c r="G8" s="115" t="str">
        <f aca="false">IF(OR(C8="",NOT(ISNUMBER(Dashboard!$C$27))),"",IF(C8&lt;Dashboard!$C$7,"",IF(Dashboard!$C$27&lt;=Dashboard!$C$7,1,MIN(1,Dashboard!$C$19+(1-Dashboard!$C$19)*(C8-Dashboard!$C$7)/(Dashboard!$C$27-Dashboard!$C$7)))))</f>
        <v/>
      </c>
      <c r="H8" s="192" t="n">
        <f aca="false">IF(OR(F8="",D8=""),"",F8-D8)</f>
        <v>-0.00286025059984004</v>
      </c>
      <c r="I8" s="182" t="n">
        <f aca="false">IF(D8="","",D8*'ตั้งค่า Setup'!$C$9)</f>
        <v>582258.064516129</v>
      </c>
      <c r="J8" s="182" t="n">
        <f aca="false">IF(OR(C8="",F8=""),"",F8*'ตั้งค่า Setup'!$C$9)</f>
        <v>513040</v>
      </c>
      <c r="K8" s="23"/>
      <c r="L8" s="182" t="str">
        <f aca="false">IF(OR(C8="",K8=""),"",SUM(K$7:K8))</f>
        <v/>
      </c>
      <c r="M8" s="23"/>
      <c r="N8" s="182" t="n">
        <f aca="false">IF(OR(C8="",B8&gt;'ตั้งค่า Setup'!$C$15),"",SUM(M$7:M8))</f>
        <v>0</v>
      </c>
      <c r="P8" s="69" t="n">
        <f aca="false">IF(C8&lt;&gt;"",C8,P7)</f>
        <v>46193</v>
      </c>
      <c r="Q8" s="193" t="n">
        <f aca="false">IF(D8&lt;&gt;"",D8,Q7)</f>
        <v>0.02406025059984</v>
      </c>
      <c r="R8" s="69" t="n">
        <f aca="false">IF(Dashboard!$C$63,P8,R7)</f>
        <v>46174</v>
      </c>
      <c r="S8" s="193" t="n">
        <f aca="false">IF(AND(Dashboard!$C$63,E8&lt;&gt;""),E8,S7)</f>
        <v>0</v>
      </c>
      <c r="T8" s="69" t="n">
        <f aca="false">IF(AND(F8&lt;&gt;"",C8&lt;&gt;""),C8,T7)</f>
        <v>46193</v>
      </c>
      <c r="U8" s="193" t="n">
        <f aca="false">IF(AND(F8&lt;&gt;"",C8&lt;&gt;""),F8,U7)</f>
        <v>0.0212</v>
      </c>
      <c r="V8" s="69" t="n">
        <f aca="false">IF(ISNUMBER(G8),C8,V7)</f>
        <v>46293</v>
      </c>
      <c r="W8" s="193" t="n">
        <f aca="false">IF(ISNUMBER(G8),G8,W7)</f>
        <v>0.187809917355372</v>
      </c>
      <c r="X8" s="194" t="n">
        <f aca="false">IF(I8&lt;&gt;"",I8,X7)</f>
        <v>582258.064516129</v>
      </c>
      <c r="Y8" s="194" t="n">
        <f aca="false">IF(AND(F8&lt;&gt;"",C8&lt;&gt;""),J8,Y7)</f>
        <v>513040</v>
      </c>
      <c r="Z8" s="69" t="n">
        <f aca="false">IF(AND(K8&lt;&gt;"",C8&lt;&gt;""),C8,Z7)</f>
        <v>46174</v>
      </c>
      <c r="AA8" s="194" t="n">
        <f aca="false">IF(AND(K8&lt;&gt;"",C8&lt;&gt;""),L8,AA7)</f>
        <v>0</v>
      </c>
      <c r="AC8" s="69" t="n">
        <f aca="false">'ตั้งค่า Setup'!$C$15</f>
        <v>46293</v>
      </c>
      <c r="AD8" s="185" t="n">
        <v>1</v>
      </c>
      <c r="AE8" s="195" t="n">
        <f aca="false">'ตั้งค่า Setup'!$C$9</f>
        <v>24200000</v>
      </c>
    </row>
    <row r="9" customFormat="false" ht="15" hidden="false" customHeight="false" outlineLevel="0" collapsed="false">
      <c r="A9" s="117" t="n">
        <f aca="false">IF(B9="","",ROW()-6)</f>
        <v>3</v>
      </c>
      <c r="B9" s="127" t="n">
        <f aca="false">IF(C8="","",IF(C8&gt;='ตั้งค่า Setup'!$C$111,"",C8+1))</f>
        <v>46194</v>
      </c>
      <c r="C9" s="127" t="n">
        <f aca="false">IF(B9="","",IF('ตั้งค่า Setup'!$C$16="รายสัปดาห์ / Weekly",B9+6,IF('ตั้งค่า Setup'!$C$16="รายเดือน / Monthly",EOMONTH(B9,0),IF(DAY(B9)&lt;=10,DATE(YEAR(B9),MONTH(B9),10),IF(DAY(B9)&lt;=20,DATE(YEAR(B9),MONTH(B9),20),EOMONTH(B9,0))))))</f>
        <v>46203</v>
      </c>
      <c r="D9" s="115" t="n">
        <f aca="false">IF(C9="","",SUMPRODUCT('แผนงาน Schedule'!$G$7:$G$156,('แผนงาน Schedule'!$J$7:$J$156&lt;=C9)+('แผนงาน Schedule'!$I$7:$I$156&lt;=C9)*('แผนงาน Schedule'!$J$7:$J$156&gt;C9)*(C9-'แผนงาน Schedule'!$I$7:$I$156+1)/('แผนงาน Schedule'!$J$7:$J$156-'แผนงาน Schedule'!$I$7:$I$156+1)))</f>
        <v>0.0400559850706478</v>
      </c>
      <c r="E9" s="115" t="n">
        <f aca="false">IF(C9="","",SUMPRODUCT('แผนงาน Schedule'!$G$7:$G$156,('แผนงาน Schedule'!$AB$7:$AB$156&lt;=C9)+('แผนงาน Schedule'!$AA$7:$AA$156&lt;=C9)*('แผนงาน Schedule'!$AB$7:$AB$156&gt;C9)*(C9-'แผนงาน Schedule'!$AA$7:$AA$156+1)/('แผนงาน Schedule'!$AB$7:$AB$156-'แผนงาน Schedule'!$AA$7:$AA$156+1)))</f>
        <v>0.0400559850706478</v>
      </c>
      <c r="F9" s="113" t="n">
        <v>0.0361</v>
      </c>
      <c r="G9" s="115" t="str">
        <f aca="false">IF(OR(C9="",NOT(ISNUMBER(Dashboard!$C$27))),"",IF(C9&lt;Dashboard!$C$7,"",IF(Dashboard!$C$27&lt;=Dashboard!$C$7,1,MIN(1,Dashboard!$C$19+(1-Dashboard!$C$19)*(C9-Dashboard!$C$7)/(Dashboard!$C$27-Dashboard!$C$7)))))</f>
        <v/>
      </c>
      <c r="H9" s="192" t="n">
        <f aca="false">IF(OR(F9="",D9=""),"",F9-D9)</f>
        <v>-0.00395598507064782</v>
      </c>
      <c r="I9" s="182" t="n">
        <f aca="false">IF(D9="","",D9*'ตั้งค่า Setup'!$C$9)</f>
        <v>969354.838709677</v>
      </c>
      <c r="J9" s="182" t="n">
        <f aca="false">IF(OR(C9="",F9=""),"",F9*'ตั้งค่า Setup'!$C$9)</f>
        <v>873620</v>
      </c>
      <c r="K9" s="23" t="n">
        <v>978500</v>
      </c>
      <c r="L9" s="182" t="n">
        <f aca="false">IF(OR(C9="",K9=""),"",SUM(K$7:K9))</f>
        <v>978500</v>
      </c>
      <c r="M9" s="23" t="n">
        <v>829900</v>
      </c>
      <c r="N9" s="182" t="n">
        <f aca="false">IF(OR(C9="",B9&gt;'ตั้งค่า Setup'!$C$15),"",SUM(M$7:M9))</f>
        <v>829900</v>
      </c>
      <c r="P9" s="69" t="n">
        <f aca="false">IF(C9&lt;&gt;"",C9,P8)</f>
        <v>46203</v>
      </c>
      <c r="Q9" s="193" t="n">
        <f aca="false">IF(D9&lt;&gt;"",D9,Q8)</f>
        <v>0.0400559850706478</v>
      </c>
      <c r="R9" s="69" t="n">
        <f aca="false">IF(Dashboard!$C$63,P9,R8)</f>
        <v>46174</v>
      </c>
      <c r="S9" s="193" t="n">
        <f aca="false">IF(AND(Dashboard!$C$63,E9&lt;&gt;""),E9,S8)</f>
        <v>0</v>
      </c>
      <c r="T9" s="69" t="n">
        <f aca="false">IF(AND(F9&lt;&gt;"",C9&lt;&gt;""),C9,T8)</f>
        <v>46203</v>
      </c>
      <c r="U9" s="193" t="n">
        <f aca="false">IF(AND(F9&lt;&gt;"",C9&lt;&gt;""),F9,U8)</f>
        <v>0.0361</v>
      </c>
      <c r="V9" s="69" t="n">
        <f aca="false">IF(ISNUMBER(G9),C9,V8)</f>
        <v>46293</v>
      </c>
      <c r="W9" s="193" t="n">
        <f aca="false">IF(ISNUMBER(G9),G9,W8)</f>
        <v>0.187809917355372</v>
      </c>
      <c r="X9" s="194" t="n">
        <f aca="false">IF(I9&lt;&gt;"",I9,X8)</f>
        <v>969354.838709677</v>
      </c>
      <c r="Y9" s="194" t="n">
        <f aca="false">IF(AND(F9&lt;&gt;"",C9&lt;&gt;""),J9,Y8)</f>
        <v>873620</v>
      </c>
      <c r="Z9" s="69" t="n">
        <f aca="false">IF(AND(K9&lt;&gt;"",C9&lt;&gt;""),C9,Z8)</f>
        <v>46203</v>
      </c>
      <c r="AA9" s="194" t="n">
        <f aca="false">IF(AND(K9&lt;&gt;"",C9&lt;&gt;""),L9,AA8)</f>
        <v>978500</v>
      </c>
    </row>
    <row r="10" customFormat="false" ht="15" hidden="false" customHeight="false" outlineLevel="0" collapsed="false">
      <c r="A10" s="117" t="n">
        <f aca="false">IF(B10="","",ROW()-6)</f>
        <v>4</v>
      </c>
      <c r="B10" s="127" t="n">
        <f aca="false">IF(C9="","",IF(C9&gt;='ตั้งค่า Setup'!$C$111,"",C9+1))</f>
        <v>46204</v>
      </c>
      <c r="C10" s="127" t="n">
        <f aca="false">IF(B10="","",IF('ตั้งค่า Setup'!$C$16="รายสัปดาห์ / Weekly",B10+6,IF('ตั้งค่า Setup'!$C$16="รายเดือน / Monthly",EOMONTH(B10,0),IF(DAY(B10)&lt;=10,DATE(YEAR(B10),MONTH(B10),10),IF(DAY(B10)&lt;=20,DATE(YEAR(B10),MONTH(B10),20),EOMONTH(B10,0))))))</f>
        <v>46213</v>
      </c>
      <c r="D10" s="115" t="n">
        <f aca="false">IF(C10="","",SUMPRODUCT('แผนงาน Schedule'!$G$7:$G$156,('แผนงาน Schedule'!$J$7:$J$156&lt;=C10)+('แผนงาน Schedule'!$I$7:$I$156&lt;=C10)*('แผนงาน Schedule'!$J$7:$J$156&gt;C10)*(C10-'แผนงาน Schedule'!$I$7:$I$156+1)/('แผนงาน Schedule'!$J$7:$J$156-'แผนงาน Schedule'!$I$7:$I$156+1)))</f>
        <v>0.0560517195414556</v>
      </c>
      <c r="E10" s="115" t="n">
        <f aca="false">IF(C10="","",SUMPRODUCT('แผนงาน Schedule'!$G$7:$G$156,('แผนงาน Schedule'!$AB$7:$AB$156&lt;=C10)+('แผนงาน Schedule'!$AA$7:$AA$156&lt;=C10)*('แผนงาน Schedule'!$AB$7:$AB$156&gt;C10)*(C10-'แผนงาน Schedule'!$AA$7:$AA$156+1)/('แผนงาน Schedule'!$AB$7:$AB$156-'แผนงาน Schedule'!$AA$7:$AA$156+1)))</f>
        <v>0.0560517195414556</v>
      </c>
      <c r="F10" s="113" t="n">
        <v>0.0504</v>
      </c>
      <c r="G10" s="115" t="str">
        <f aca="false">IF(OR(C10="",NOT(ISNUMBER(Dashboard!$C$27))),"",IF(C10&lt;Dashboard!$C$7,"",IF(Dashboard!$C$27&lt;=Dashboard!$C$7,1,MIN(1,Dashboard!$C$19+(1-Dashboard!$C$19)*(C10-Dashboard!$C$7)/(Dashboard!$C$27-Dashboard!$C$7)))))</f>
        <v/>
      </c>
      <c r="H10" s="192" t="n">
        <f aca="false">IF(OR(F10="",D10=""),"",F10-D10)</f>
        <v>-0.00565171954145562</v>
      </c>
      <c r="I10" s="182" t="n">
        <f aca="false">IF(D10="","",D10*'ตั้งค่า Setup'!$C$9)</f>
        <v>1356451.61290323</v>
      </c>
      <c r="J10" s="182" t="n">
        <f aca="false">IF(OR(C10="",F10=""),"",F10*'ตั้งค่า Setup'!$C$9)</f>
        <v>1219680</v>
      </c>
      <c r="K10" s="23"/>
      <c r="L10" s="182" t="str">
        <f aca="false">IF(OR(C10="",K10=""),"",SUM(K$7:K10))</f>
        <v/>
      </c>
      <c r="M10" s="23"/>
      <c r="N10" s="182" t="n">
        <f aca="false">IF(OR(C10="",B10&gt;'ตั้งค่า Setup'!$C$15),"",SUM(M$7:M10))</f>
        <v>829900</v>
      </c>
      <c r="P10" s="69" t="n">
        <f aca="false">IF(C10&lt;&gt;"",C10,P9)</f>
        <v>46213</v>
      </c>
      <c r="Q10" s="193" t="n">
        <f aca="false">IF(D10&lt;&gt;"",D10,Q9)</f>
        <v>0.0560517195414556</v>
      </c>
      <c r="R10" s="69" t="n">
        <f aca="false">IF(Dashboard!$C$63,P10,R9)</f>
        <v>46174</v>
      </c>
      <c r="S10" s="193" t="n">
        <f aca="false">IF(AND(Dashboard!$C$63,E10&lt;&gt;""),E10,S9)</f>
        <v>0</v>
      </c>
      <c r="T10" s="69" t="n">
        <f aca="false">IF(AND(F10&lt;&gt;"",C10&lt;&gt;""),C10,T9)</f>
        <v>46213</v>
      </c>
      <c r="U10" s="193" t="n">
        <f aca="false">IF(AND(F10&lt;&gt;"",C10&lt;&gt;""),F10,U9)</f>
        <v>0.0504</v>
      </c>
      <c r="V10" s="69" t="n">
        <f aca="false">IF(ISNUMBER(G10),C10,V9)</f>
        <v>46293</v>
      </c>
      <c r="W10" s="193" t="n">
        <f aca="false">IF(ISNUMBER(G10),G10,W9)</f>
        <v>0.187809917355372</v>
      </c>
      <c r="X10" s="194" t="n">
        <f aca="false">IF(I10&lt;&gt;"",I10,X9)</f>
        <v>1356451.61290323</v>
      </c>
      <c r="Y10" s="194" t="n">
        <f aca="false">IF(AND(F10&lt;&gt;"",C10&lt;&gt;""),J10,Y9)</f>
        <v>1219680</v>
      </c>
      <c r="Z10" s="69" t="n">
        <f aca="false">IF(AND(K10&lt;&gt;"",C10&lt;&gt;""),C10,Z9)</f>
        <v>46203</v>
      </c>
      <c r="AA10" s="194" t="n">
        <f aca="false">IF(AND(K10&lt;&gt;"",C10&lt;&gt;""),L10,AA9)</f>
        <v>978500</v>
      </c>
    </row>
    <row r="11" customFormat="false" ht="15" hidden="false" customHeight="false" outlineLevel="0" collapsed="false">
      <c r="A11" s="117" t="n">
        <f aca="false">IF(B11="","",ROW()-6)</f>
        <v>5</v>
      </c>
      <c r="B11" s="127" t="n">
        <f aca="false">IF(C10="","",IF(C10&gt;='ตั้งค่า Setup'!$C$111,"",C10+1))</f>
        <v>46214</v>
      </c>
      <c r="C11" s="127" t="n">
        <f aca="false">IF(B11="","",IF('ตั้งค่า Setup'!$C$16="รายสัปดาห์ / Weekly",B11+6,IF('ตั้งค่า Setup'!$C$16="รายเดือน / Monthly",EOMONTH(B11,0),IF(DAY(B11)&lt;=10,DATE(YEAR(B11),MONTH(B11),10),IF(DAY(B11)&lt;=20,DATE(YEAR(B11),MONTH(B11),20),EOMONTH(B11,0))))))</f>
        <v>46223</v>
      </c>
      <c r="D11" s="115" t="n">
        <f aca="false">IF(C11="","",SUMPRODUCT('แผนงาน Schedule'!$G$7:$G$156,('แผนงาน Schedule'!$J$7:$J$156&lt;=C11)+('แผนงาน Schedule'!$I$7:$I$156&lt;=C11)*('แผนงาน Schedule'!$J$7:$J$156&gt;C11)*(C11-'แผนงาน Schedule'!$I$7:$I$156+1)/('แผนงาน Schedule'!$J$7:$J$156-'แผนงาน Schedule'!$I$7:$I$156+1)))</f>
        <v>0.0720474540122634</v>
      </c>
      <c r="E11" s="115" t="n">
        <f aca="false">IF(C11="","",SUMPRODUCT('แผนงาน Schedule'!$G$7:$G$156,('แผนงาน Schedule'!$AB$7:$AB$156&lt;=C11)+('แผนงาน Schedule'!$AA$7:$AA$156&lt;=C11)*('แผนงาน Schedule'!$AB$7:$AB$156&gt;C11)*(C11-'แผนงาน Schedule'!$AA$7:$AA$156+1)/('แผนงาน Schedule'!$AB$7:$AB$156-'แผนงาน Schedule'!$AA$7:$AA$156+1)))</f>
        <v>0.0720474540122634</v>
      </c>
      <c r="F11" s="113" t="n">
        <v>0.0634</v>
      </c>
      <c r="G11" s="115" t="str">
        <f aca="false">IF(OR(C11="",NOT(ISNUMBER(Dashboard!$C$27))),"",IF(C11&lt;Dashboard!$C$7,"",IF(Dashboard!$C$27&lt;=Dashboard!$C$7,1,MIN(1,Dashboard!$C$19+(1-Dashboard!$C$19)*(C11-Dashboard!$C$7)/(Dashboard!$C$27-Dashboard!$C$7)))))</f>
        <v/>
      </c>
      <c r="H11" s="192" t="n">
        <f aca="false">IF(OR(F11="",D11=""),"",F11-D11)</f>
        <v>-0.0086474540122634</v>
      </c>
      <c r="I11" s="182" t="n">
        <f aca="false">IF(D11="","",D11*'ตั้งค่า Setup'!$C$9)</f>
        <v>1743548.38709677</v>
      </c>
      <c r="J11" s="182" t="n">
        <f aca="false">IF(OR(C11="",F11=""),"",F11*'ตั้งค่า Setup'!$C$9)</f>
        <v>1534280</v>
      </c>
      <c r="K11" s="23"/>
      <c r="L11" s="182" t="str">
        <f aca="false">IF(OR(C11="",K11=""),"",SUM(K$7:K11))</f>
        <v/>
      </c>
      <c r="M11" s="23"/>
      <c r="N11" s="182" t="n">
        <f aca="false">IF(OR(C11="",B11&gt;'ตั้งค่า Setup'!$C$15),"",SUM(M$7:M11))</f>
        <v>829900</v>
      </c>
      <c r="P11" s="69" t="n">
        <f aca="false">IF(C11&lt;&gt;"",C11,P10)</f>
        <v>46223</v>
      </c>
      <c r="Q11" s="193" t="n">
        <f aca="false">IF(D11&lt;&gt;"",D11,Q10)</f>
        <v>0.0720474540122634</v>
      </c>
      <c r="R11" s="69" t="n">
        <f aca="false">IF(Dashboard!$C$63,P11,R10)</f>
        <v>46174</v>
      </c>
      <c r="S11" s="193" t="n">
        <f aca="false">IF(AND(Dashboard!$C$63,E11&lt;&gt;""),E11,S10)</f>
        <v>0</v>
      </c>
      <c r="T11" s="69" t="n">
        <f aca="false">IF(AND(F11&lt;&gt;"",C11&lt;&gt;""),C11,T10)</f>
        <v>46223</v>
      </c>
      <c r="U11" s="193" t="n">
        <f aca="false">IF(AND(F11&lt;&gt;"",C11&lt;&gt;""),F11,U10)</f>
        <v>0.0634</v>
      </c>
      <c r="V11" s="69" t="n">
        <f aca="false">IF(ISNUMBER(G11),C11,V10)</f>
        <v>46293</v>
      </c>
      <c r="W11" s="193" t="n">
        <f aca="false">IF(ISNUMBER(G11),G11,W10)</f>
        <v>0.187809917355372</v>
      </c>
      <c r="X11" s="194" t="n">
        <f aca="false">IF(I11&lt;&gt;"",I11,X10)</f>
        <v>1743548.38709677</v>
      </c>
      <c r="Y11" s="194" t="n">
        <f aca="false">IF(AND(F11&lt;&gt;"",C11&lt;&gt;""),J11,Y10)</f>
        <v>1534280</v>
      </c>
      <c r="Z11" s="69" t="n">
        <f aca="false">IF(AND(K11&lt;&gt;"",C11&lt;&gt;""),C11,Z10)</f>
        <v>46203</v>
      </c>
      <c r="AA11" s="194" t="n">
        <f aca="false">IF(AND(K11&lt;&gt;"",C11&lt;&gt;""),L11,AA10)</f>
        <v>978500</v>
      </c>
    </row>
    <row r="12" customFormat="false" ht="15" hidden="false" customHeight="false" outlineLevel="0" collapsed="false">
      <c r="A12" s="117" t="n">
        <f aca="false">IF(B12="","",ROW()-6)</f>
        <v>6</v>
      </c>
      <c r="B12" s="127" t="n">
        <f aca="false">IF(C11="","",IF(C11&gt;='ตั้งค่า Setup'!$C$111,"",C11+1))</f>
        <v>46224</v>
      </c>
      <c r="C12" s="127" t="n">
        <f aca="false">IF(B12="","",IF('ตั้งค่า Setup'!$C$16="รายสัปดาห์ / Weekly",B12+6,IF('ตั้งค่า Setup'!$C$16="รายเดือน / Monthly",EOMONTH(B12,0),IF(DAY(B12)&lt;=10,DATE(YEAR(B12),MONTH(B12),10),IF(DAY(B12)&lt;=20,DATE(YEAR(B12),MONTH(B12),20),EOMONTH(B12,0))))))</f>
        <v>46234</v>
      </c>
      <c r="D12" s="115" t="n">
        <f aca="false">IF(C12="","",SUMPRODUCT('แผนงาน Schedule'!$G$7:$G$156,('แผนงาน Schedule'!$J$7:$J$156&lt;=C12)+('แผนงาน Schedule'!$I$7:$I$156&lt;=C12)*('แผนงาน Schedule'!$J$7:$J$156&gt;C12)*(C12-'แผนงาน Schedule'!$I$7:$I$156+1)/('แผนงาน Schedule'!$J$7:$J$156-'แผนงาน Schedule'!$I$7:$I$156+1)))</f>
        <v>0.089642761930152</v>
      </c>
      <c r="E12" s="115" t="n">
        <f aca="false">IF(C12="","",SUMPRODUCT('แผนงาน Schedule'!$G$7:$G$156,('แผนงาน Schedule'!$AB$7:$AB$156&lt;=C12)+('แผนงาน Schedule'!$AA$7:$AA$156&lt;=C12)*('แผนงาน Schedule'!$AB$7:$AB$156&gt;C12)*(C12-'แผนงาน Schedule'!$AA$7:$AA$156+1)/('แผนงาน Schedule'!$AB$7:$AB$156-'แผนงาน Schedule'!$AA$7:$AA$156+1)))</f>
        <v>0.089642761930152</v>
      </c>
      <c r="F12" s="113" t="n">
        <v>0.0771</v>
      </c>
      <c r="G12" s="115" t="str">
        <f aca="false">IF(OR(C12="",NOT(ISNUMBER(Dashboard!$C$27))),"",IF(C12&lt;Dashboard!$C$7,"",IF(Dashboard!$C$27&lt;=Dashboard!$C$7,1,MIN(1,Dashboard!$C$19+(1-Dashboard!$C$19)*(C12-Dashboard!$C$7)/(Dashboard!$C$27-Dashboard!$C$7)))))</f>
        <v/>
      </c>
      <c r="H12" s="192" t="n">
        <f aca="false">IF(OR(F12="",D12=""),"",F12-D12)</f>
        <v>-0.012542761930152</v>
      </c>
      <c r="I12" s="182" t="n">
        <f aca="false">IF(D12="","",D12*'ตั้งค่า Setup'!$C$9)</f>
        <v>2169354.83870968</v>
      </c>
      <c r="J12" s="182" t="n">
        <f aca="false">IF(OR(C12="",F12=""),"",F12*'ตั้งค่า Setup'!$C$9)</f>
        <v>1865820</v>
      </c>
      <c r="K12" s="23" t="n">
        <v>1111300</v>
      </c>
      <c r="L12" s="182" t="n">
        <f aca="false">IF(OR(C12="",K12=""),"",SUM(K$7:K12))</f>
        <v>2089800</v>
      </c>
      <c r="M12" s="23" t="n">
        <v>942600</v>
      </c>
      <c r="N12" s="182" t="n">
        <f aca="false">IF(OR(C12="",B12&gt;'ตั้งค่า Setup'!$C$15),"",SUM(M$7:M12))</f>
        <v>1772500</v>
      </c>
      <c r="P12" s="69" t="n">
        <f aca="false">IF(C12&lt;&gt;"",C12,P11)</f>
        <v>46234</v>
      </c>
      <c r="Q12" s="193" t="n">
        <f aca="false">IF(D12&lt;&gt;"",D12,Q11)</f>
        <v>0.089642761930152</v>
      </c>
      <c r="R12" s="69" t="n">
        <f aca="false">IF(Dashboard!$C$63,P12,R11)</f>
        <v>46174</v>
      </c>
      <c r="S12" s="193" t="n">
        <f aca="false">IF(AND(Dashboard!$C$63,E12&lt;&gt;""),E12,S11)</f>
        <v>0</v>
      </c>
      <c r="T12" s="69" t="n">
        <f aca="false">IF(AND(F12&lt;&gt;"",C12&lt;&gt;""),C12,T11)</f>
        <v>46234</v>
      </c>
      <c r="U12" s="193" t="n">
        <f aca="false">IF(AND(F12&lt;&gt;"",C12&lt;&gt;""),F12,U11)</f>
        <v>0.0771</v>
      </c>
      <c r="V12" s="69" t="n">
        <f aca="false">IF(ISNUMBER(G12),C12,V11)</f>
        <v>46293</v>
      </c>
      <c r="W12" s="193" t="n">
        <f aca="false">IF(ISNUMBER(G12),G12,W11)</f>
        <v>0.187809917355372</v>
      </c>
      <c r="X12" s="194" t="n">
        <f aca="false">IF(I12&lt;&gt;"",I12,X11)</f>
        <v>2169354.83870968</v>
      </c>
      <c r="Y12" s="194" t="n">
        <f aca="false">IF(AND(F12&lt;&gt;"",C12&lt;&gt;""),J12,Y11)</f>
        <v>1865820</v>
      </c>
      <c r="Z12" s="69" t="n">
        <f aca="false">IF(AND(K12&lt;&gt;"",C12&lt;&gt;""),C12,Z11)</f>
        <v>46234</v>
      </c>
      <c r="AA12" s="194" t="n">
        <f aca="false">IF(AND(K12&lt;&gt;"",C12&lt;&gt;""),L12,AA11)</f>
        <v>2089800</v>
      </c>
    </row>
    <row r="13" customFormat="false" ht="15" hidden="false" customHeight="false" outlineLevel="0" collapsed="false">
      <c r="A13" s="117" t="n">
        <f aca="false">IF(B13="","",ROW()-6)</f>
        <v>7</v>
      </c>
      <c r="B13" s="127" t="n">
        <f aca="false">IF(C12="","",IF(C12&gt;='ตั้งค่า Setup'!$C$111,"",C12+1))</f>
        <v>46235</v>
      </c>
      <c r="C13" s="127" t="n">
        <f aca="false">IF(B13="","",IF('ตั้งค่า Setup'!$C$16="รายสัปดาห์ / Weekly",B13+6,IF('ตั้งค่า Setup'!$C$16="รายเดือน / Monthly",EOMONTH(B13,0),IF(DAY(B13)&lt;=10,DATE(YEAR(B13),MONTH(B13),10),IF(DAY(B13)&lt;=20,DATE(YEAR(B13),MONTH(B13),20),EOMONTH(B13,0))))))</f>
        <v>46244</v>
      </c>
      <c r="D13" s="115" t="n">
        <f aca="false">IF(C13="","",SUMPRODUCT('แผนงาน Schedule'!$G$7:$G$156,('แผนงาน Schedule'!$J$7:$J$156&lt;=C13)+('แผนงาน Schedule'!$I$7:$I$156&lt;=C13)*('แผนงาน Schedule'!$J$7:$J$156&gt;C13)*(C13-'แผนงาน Schedule'!$I$7:$I$156+1)/('แผนงาน Schedule'!$J$7:$J$156-'แผนงาน Schedule'!$I$7:$I$156+1)))</f>
        <v>0.115008377299089</v>
      </c>
      <c r="E13" s="115" t="n">
        <f aca="false">IF(C13="","",SUMPRODUCT('แผนงาน Schedule'!$G$7:$G$156,('แผนงาน Schedule'!$AB$7:$AB$156&lt;=C13)+('แผนงาน Schedule'!$AA$7:$AA$156&lt;=C13)*('แผนงาน Schedule'!$AB$7:$AB$156&gt;C13)*(C13-'แผนงาน Schedule'!$AA$7:$AA$156+1)/('แผนงาน Schedule'!$AB$7:$AB$156-'แผนงาน Schedule'!$AA$7:$AA$156+1)))</f>
        <v>0.115008377299089</v>
      </c>
      <c r="F13" s="113" t="n">
        <v>0.0966</v>
      </c>
      <c r="G13" s="115" t="str">
        <f aca="false">IF(OR(C13="",NOT(ISNUMBER(Dashboard!$C$27))),"",IF(C13&lt;Dashboard!$C$7,"",IF(Dashboard!$C$27&lt;=Dashboard!$C$7,1,MIN(1,Dashboard!$C$19+(1-Dashboard!$C$19)*(C13-Dashboard!$C$7)/(Dashboard!$C$27-Dashboard!$C$7)))))</f>
        <v/>
      </c>
      <c r="H13" s="192" t="n">
        <f aca="false">IF(OR(F13="",D13=""),"",F13-D13)</f>
        <v>-0.0184083772990888</v>
      </c>
      <c r="I13" s="182" t="n">
        <f aca="false">IF(D13="","",D13*'ตั้งค่า Setup'!$C$9)</f>
        <v>2783202.73063795</v>
      </c>
      <c r="J13" s="182" t="n">
        <f aca="false">IF(OR(C13="",F13=""),"",F13*'ตั้งค่า Setup'!$C$9)</f>
        <v>2337720</v>
      </c>
      <c r="K13" s="23"/>
      <c r="L13" s="182" t="str">
        <f aca="false">IF(OR(C13="",K13=""),"",SUM(K$7:K13))</f>
        <v/>
      </c>
      <c r="M13" s="23"/>
      <c r="N13" s="182" t="n">
        <f aca="false">IF(OR(C13="",B13&gt;'ตั้งค่า Setup'!$C$15),"",SUM(M$7:M13))</f>
        <v>1772500</v>
      </c>
      <c r="P13" s="69" t="n">
        <f aca="false">IF(C13&lt;&gt;"",C13,P12)</f>
        <v>46244</v>
      </c>
      <c r="Q13" s="193" t="n">
        <f aca="false">IF(D13&lt;&gt;"",D13,Q12)</f>
        <v>0.115008377299089</v>
      </c>
      <c r="R13" s="69" t="n">
        <f aca="false">IF(Dashboard!$C$63,P13,R12)</f>
        <v>46174</v>
      </c>
      <c r="S13" s="193" t="n">
        <f aca="false">IF(AND(Dashboard!$C$63,E13&lt;&gt;""),E13,S12)</f>
        <v>0</v>
      </c>
      <c r="T13" s="69" t="n">
        <f aca="false">IF(AND(F13&lt;&gt;"",C13&lt;&gt;""),C13,T12)</f>
        <v>46244</v>
      </c>
      <c r="U13" s="193" t="n">
        <f aca="false">IF(AND(F13&lt;&gt;"",C13&lt;&gt;""),F13,U12)</f>
        <v>0.0966</v>
      </c>
      <c r="V13" s="69" t="n">
        <f aca="false">IF(ISNUMBER(G13),C13,V12)</f>
        <v>46293</v>
      </c>
      <c r="W13" s="193" t="n">
        <f aca="false">IF(ISNUMBER(G13),G13,W12)</f>
        <v>0.187809917355372</v>
      </c>
      <c r="X13" s="194" t="n">
        <f aca="false">IF(I13&lt;&gt;"",I13,X12)</f>
        <v>2783202.73063795</v>
      </c>
      <c r="Y13" s="194" t="n">
        <f aca="false">IF(AND(F13&lt;&gt;"",C13&lt;&gt;""),J13,Y12)</f>
        <v>2337720</v>
      </c>
      <c r="Z13" s="69" t="n">
        <f aca="false">IF(AND(K13&lt;&gt;"",C13&lt;&gt;""),C13,Z12)</f>
        <v>46234</v>
      </c>
      <c r="AA13" s="194" t="n">
        <f aca="false">IF(AND(K13&lt;&gt;"",C13&lt;&gt;""),L13,AA12)</f>
        <v>2089800</v>
      </c>
    </row>
    <row r="14" customFormat="false" ht="15" hidden="false" customHeight="false" outlineLevel="0" collapsed="false">
      <c r="A14" s="117" t="n">
        <f aca="false">IF(B14="","",ROW()-6)</f>
        <v>8</v>
      </c>
      <c r="B14" s="127" t="n">
        <f aca="false">IF(C13="","",IF(C13&gt;='ตั้งค่า Setup'!$C$111,"",C13+1))</f>
        <v>46245</v>
      </c>
      <c r="C14" s="127" t="n">
        <f aca="false">IF(B14="","",IF('ตั้งค่า Setup'!$C$16="รายสัปดาห์ / Weekly",B14+6,IF('ตั้งค่า Setup'!$C$16="รายเดือน / Monthly",EOMONTH(B14,0),IF(DAY(B14)&lt;=10,DATE(YEAR(B14),MONTH(B14),10),IF(DAY(B14)&lt;=20,DATE(YEAR(B14),MONTH(B14),20),EOMONTH(B14,0))))))</f>
        <v>46254</v>
      </c>
      <c r="D14" s="115" t="n">
        <f aca="false">IF(C14="","",SUMPRODUCT('แผนงาน Schedule'!$G$7:$G$156,('แผนงาน Schedule'!$J$7:$J$156&lt;=C14)+('แผนงาน Schedule'!$I$7:$I$156&lt;=C14)*('แผนงาน Schedule'!$J$7:$J$156&gt;C14)*(C14-'แผนงาน Schedule'!$I$7:$I$156+1)/('แผนงาน Schedule'!$J$7:$J$156-'แผนงาน Schedule'!$I$7:$I$156+1)))</f>
        <v>0.137447500338708</v>
      </c>
      <c r="E14" s="115" t="n">
        <f aca="false">IF(C14="","",SUMPRODUCT('แผนงาน Schedule'!$G$7:$G$156,('แผนงาน Schedule'!$AB$7:$AB$156&lt;=C14)+('แผนงาน Schedule'!$AA$7:$AA$156&lt;=C14)*('แผนงาน Schedule'!$AB$7:$AB$156&gt;C14)*(C14-'แผนงาน Schedule'!$AA$7:$AA$156+1)/('แผนงาน Schedule'!$AB$7:$AB$156-'แผนงาน Schedule'!$AA$7:$AA$156+1)))</f>
        <v>0.137447500338708</v>
      </c>
      <c r="F14" s="113" t="n">
        <v>0.1127</v>
      </c>
      <c r="G14" s="115" t="str">
        <f aca="false">IF(OR(C14="",NOT(ISNUMBER(Dashboard!$C$27))),"",IF(C14&lt;Dashboard!$C$7,"",IF(Dashboard!$C$27&lt;=Dashboard!$C$7,1,MIN(1,Dashboard!$C$19+(1-Dashboard!$C$19)*(C14-Dashboard!$C$7)/(Dashboard!$C$27-Dashboard!$C$7)))))</f>
        <v/>
      </c>
      <c r="H14" s="192" t="n">
        <f aca="false">IF(OR(F14="",D14=""),"",F14-D14)</f>
        <v>-0.0247475003387075</v>
      </c>
      <c r="I14" s="182" t="n">
        <f aca="false">IF(D14="","",D14*'ตั้งค่า Setup'!$C$9)</f>
        <v>3326229.50819672</v>
      </c>
      <c r="J14" s="182" t="n">
        <f aca="false">IF(OR(C14="",F14=""),"",F14*'ตั้งค่า Setup'!$C$9)</f>
        <v>2727340</v>
      </c>
      <c r="K14" s="23"/>
      <c r="L14" s="182" t="str">
        <f aca="false">IF(OR(C14="",K14=""),"",SUM(K$7:K14))</f>
        <v/>
      </c>
      <c r="M14" s="23"/>
      <c r="N14" s="182" t="n">
        <f aca="false">IF(OR(C14="",B14&gt;'ตั้งค่า Setup'!$C$15),"",SUM(M$7:M14))</f>
        <v>1772500</v>
      </c>
      <c r="P14" s="69" t="n">
        <f aca="false">IF(C14&lt;&gt;"",C14,P13)</f>
        <v>46254</v>
      </c>
      <c r="Q14" s="193" t="n">
        <f aca="false">IF(D14&lt;&gt;"",D14,Q13)</f>
        <v>0.137447500338708</v>
      </c>
      <c r="R14" s="69" t="n">
        <f aca="false">IF(Dashboard!$C$63,P14,R13)</f>
        <v>46174</v>
      </c>
      <c r="S14" s="193" t="n">
        <f aca="false">IF(AND(Dashboard!$C$63,E14&lt;&gt;""),E14,S13)</f>
        <v>0</v>
      </c>
      <c r="T14" s="69" t="n">
        <f aca="false">IF(AND(F14&lt;&gt;"",C14&lt;&gt;""),C14,T13)</f>
        <v>46254</v>
      </c>
      <c r="U14" s="193" t="n">
        <f aca="false">IF(AND(F14&lt;&gt;"",C14&lt;&gt;""),F14,U13)</f>
        <v>0.1127</v>
      </c>
      <c r="V14" s="69" t="n">
        <f aca="false">IF(ISNUMBER(G14),C14,V13)</f>
        <v>46293</v>
      </c>
      <c r="W14" s="193" t="n">
        <f aca="false">IF(ISNUMBER(G14),G14,W13)</f>
        <v>0.187809917355372</v>
      </c>
      <c r="X14" s="194" t="n">
        <f aca="false">IF(I14&lt;&gt;"",I14,X13)</f>
        <v>3326229.50819672</v>
      </c>
      <c r="Y14" s="194" t="n">
        <f aca="false">IF(AND(F14&lt;&gt;"",C14&lt;&gt;""),J14,Y13)</f>
        <v>2727340</v>
      </c>
      <c r="Z14" s="69" t="n">
        <f aca="false">IF(AND(K14&lt;&gt;"",C14&lt;&gt;""),C14,Z13)</f>
        <v>46234</v>
      </c>
      <c r="AA14" s="194" t="n">
        <f aca="false">IF(AND(K14&lt;&gt;"",C14&lt;&gt;""),L14,AA13)</f>
        <v>2089800</v>
      </c>
    </row>
    <row r="15" customFormat="false" ht="15" hidden="false" customHeight="false" outlineLevel="0" collapsed="false">
      <c r="A15" s="117" t="n">
        <f aca="false">IF(B15="","",ROW()-6)</f>
        <v>9</v>
      </c>
      <c r="B15" s="127" t="n">
        <f aca="false">IF(C14="","",IF(C14&gt;='ตั้งค่า Setup'!$C$111,"",C14+1))</f>
        <v>46255</v>
      </c>
      <c r="C15" s="127" t="n">
        <f aca="false">IF(B15="","",IF('ตั้งค่า Setup'!$C$16="รายสัปดาห์ / Weekly",B15+6,IF('ตั้งค่า Setup'!$C$16="รายเดือน / Monthly",EOMONTH(B15,0),IF(DAY(B15)&lt;=10,DATE(YEAR(B15),MONTH(B15),10),IF(DAY(B15)&lt;=20,DATE(YEAR(B15),MONTH(B15),20),EOMONTH(B15,0))))))</f>
        <v>46265</v>
      </c>
      <c r="D15" s="115" t="n">
        <f aca="false">IF(C15="","",SUMPRODUCT('แผนงาน Schedule'!$G$7:$G$156,('แผนงาน Schedule'!$J$7:$J$156&lt;=C15)+('แผนงาน Schedule'!$I$7:$I$156&lt;=C15)*('แผนงาน Schedule'!$J$7:$J$156&gt;C15)*(C15-'แผนงาน Schedule'!$I$7:$I$156+1)/('แผนงาน Schedule'!$J$7:$J$156-'แผนงาน Schedule'!$I$7:$I$156+1)))</f>
        <v>0.153332881723344</v>
      </c>
      <c r="E15" s="115" t="n">
        <f aca="false">IF(C15="","",SUMPRODUCT('แผนงาน Schedule'!$G$7:$G$156,('แผนงาน Schedule'!$AB$7:$AB$156&lt;=C15)+('แผนงาน Schedule'!$AA$7:$AA$156&lt;=C15)*('แผนงาน Schedule'!$AB$7:$AB$156&gt;C15)*(C15-'แผนงาน Schedule'!$AA$7:$AA$156+1)/('แผนงาน Schedule'!$AB$7:$AB$156-'แผนงาน Schedule'!$AA$7:$AA$156+1)))</f>
        <v>0.153332881723344</v>
      </c>
      <c r="F15" s="113" t="n">
        <v>0.1227</v>
      </c>
      <c r="G15" s="115" t="str">
        <f aca="false">IF(OR(C15="",NOT(ISNUMBER(Dashboard!$C$27))),"",IF(C15&lt;Dashboard!$C$7,"",IF(Dashboard!$C$27&lt;=Dashboard!$C$7,1,MIN(1,Dashboard!$C$19+(1-Dashboard!$C$19)*(C15-Dashboard!$C$7)/(Dashboard!$C$27-Dashboard!$C$7)))))</f>
        <v/>
      </c>
      <c r="H15" s="192" t="n">
        <f aca="false">IF(OR(F15="",D15=""),"",F15-D15)</f>
        <v>-0.0306328817233437</v>
      </c>
      <c r="I15" s="182" t="n">
        <f aca="false">IF(D15="","",D15*'ตั้งค่า Setup'!$C$9)</f>
        <v>3710655.73770492</v>
      </c>
      <c r="J15" s="182" t="n">
        <f aca="false">IF(OR(C15="",F15=""),"",F15*'ตั้งค่า Setup'!$C$9)</f>
        <v>2969340</v>
      </c>
      <c r="K15" s="23" t="n">
        <v>1235900</v>
      </c>
      <c r="L15" s="182" t="n">
        <f aca="false">IF(OR(C15="",K15=""),"",SUM(K$7:K15))</f>
        <v>3325700</v>
      </c>
      <c r="M15" s="23" t="n">
        <v>1048300</v>
      </c>
      <c r="N15" s="182" t="n">
        <f aca="false">IF(OR(C15="",B15&gt;'ตั้งค่า Setup'!$C$15),"",SUM(M$7:M15))</f>
        <v>2820800</v>
      </c>
      <c r="P15" s="69" t="n">
        <f aca="false">IF(C15&lt;&gt;"",C15,P14)</f>
        <v>46265</v>
      </c>
      <c r="Q15" s="193" t="n">
        <f aca="false">IF(D15&lt;&gt;"",D15,Q14)</f>
        <v>0.153332881723344</v>
      </c>
      <c r="R15" s="69" t="n">
        <f aca="false">IF(Dashboard!$C$63,P15,R14)</f>
        <v>46174</v>
      </c>
      <c r="S15" s="193" t="n">
        <f aca="false">IF(AND(Dashboard!$C$63,E15&lt;&gt;""),E15,S14)</f>
        <v>0</v>
      </c>
      <c r="T15" s="69" t="n">
        <f aca="false">IF(AND(F15&lt;&gt;"",C15&lt;&gt;""),C15,T14)</f>
        <v>46265</v>
      </c>
      <c r="U15" s="193" t="n">
        <f aca="false">IF(AND(F15&lt;&gt;"",C15&lt;&gt;""),F15,U14)</f>
        <v>0.1227</v>
      </c>
      <c r="V15" s="69" t="n">
        <f aca="false">IF(ISNUMBER(G15),C15,V14)</f>
        <v>46293</v>
      </c>
      <c r="W15" s="193" t="n">
        <f aca="false">IF(ISNUMBER(G15),G15,W14)</f>
        <v>0.187809917355372</v>
      </c>
      <c r="X15" s="194" t="n">
        <f aca="false">IF(I15&lt;&gt;"",I15,X14)</f>
        <v>3710655.73770492</v>
      </c>
      <c r="Y15" s="194" t="n">
        <f aca="false">IF(AND(F15&lt;&gt;"",C15&lt;&gt;""),J15,Y14)</f>
        <v>2969340</v>
      </c>
      <c r="Z15" s="69" t="n">
        <f aca="false">IF(AND(K15&lt;&gt;"",C15&lt;&gt;""),C15,Z14)</f>
        <v>46265</v>
      </c>
      <c r="AA15" s="194" t="n">
        <f aca="false">IF(AND(K15&lt;&gt;"",C15&lt;&gt;""),L15,AA14)</f>
        <v>3325700</v>
      </c>
    </row>
    <row r="16" customFormat="false" ht="15" hidden="false" customHeight="false" outlineLevel="0" collapsed="false">
      <c r="A16" s="117" t="n">
        <f aca="false">IF(B16="","",ROW()-6)</f>
        <v>10</v>
      </c>
      <c r="B16" s="127" t="n">
        <f aca="false">IF(C15="","",IF(C15&gt;='ตั้งค่า Setup'!$C$111,"",C15+1))</f>
        <v>46266</v>
      </c>
      <c r="C16" s="127" t="n">
        <f aca="false">IF(B16="","",IF('ตั้งค่า Setup'!$C$16="รายสัปดาห์ / Weekly",B16+6,IF('ตั้งค่า Setup'!$C$16="รายเดือน / Monthly",EOMONTH(B16,0),IF(DAY(B16)&lt;=10,DATE(YEAR(B16),MONTH(B16),10),IF(DAY(B16)&lt;=20,DATE(YEAR(B16),MONTH(B16),20),EOMONTH(B16,0))))))</f>
        <v>46275</v>
      </c>
      <c r="D16" s="115" t="n">
        <f aca="false">IF(C16="","",SUMPRODUCT('แผนงาน Schedule'!$G$7:$G$156,('แผนงาน Schedule'!$J$7:$J$156&lt;=C16)+('แผนงาน Schedule'!$I$7:$I$156&lt;=C16)*('แผนงาน Schedule'!$J$7:$J$156&gt;C16)*(C16-'แผนงาน Schedule'!$I$7:$I$156+1)/('แผนงาน Schedule'!$J$7:$J$156-'แผนงาน Schedule'!$I$7:$I$156+1)))</f>
        <v>0.189160607565973</v>
      </c>
      <c r="E16" s="115" t="n">
        <f aca="false">IF(C16="","",SUMPRODUCT('แผนงาน Schedule'!$G$7:$G$156,('แผนงาน Schedule'!$AB$7:$AB$156&lt;=C16)+('แผนงาน Schedule'!$AA$7:$AA$156&lt;=C16)*('แผนงาน Schedule'!$AB$7:$AB$156&gt;C16)*(C16-'แผนงาน Schedule'!$AA$7:$AA$156+1)/('แผนงาน Schedule'!$AB$7:$AB$156-'แผนงาน Schedule'!$AA$7:$AA$156+1)))</f>
        <v>0.189160607565973</v>
      </c>
      <c r="F16" s="113" t="n">
        <v>0.1475</v>
      </c>
      <c r="G16" s="115" t="str">
        <f aca="false">IF(OR(C16="",NOT(ISNUMBER(Dashboard!$C$27))),"",IF(C16&lt;Dashboard!$C$7,"",IF(Dashboard!$C$27&lt;=Dashboard!$C$7,1,MIN(1,Dashboard!$C$19+(1-Dashboard!$C$19)*(C16-Dashboard!$C$7)/(Dashboard!$C$27-Dashboard!$C$7)))))</f>
        <v/>
      </c>
      <c r="H16" s="192" t="n">
        <f aca="false">IF(OR(F16="",D16=""),"",F16-D16)</f>
        <v>-0.0416606075659727</v>
      </c>
      <c r="I16" s="182" t="n">
        <f aca="false">IF(D16="","",D16*'ตั้งค่า Setup'!$C$9)</f>
        <v>4577686.70309654</v>
      </c>
      <c r="J16" s="182" t="n">
        <f aca="false">IF(OR(C16="",F16=""),"",F16*'ตั้งค่า Setup'!$C$9)</f>
        <v>3569500</v>
      </c>
      <c r="K16" s="23"/>
      <c r="L16" s="182" t="str">
        <f aca="false">IF(OR(C16="",K16=""),"",SUM(K$7:K16))</f>
        <v/>
      </c>
      <c r="M16" s="23"/>
      <c r="N16" s="182" t="n">
        <f aca="false">IF(OR(C16="",B16&gt;'ตั้งค่า Setup'!$C$15),"",SUM(M$7:M16))</f>
        <v>2820800</v>
      </c>
      <c r="P16" s="69" t="n">
        <f aca="false">IF(C16&lt;&gt;"",C16,P15)</f>
        <v>46275</v>
      </c>
      <c r="Q16" s="193" t="n">
        <f aca="false">IF(D16&lt;&gt;"",D16,Q15)</f>
        <v>0.189160607565973</v>
      </c>
      <c r="R16" s="69" t="n">
        <f aca="false">IF(Dashboard!$C$63,P16,R15)</f>
        <v>46174</v>
      </c>
      <c r="S16" s="193" t="n">
        <f aca="false">IF(AND(Dashboard!$C$63,E16&lt;&gt;""),E16,S15)</f>
        <v>0</v>
      </c>
      <c r="T16" s="69" t="n">
        <f aca="false">IF(AND(F16&lt;&gt;"",C16&lt;&gt;""),C16,T15)</f>
        <v>46275</v>
      </c>
      <c r="U16" s="193" t="n">
        <f aca="false">IF(AND(F16&lt;&gt;"",C16&lt;&gt;""),F16,U15)</f>
        <v>0.1475</v>
      </c>
      <c r="V16" s="69" t="n">
        <f aca="false">IF(ISNUMBER(G16),C16,V15)</f>
        <v>46293</v>
      </c>
      <c r="W16" s="193" t="n">
        <f aca="false">IF(ISNUMBER(G16),G16,W15)</f>
        <v>0.187809917355372</v>
      </c>
      <c r="X16" s="194" t="n">
        <f aca="false">IF(I16&lt;&gt;"",I16,X15)</f>
        <v>4577686.70309654</v>
      </c>
      <c r="Y16" s="194" t="n">
        <f aca="false">IF(AND(F16&lt;&gt;"",C16&lt;&gt;""),J16,Y15)</f>
        <v>3569500</v>
      </c>
      <c r="Z16" s="69" t="n">
        <f aca="false">IF(AND(K16&lt;&gt;"",C16&lt;&gt;""),C16,Z15)</f>
        <v>46265</v>
      </c>
      <c r="AA16" s="194" t="n">
        <f aca="false">IF(AND(K16&lt;&gt;"",C16&lt;&gt;""),L16,AA15)</f>
        <v>3325700</v>
      </c>
    </row>
    <row r="17" customFormat="false" ht="15" hidden="false" customHeight="false" outlineLevel="0" collapsed="false">
      <c r="A17" s="117" t="n">
        <f aca="false">IF(B17="","",ROW()-6)</f>
        <v>11</v>
      </c>
      <c r="B17" s="127" t="n">
        <f aca="false">IF(C16="","",IF(C16&gt;='ตั้งค่า Setup'!$C$111,"",C16+1))</f>
        <v>46276</v>
      </c>
      <c r="C17" s="127" t="n">
        <f aca="false">IF(B17="","",IF('ตั้งค่า Setup'!$C$16="รายสัปดาห์ / Weekly",B17+6,IF('ตั้งค่า Setup'!$C$16="รายเดือน / Monthly",EOMONTH(B17,0),IF(DAY(B17)&lt;=10,DATE(YEAR(B17),MONTH(B17),10),IF(DAY(B17)&lt;=20,DATE(YEAR(B17),MONTH(B17),20),EOMONTH(B17,0))))))</f>
        <v>46285</v>
      </c>
      <c r="D17" s="115" t="n">
        <f aca="false">IF(C17="","",SUMPRODUCT('แผนงาน Schedule'!$G$7:$G$156,('แผนงาน Schedule'!$J$7:$J$156&lt;=C17)+('แผนงาน Schedule'!$I$7:$I$156&lt;=C17)*('แผนงาน Schedule'!$J$7:$J$156&gt;C17)*(C17-'แผนงาน Schedule'!$I$7:$I$156+1)/('แผนงาน Schedule'!$J$7:$J$156-'แผนงาน Schedule'!$I$7:$I$156+1)))</f>
        <v>0.224988333408602</v>
      </c>
      <c r="E17" s="115" t="n">
        <f aca="false">IF(C17="","",SUMPRODUCT('แผนงาน Schedule'!$G$7:$G$156,('แผนงาน Schedule'!$AB$7:$AB$156&lt;=C17)+('แผนงาน Schedule'!$AA$7:$AA$156&lt;=C17)*('แผนงาน Schedule'!$AB$7:$AB$156&gt;C17)*(C17-'แผนงาน Schedule'!$AA$7:$AA$156+1)/('แผนงาน Schedule'!$AB$7:$AB$156-'แผนงาน Schedule'!$AA$7:$AA$156+1)))</f>
        <v>0.224988333408602</v>
      </c>
      <c r="F17" s="113" t="n">
        <v>0.171</v>
      </c>
      <c r="G17" s="115" t="str">
        <f aca="false">IF(OR(C17="",NOT(ISNUMBER(Dashboard!$C$27))),"",IF(C17&lt;Dashboard!$C$7,"",IF(Dashboard!$C$27&lt;=Dashboard!$C$7,1,MIN(1,Dashboard!$C$19+(1-Dashboard!$C$19)*(C17-Dashboard!$C$7)/(Dashboard!$C$27-Dashboard!$C$7)))))</f>
        <v/>
      </c>
      <c r="H17" s="192" t="n">
        <f aca="false">IF(OR(F17="",D17=""),"",F17-D17)</f>
        <v>-0.0539883334086017</v>
      </c>
      <c r="I17" s="182" t="n">
        <f aca="false">IF(D17="","",D17*'ตั้งค่า Setup'!$C$9)</f>
        <v>5444717.66848816</v>
      </c>
      <c r="J17" s="182" t="n">
        <f aca="false">IF(OR(C17="",F17=""),"",F17*'ตั้งค่า Setup'!$C$9)</f>
        <v>4138200</v>
      </c>
      <c r="K17" s="23" t="n">
        <v>1309100</v>
      </c>
      <c r="L17" s="182" t="n">
        <f aca="false">IF(OR(C17="",K17=""),"",SUM(K$7:K17))</f>
        <v>4634800</v>
      </c>
      <c r="M17" s="23"/>
      <c r="N17" s="182" t="n">
        <f aca="false">IF(OR(C17="",B17&gt;'ตั้งค่า Setup'!$C$15),"",SUM(M$7:M17))</f>
        <v>2820800</v>
      </c>
      <c r="P17" s="69" t="n">
        <f aca="false">IF(C17&lt;&gt;"",C17,P16)</f>
        <v>46285</v>
      </c>
      <c r="Q17" s="193" t="n">
        <f aca="false">IF(D17&lt;&gt;"",D17,Q16)</f>
        <v>0.224988333408602</v>
      </c>
      <c r="R17" s="69" t="n">
        <f aca="false">IF(Dashboard!$C$63,P17,R16)</f>
        <v>46174</v>
      </c>
      <c r="S17" s="193" t="n">
        <f aca="false">IF(AND(Dashboard!$C$63,E17&lt;&gt;""),E17,S16)</f>
        <v>0</v>
      </c>
      <c r="T17" s="69" t="n">
        <f aca="false">IF(AND(F17&lt;&gt;"",C17&lt;&gt;""),C17,T16)</f>
        <v>46285</v>
      </c>
      <c r="U17" s="193" t="n">
        <f aca="false">IF(AND(F17&lt;&gt;"",C17&lt;&gt;""),F17,U16)</f>
        <v>0.171</v>
      </c>
      <c r="V17" s="69" t="n">
        <f aca="false">IF(ISNUMBER(G17),C17,V16)</f>
        <v>46293</v>
      </c>
      <c r="W17" s="193" t="n">
        <f aca="false">IF(ISNUMBER(G17),G17,W16)</f>
        <v>0.187809917355372</v>
      </c>
      <c r="X17" s="194" t="n">
        <f aca="false">IF(I17&lt;&gt;"",I17,X16)</f>
        <v>5444717.66848816</v>
      </c>
      <c r="Y17" s="194" t="n">
        <f aca="false">IF(AND(F17&lt;&gt;"",C17&lt;&gt;""),J17,Y16)</f>
        <v>4138200</v>
      </c>
      <c r="Z17" s="69" t="n">
        <f aca="false">IF(AND(K17&lt;&gt;"",C17&lt;&gt;""),C17,Z16)</f>
        <v>46285</v>
      </c>
      <c r="AA17" s="194" t="n">
        <f aca="false">IF(AND(K17&lt;&gt;"",C17&lt;&gt;""),L17,AA16)</f>
        <v>4634800</v>
      </c>
    </row>
    <row r="18" customFormat="false" ht="15" hidden="false" customHeight="false" outlineLevel="0" collapsed="false">
      <c r="A18" s="117" t="n">
        <f aca="false">IF(B18="","",ROW()-6)</f>
        <v>12</v>
      </c>
      <c r="B18" s="127" t="n">
        <f aca="false">IF(C17="","",IF(C17&gt;='ตั้งค่า Setup'!$C$111,"",C17+1))</f>
        <v>46286</v>
      </c>
      <c r="C18" s="127" t="n">
        <f aca="false">IF(B18="","",IF('ตั้งค่า Setup'!$C$16="รายสัปดาห์ / Weekly",B18+6,IF('ตั้งค่า Setup'!$C$16="รายเดือน / Monthly",EOMONTH(B18,0),IF(DAY(B18)&lt;=10,DATE(YEAR(B18),MONTH(B18),10),IF(DAY(B18)&lt;=20,DATE(YEAR(B18),MONTH(B18),20),EOMONTH(B18,0))))))</f>
        <v>46295</v>
      </c>
      <c r="D18" s="115" t="n">
        <f aca="false">IF(C18="","",SUMPRODUCT('แผนงาน Schedule'!$G$7:$G$156,('แผนงาน Schedule'!$J$7:$J$156&lt;=C18)+('แผนงาน Schedule'!$I$7:$I$156&lt;=C18)*('แผนงาน Schedule'!$J$7:$J$156&gt;C18)*(C18-'แผนงาน Schedule'!$I$7:$I$156+1)/('แผนงาน Schedule'!$J$7:$J$156-'แผนงาน Schedule'!$I$7:$I$156+1)))</f>
        <v>0.260816059251231</v>
      </c>
      <c r="E18" s="115" t="n">
        <f aca="false">IF(C18="","",SUMPRODUCT('แผนงาน Schedule'!$G$7:$G$156,('แผนงาน Schedule'!$AB$7:$AB$156&lt;=C18)+('แผนงาน Schedule'!$AA$7:$AA$156&lt;=C18)*('แผนงาน Schedule'!$AB$7:$AB$156&gt;C18)*(C18-'แผนงาน Schedule'!$AA$7:$AA$156+1)/('แผนงาน Schedule'!$AB$7:$AB$156-'แผนงาน Schedule'!$AA$7:$AA$156+1)))</f>
        <v>0.260816059251231</v>
      </c>
      <c r="F18" s="113" t="n">
        <v>0.1878</v>
      </c>
      <c r="G18" s="115" t="n">
        <f aca="false">IF(OR(C18="",NOT(ISNUMBER(Dashboard!$C$27))),"",IF(C18&lt;Dashboard!$C$7,"",IF(Dashboard!$C$27&lt;=Dashboard!$C$7,1,MIN(1,Dashboard!$C$19+(1-Dashboard!$C$19)*(C18-Dashboard!$C$7)/(Dashboard!$C$27-Dashboard!$C$7)))))</f>
        <v>0.196834251606979</v>
      </c>
      <c r="H18" s="192" t="n">
        <f aca="false">IF(OR(F18="",D18=""),"",F18-D18)</f>
        <v>-0.0730160592512306</v>
      </c>
      <c r="I18" s="182" t="n">
        <f aca="false">IF(D18="","",D18*'ตั้งค่า Setup'!$C$9)</f>
        <v>6311748.63387978</v>
      </c>
      <c r="J18" s="182" t="n">
        <f aca="false">IF(OR(C18="",F18=""),"",F18*'ตั้งค่า Setup'!$C$9)</f>
        <v>4544760</v>
      </c>
      <c r="K18" s="23"/>
      <c r="L18" s="182" t="str">
        <f aca="false">IF(OR(C18="",K18=""),"",SUM(K$7:K18))</f>
        <v/>
      </c>
      <c r="M18" s="23"/>
      <c r="N18" s="182" t="n">
        <f aca="false">IF(OR(C18="",B18&gt;'ตั้งค่า Setup'!$C$15),"",SUM(M$7:M18))</f>
        <v>2820800</v>
      </c>
      <c r="P18" s="69" t="n">
        <f aca="false">IF(C18&lt;&gt;"",C18,P17)</f>
        <v>46295</v>
      </c>
      <c r="Q18" s="193" t="n">
        <f aca="false">IF(D18&lt;&gt;"",D18,Q17)</f>
        <v>0.260816059251231</v>
      </c>
      <c r="R18" s="69" t="n">
        <f aca="false">IF(Dashboard!$C$63,P18,R17)</f>
        <v>46174</v>
      </c>
      <c r="S18" s="193" t="n">
        <f aca="false">IF(AND(Dashboard!$C$63,E18&lt;&gt;""),E18,S17)</f>
        <v>0</v>
      </c>
      <c r="T18" s="69" t="n">
        <f aca="false">IF(AND(F18&lt;&gt;"",C18&lt;&gt;""),C18,T17)</f>
        <v>46295</v>
      </c>
      <c r="U18" s="193" t="n">
        <f aca="false">IF(AND(F18&lt;&gt;"",C18&lt;&gt;""),F18,U17)</f>
        <v>0.1878</v>
      </c>
      <c r="V18" s="69" t="n">
        <f aca="false">IF(ISNUMBER(G18),C18,V17)</f>
        <v>46295</v>
      </c>
      <c r="W18" s="193" t="n">
        <f aca="false">IF(ISNUMBER(G18),G18,W17)</f>
        <v>0.196834251606979</v>
      </c>
      <c r="X18" s="194" t="n">
        <f aca="false">IF(I18&lt;&gt;"",I18,X17)</f>
        <v>6311748.63387978</v>
      </c>
      <c r="Y18" s="194" t="n">
        <f aca="false">IF(AND(F18&lt;&gt;"",C18&lt;&gt;""),J18,Y17)</f>
        <v>4544760</v>
      </c>
      <c r="Z18" s="69" t="n">
        <f aca="false">IF(AND(K18&lt;&gt;"",C18&lt;&gt;""),C18,Z17)</f>
        <v>46285</v>
      </c>
      <c r="AA18" s="194" t="n">
        <f aca="false">IF(AND(K18&lt;&gt;"",C18&lt;&gt;""),L18,AA17)</f>
        <v>4634800</v>
      </c>
    </row>
    <row r="19" customFormat="false" ht="15" hidden="false" customHeight="false" outlineLevel="0" collapsed="false">
      <c r="A19" s="117" t="n">
        <f aca="false">IF(B19="","",ROW()-6)</f>
        <v>13</v>
      </c>
      <c r="B19" s="127" t="n">
        <f aca="false">IF(C18="","",IF(C18&gt;='ตั้งค่า Setup'!$C$111,"",C18+1))</f>
        <v>46296</v>
      </c>
      <c r="C19" s="127" t="n">
        <f aca="false">IF(B19="","",IF('ตั้งค่า Setup'!$C$16="รายสัปดาห์ / Weekly",B19+6,IF('ตั้งค่า Setup'!$C$16="รายเดือน / Monthly",EOMONTH(B19,0),IF(DAY(B19)&lt;=10,DATE(YEAR(B19),MONTH(B19),10),IF(DAY(B19)&lt;=20,DATE(YEAR(B19),MONTH(B19),20),EOMONTH(B19,0))))))</f>
        <v>46305</v>
      </c>
      <c r="D19" s="115" t="n">
        <f aca="false">IF(C19="","",SUMPRODUCT('แผนงาน Schedule'!$G$7:$G$156,('แผนงาน Schedule'!$J$7:$J$156&lt;=C19)+('แผนงาน Schedule'!$I$7:$I$156&lt;=C19)*('แผนงาน Schedule'!$J$7:$J$156&gt;C19)*(C19-'แผนงาน Schedule'!$I$7:$I$156+1)/('แผนงาน Schedule'!$J$7:$J$156-'แผนงาน Schedule'!$I$7:$I$156+1)))</f>
        <v>0.309951934356559</v>
      </c>
      <c r="E19" s="115" t="n">
        <f aca="false">IF(C19="","",SUMPRODUCT('แผนงาน Schedule'!$G$7:$G$156,('แผนงาน Schedule'!$AB$7:$AB$156&lt;=C19)+('แผนงาน Schedule'!$AA$7:$AA$156&lt;=C19)*('แผนงาน Schedule'!$AB$7:$AB$156&gt;C19)*(C19-'แผนงาน Schedule'!$AA$7:$AA$156+1)/('แผนงาน Schedule'!$AB$7:$AB$156-'แผนงาน Schedule'!$AA$7:$AA$156+1)))</f>
        <v>0.309951934356559</v>
      </c>
      <c r="F19" s="113"/>
      <c r="G19" s="115" t="n">
        <f aca="false">IF(OR(C19="",NOT(ISNUMBER(Dashboard!$C$27))),"",IF(C19&lt;Dashboard!$C$7,"",IF(Dashboard!$C$27&lt;=Dashboard!$C$7,1,MIN(1,Dashboard!$C$19+(1-Dashboard!$C$19)*(C19-Dashboard!$C$7)/(Dashboard!$C$27-Dashboard!$C$7)))))</f>
        <v>0.241955922865014</v>
      </c>
      <c r="H19" s="192" t="str">
        <f aca="false">IF(OR(F19="",D19=""),"",F19-D19)</f>
        <v/>
      </c>
      <c r="I19" s="182" t="n">
        <f aca="false">IF(D19="","",D19*'ตั้งค่า Setup'!$C$9)</f>
        <v>7500836.81142872</v>
      </c>
      <c r="J19" s="182" t="str">
        <f aca="false">IF(OR(C19="",F19=""),"",F19*'ตั้งค่า Setup'!$C$9)</f>
        <v/>
      </c>
      <c r="K19" s="23"/>
      <c r="L19" s="182" t="str">
        <f aca="false">IF(OR(C19="",K19=""),"",SUM(K$7:K19))</f>
        <v/>
      </c>
      <c r="M19" s="23"/>
      <c r="N19" s="182" t="str">
        <f aca="false">IF(OR(C19="",B19&gt;'ตั้งค่า Setup'!$C$15),"",SUM(M$7:M19))</f>
        <v/>
      </c>
      <c r="P19" s="69" t="n">
        <f aca="false">IF(C19&lt;&gt;"",C19,P18)</f>
        <v>46305</v>
      </c>
      <c r="Q19" s="193" t="n">
        <f aca="false">IF(D19&lt;&gt;"",D19,Q18)</f>
        <v>0.309951934356559</v>
      </c>
      <c r="R19" s="69" t="n">
        <f aca="false">IF(Dashboard!$C$63,P19,R18)</f>
        <v>46174</v>
      </c>
      <c r="S19" s="193" t="n">
        <f aca="false">IF(AND(Dashboard!$C$63,E19&lt;&gt;""),E19,S18)</f>
        <v>0</v>
      </c>
      <c r="T19" s="69" t="n">
        <f aca="false">IF(AND(F19&lt;&gt;"",C19&lt;&gt;""),C19,T18)</f>
        <v>46295</v>
      </c>
      <c r="U19" s="193" t="n">
        <f aca="false">IF(AND(F19&lt;&gt;"",C19&lt;&gt;""),F19,U18)</f>
        <v>0.1878</v>
      </c>
      <c r="V19" s="69" t="n">
        <f aca="false">IF(ISNUMBER(G19),C19,V18)</f>
        <v>46305</v>
      </c>
      <c r="W19" s="193" t="n">
        <f aca="false">IF(ISNUMBER(G19),G19,W18)</f>
        <v>0.241955922865014</v>
      </c>
      <c r="X19" s="194" t="n">
        <f aca="false">IF(I19&lt;&gt;"",I19,X18)</f>
        <v>7500836.81142872</v>
      </c>
      <c r="Y19" s="194" t="n">
        <f aca="false">IF(AND(F19&lt;&gt;"",C19&lt;&gt;""),J19,Y18)</f>
        <v>4544760</v>
      </c>
      <c r="Z19" s="69" t="n">
        <f aca="false">IF(AND(K19&lt;&gt;"",C19&lt;&gt;""),C19,Z18)</f>
        <v>46285</v>
      </c>
      <c r="AA19" s="194" t="n">
        <f aca="false">IF(AND(K19&lt;&gt;"",C19&lt;&gt;""),L19,AA18)</f>
        <v>4634800</v>
      </c>
    </row>
    <row r="20" customFormat="false" ht="15" hidden="false" customHeight="false" outlineLevel="0" collapsed="false">
      <c r="A20" s="117" t="n">
        <f aca="false">IF(B20="","",ROW()-6)</f>
        <v>14</v>
      </c>
      <c r="B20" s="127" t="n">
        <f aca="false">IF(C19="","",IF(C19&gt;='ตั้งค่า Setup'!$C$111,"",C19+1))</f>
        <v>46306</v>
      </c>
      <c r="C20" s="127" t="n">
        <f aca="false">IF(B20="","",IF('ตั้งค่า Setup'!$C$16="รายสัปดาห์ / Weekly",B20+6,IF('ตั้งค่า Setup'!$C$16="รายเดือน / Monthly",EOMONTH(B20,0),IF(DAY(B20)&lt;=10,DATE(YEAR(B20),MONTH(B20),10),IF(DAY(B20)&lt;=20,DATE(YEAR(B20),MONTH(B20),20),EOMONTH(B20,0))))))</f>
        <v>46315</v>
      </c>
      <c r="D20" s="115" t="n">
        <f aca="false">IF(C20="","",SUMPRODUCT('แผนงาน Schedule'!$G$7:$G$156,('แผนงาน Schedule'!$J$7:$J$156&lt;=C20)+('แผนงาน Schedule'!$I$7:$I$156&lt;=C20)*('แผนงาน Schedule'!$J$7:$J$156&gt;C20)*(C20-'แผนงาน Schedule'!$I$7:$I$156+1)/('แผนงาน Schedule'!$J$7:$J$156-'แผนงาน Schedule'!$I$7:$I$156+1)))</f>
        <v>0.352605071635865</v>
      </c>
      <c r="E20" s="115" t="n">
        <f aca="false">IF(C20="","",SUMPRODUCT('แผนงาน Schedule'!$G$7:$G$156,('แผนงาน Schedule'!$AB$7:$AB$156&lt;=C20)+('แผนงาน Schedule'!$AA$7:$AA$156&lt;=C20)*('แผนงาน Schedule'!$AB$7:$AB$156&gt;C20)*(C20-'แผนงาน Schedule'!$AA$7:$AA$156+1)/('แผนงาน Schedule'!$AB$7:$AB$156-'แผนงาน Schedule'!$AA$7:$AA$156+1)))</f>
        <v>0.352605071635865</v>
      </c>
      <c r="F20" s="113"/>
      <c r="G20" s="115" t="n">
        <f aca="false">IF(OR(C20="",NOT(ISNUMBER(Dashboard!$C$27))),"",IF(C20&lt;Dashboard!$C$7,"",IF(Dashboard!$C$27&lt;=Dashboard!$C$7,1,MIN(1,Dashboard!$C$19+(1-Dashboard!$C$19)*(C20-Dashboard!$C$7)/(Dashboard!$C$27-Dashboard!$C$7)))))</f>
        <v>0.287077594123049</v>
      </c>
      <c r="H20" s="192" t="str">
        <f aca="false">IF(OR(F20="",D20=""),"",F20-D20)</f>
        <v/>
      </c>
      <c r="I20" s="182" t="n">
        <f aca="false">IF(D20="","",D20*'ตั้งค่า Setup'!$C$9)</f>
        <v>8533042.73358794</v>
      </c>
      <c r="J20" s="182" t="str">
        <f aca="false">IF(OR(C20="",F20=""),"",F20*'ตั้งค่า Setup'!$C$9)</f>
        <v/>
      </c>
      <c r="K20" s="23"/>
      <c r="L20" s="182" t="str">
        <f aca="false">IF(OR(C20="",K20=""),"",SUM(K$7:K20))</f>
        <v/>
      </c>
      <c r="M20" s="23"/>
      <c r="N20" s="182" t="str">
        <f aca="false">IF(OR(C20="",B20&gt;'ตั้งค่า Setup'!$C$15),"",SUM(M$7:M20))</f>
        <v/>
      </c>
      <c r="P20" s="69" t="n">
        <f aca="false">IF(C20&lt;&gt;"",C20,P19)</f>
        <v>46315</v>
      </c>
      <c r="Q20" s="193" t="n">
        <f aca="false">IF(D20&lt;&gt;"",D20,Q19)</f>
        <v>0.352605071635865</v>
      </c>
      <c r="R20" s="69" t="n">
        <f aca="false">IF(Dashboard!$C$63,P20,R19)</f>
        <v>46174</v>
      </c>
      <c r="S20" s="193" t="n">
        <f aca="false">IF(AND(Dashboard!$C$63,E20&lt;&gt;""),E20,S19)</f>
        <v>0</v>
      </c>
      <c r="T20" s="69" t="n">
        <f aca="false">IF(AND(F20&lt;&gt;"",C20&lt;&gt;""),C20,T19)</f>
        <v>46295</v>
      </c>
      <c r="U20" s="193" t="n">
        <f aca="false">IF(AND(F20&lt;&gt;"",C20&lt;&gt;""),F20,U19)</f>
        <v>0.1878</v>
      </c>
      <c r="V20" s="69" t="n">
        <f aca="false">IF(ISNUMBER(G20),C20,V19)</f>
        <v>46315</v>
      </c>
      <c r="W20" s="193" t="n">
        <f aca="false">IF(ISNUMBER(G20),G20,W19)</f>
        <v>0.287077594123049</v>
      </c>
      <c r="X20" s="194" t="n">
        <f aca="false">IF(I20&lt;&gt;"",I20,X19)</f>
        <v>8533042.73358794</v>
      </c>
      <c r="Y20" s="194" t="n">
        <f aca="false">IF(AND(F20&lt;&gt;"",C20&lt;&gt;""),J20,Y19)</f>
        <v>4544760</v>
      </c>
      <c r="Z20" s="69" t="n">
        <f aca="false">IF(AND(K20&lt;&gt;"",C20&lt;&gt;""),C20,Z19)</f>
        <v>46285</v>
      </c>
      <c r="AA20" s="194" t="n">
        <f aca="false">IF(AND(K20&lt;&gt;"",C20&lt;&gt;""),L20,AA19)</f>
        <v>4634800</v>
      </c>
    </row>
    <row r="21" customFormat="false" ht="15" hidden="false" customHeight="false" outlineLevel="0" collapsed="false">
      <c r="A21" s="117" t="n">
        <f aca="false">IF(B21="","",ROW()-6)</f>
        <v>15</v>
      </c>
      <c r="B21" s="127" t="n">
        <f aca="false">IF(C20="","",IF(C20&gt;='ตั้งค่า Setup'!$C$111,"",C20+1))</f>
        <v>46316</v>
      </c>
      <c r="C21" s="127" t="n">
        <f aca="false">IF(B21="","",IF('ตั้งค่า Setup'!$C$16="รายสัปดาห์ / Weekly",B21+6,IF('ตั้งค่า Setup'!$C$16="รายเดือน / Monthly",EOMONTH(B21,0),IF(DAY(B21)&lt;=10,DATE(YEAR(B21),MONTH(B21),10),IF(DAY(B21)&lt;=20,DATE(YEAR(B21),MONTH(B21),20),EOMONTH(B21,0))))))</f>
        <v>46326</v>
      </c>
      <c r="D21" s="115" t="n">
        <f aca="false">IF(C21="","",SUMPRODUCT('แผนงาน Schedule'!$G$7:$G$156,('แผนงาน Schedule'!$J$7:$J$156&lt;=C21)+('แผนงาน Schedule'!$I$7:$I$156&lt;=C21)*('แผนงาน Schedule'!$J$7:$J$156&gt;C21)*(C21-'แผนงาน Schedule'!$I$7:$I$156+1)/('แผนงาน Schedule'!$J$7:$J$156-'แผนงาน Schedule'!$I$7:$I$156+1)))</f>
        <v>0.38689726001684</v>
      </c>
      <c r="E21" s="115" t="n">
        <f aca="false">IF(C21="","",SUMPRODUCT('แผนงาน Schedule'!$G$7:$G$156,('แผนงาน Schedule'!$AB$7:$AB$156&lt;=C21)+('แผนงาน Schedule'!$AA$7:$AA$156&lt;=C21)*('แผนงาน Schedule'!$AB$7:$AB$156&gt;C21)*(C21-'แผนงาน Schedule'!$AA$7:$AA$156+1)/('แผนงาน Schedule'!$AB$7:$AB$156-'แผนงาน Schedule'!$AA$7:$AA$156+1)))</f>
        <v>0.38689726001684</v>
      </c>
      <c r="F21" s="113"/>
      <c r="G21" s="115" t="n">
        <f aca="false">IF(OR(C21="",NOT(ISNUMBER(Dashboard!$C$27))),"",IF(C21&lt;Dashboard!$C$7,"",IF(Dashboard!$C$27&lt;=Dashboard!$C$7,1,MIN(1,Dashboard!$C$19+(1-Dashboard!$C$19)*(C21-Dashboard!$C$7)/(Dashboard!$C$27-Dashboard!$C$7)))))</f>
        <v>0.336711432506887</v>
      </c>
      <c r="H21" s="192" t="str">
        <f aca="false">IF(OR(F21="",D21=""),"",F21-D21)</f>
        <v/>
      </c>
      <c r="I21" s="182" t="n">
        <f aca="false">IF(D21="","",D21*'ตั้งค่า Setup'!$C$9)</f>
        <v>9362913.69240753</v>
      </c>
      <c r="J21" s="182" t="str">
        <f aca="false">IF(OR(C21="",F21=""),"",F21*'ตั้งค่า Setup'!$C$9)</f>
        <v/>
      </c>
      <c r="K21" s="23"/>
      <c r="L21" s="182" t="str">
        <f aca="false">IF(OR(C21="",K21=""),"",SUM(K$7:K21))</f>
        <v/>
      </c>
      <c r="M21" s="23"/>
      <c r="N21" s="182" t="str">
        <f aca="false">IF(OR(C21="",B21&gt;'ตั้งค่า Setup'!$C$15),"",SUM(M$7:M21))</f>
        <v/>
      </c>
      <c r="P21" s="69" t="n">
        <f aca="false">IF(C21&lt;&gt;"",C21,P20)</f>
        <v>46326</v>
      </c>
      <c r="Q21" s="193" t="n">
        <f aca="false">IF(D21&lt;&gt;"",D21,Q20)</f>
        <v>0.38689726001684</v>
      </c>
      <c r="R21" s="69" t="n">
        <f aca="false">IF(Dashboard!$C$63,P21,R20)</f>
        <v>46174</v>
      </c>
      <c r="S21" s="193" t="n">
        <f aca="false">IF(AND(Dashboard!$C$63,E21&lt;&gt;""),E21,S20)</f>
        <v>0</v>
      </c>
      <c r="T21" s="69" t="n">
        <f aca="false">IF(AND(F21&lt;&gt;"",C21&lt;&gt;""),C21,T20)</f>
        <v>46295</v>
      </c>
      <c r="U21" s="193" t="n">
        <f aca="false">IF(AND(F21&lt;&gt;"",C21&lt;&gt;""),F21,U20)</f>
        <v>0.1878</v>
      </c>
      <c r="V21" s="69" t="n">
        <f aca="false">IF(ISNUMBER(G21),C21,V20)</f>
        <v>46326</v>
      </c>
      <c r="W21" s="193" t="n">
        <f aca="false">IF(ISNUMBER(G21),G21,W20)</f>
        <v>0.336711432506887</v>
      </c>
      <c r="X21" s="194" t="n">
        <f aca="false">IF(I21&lt;&gt;"",I21,X20)</f>
        <v>9362913.69240753</v>
      </c>
      <c r="Y21" s="194" t="n">
        <f aca="false">IF(AND(F21&lt;&gt;"",C21&lt;&gt;""),J21,Y20)</f>
        <v>4544760</v>
      </c>
      <c r="Z21" s="69" t="n">
        <f aca="false">IF(AND(K21&lt;&gt;"",C21&lt;&gt;""),C21,Z20)</f>
        <v>46285</v>
      </c>
      <c r="AA21" s="194" t="n">
        <f aca="false">IF(AND(K21&lt;&gt;"",C21&lt;&gt;""),L21,AA20)</f>
        <v>4634800</v>
      </c>
    </row>
    <row r="22" customFormat="false" ht="15" hidden="false" customHeight="false" outlineLevel="0" collapsed="false">
      <c r="A22" s="117" t="n">
        <f aca="false">IF(B22="","",ROW()-6)</f>
        <v>16</v>
      </c>
      <c r="B22" s="127" t="n">
        <f aca="false">IF(C21="","",IF(C21&gt;='ตั้งค่า Setup'!$C$111,"",C21+1))</f>
        <v>46327</v>
      </c>
      <c r="C22" s="127" t="n">
        <f aca="false">IF(B22="","",IF('ตั้งค่า Setup'!$C$16="รายสัปดาห์ / Weekly",B22+6,IF('ตั้งค่า Setup'!$C$16="รายเดือน / Monthly",EOMONTH(B22,0),IF(DAY(B22)&lt;=10,DATE(YEAR(B22),MONTH(B22),10),IF(DAY(B22)&lt;=20,DATE(YEAR(B22),MONTH(B22),20),EOMONTH(B22,0))))))</f>
        <v>46336</v>
      </c>
      <c r="D22" s="115" t="n">
        <f aca="false">IF(C22="","",SUMPRODUCT('แผนงาน Schedule'!$G$7:$G$156,('แผนงาน Schedule'!$J$7:$J$156&lt;=C22)+('แผนงาน Schedule'!$I$7:$I$156&lt;=C22)*('แผนงาน Schedule'!$J$7:$J$156&gt;C22)*(C22-'แผนงาน Schedule'!$I$7:$I$156+1)/('แผนงาน Schedule'!$J$7:$J$156-'แผนงาน Schedule'!$I$7:$I$156+1)))</f>
        <v>0.432701532901335</v>
      </c>
      <c r="E22" s="115" t="n">
        <f aca="false">IF(C22="","",SUMPRODUCT('แผนงาน Schedule'!$G$7:$G$156,('แผนงาน Schedule'!$AB$7:$AB$156&lt;=C22)+('แผนงาน Schedule'!$AA$7:$AA$156&lt;=C22)*('แผนงาน Schedule'!$AB$7:$AB$156&gt;C22)*(C22-'แผนงาน Schedule'!$AA$7:$AA$156+1)/('แผนงาน Schedule'!$AB$7:$AB$156-'แผนงาน Schedule'!$AA$7:$AA$156+1)))</f>
        <v>0.432701532901335</v>
      </c>
      <c r="F22" s="113"/>
      <c r="G22" s="115" t="n">
        <f aca="false">IF(OR(C22="",NOT(ISNUMBER(Dashboard!$C$27))),"",IF(C22&lt;Dashboard!$C$7,"",IF(Dashboard!$C$27&lt;=Dashboard!$C$7,1,MIN(1,Dashboard!$C$19+(1-Dashboard!$C$19)*(C22-Dashboard!$C$7)/(Dashboard!$C$27-Dashboard!$C$7)))))</f>
        <v>0.381833103764922</v>
      </c>
      <c r="H22" s="192" t="str">
        <f aca="false">IF(OR(F22="",D22=""),"",F22-D22)</f>
        <v/>
      </c>
      <c r="I22" s="182" t="n">
        <f aca="false">IF(D22="","",D22*'ตั้งค่า Setup'!$C$9)</f>
        <v>10471377.0962123</v>
      </c>
      <c r="J22" s="182" t="str">
        <f aca="false">IF(OR(C22="",F22=""),"",F22*'ตั้งค่า Setup'!$C$9)</f>
        <v/>
      </c>
      <c r="K22" s="23"/>
      <c r="L22" s="182" t="str">
        <f aca="false">IF(OR(C22="",K22=""),"",SUM(K$7:K22))</f>
        <v/>
      </c>
      <c r="M22" s="23"/>
      <c r="N22" s="182" t="str">
        <f aca="false">IF(OR(C22="",B22&gt;'ตั้งค่า Setup'!$C$15),"",SUM(M$7:M22))</f>
        <v/>
      </c>
      <c r="P22" s="69" t="n">
        <f aca="false">IF(C22&lt;&gt;"",C22,P21)</f>
        <v>46336</v>
      </c>
      <c r="Q22" s="193" t="n">
        <f aca="false">IF(D22&lt;&gt;"",D22,Q21)</f>
        <v>0.432701532901335</v>
      </c>
      <c r="R22" s="69" t="n">
        <f aca="false">IF(Dashboard!$C$63,P22,R21)</f>
        <v>46174</v>
      </c>
      <c r="S22" s="193" t="n">
        <f aca="false">IF(AND(Dashboard!$C$63,E22&lt;&gt;""),E22,S21)</f>
        <v>0</v>
      </c>
      <c r="T22" s="69" t="n">
        <f aca="false">IF(AND(F22&lt;&gt;"",C22&lt;&gt;""),C22,T21)</f>
        <v>46295</v>
      </c>
      <c r="U22" s="193" t="n">
        <f aca="false">IF(AND(F22&lt;&gt;"",C22&lt;&gt;""),F22,U21)</f>
        <v>0.1878</v>
      </c>
      <c r="V22" s="69" t="n">
        <f aca="false">IF(ISNUMBER(G22),C22,V21)</f>
        <v>46336</v>
      </c>
      <c r="W22" s="193" t="n">
        <f aca="false">IF(ISNUMBER(G22),G22,W21)</f>
        <v>0.381833103764922</v>
      </c>
      <c r="X22" s="194" t="n">
        <f aca="false">IF(I22&lt;&gt;"",I22,X21)</f>
        <v>10471377.0962123</v>
      </c>
      <c r="Y22" s="194" t="n">
        <f aca="false">IF(AND(F22&lt;&gt;"",C22&lt;&gt;""),J22,Y21)</f>
        <v>4544760</v>
      </c>
      <c r="Z22" s="69" t="n">
        <f aca="false">IF(AND(K22&lt;&gt;"",C22&lt;&gt;""),C22,Z21)</f>
        <v>46285</v>
      </c>
      <c r="AA22" s="194" t="n">
        <f aca="false">IF(AND(K22&lt;&gt;"",C22&lt;&gt;""),L22,AA21)</f>
        <v>4634800</v>
      </c>
    </row>
    <row r="23" customFormat="false" ht="15" hidden="false" customHeight="false" outlineLevel="0" collapsed="false">
      <c r="A23" s="117" t="n">
        <f aca="false">IF(B23="","",ROW()-6)</f>
        <v>17</v>
      </c>
      <c r="B23" s="127" t="n">
        <f aca="false">IF(C22="","",IF(C22&gt;='ตั้งค่า Setup'!$C$111,"",C22+1))</f>
        <v>46337</v>
      </c>
      <c r="C23" s="127" t="n">
        <f aca="false">IF(B23="","",IF('ตั้งค่า Setup'!$C$16="รายสัปดาห์ / Weekly",B23+6,IF('ตั้งค่า Setup'!$C$16="รายเดือน / Monthly",EOMONTH(B23,0),IF(DAY(B23)&lt;=10,DATE(YEAR(B23),MONTH(B23),10),IF(DAY(B23)&lt;=20,DATE(YEAR(B23),MONTH(B23),20),EOMONTH(B23,0))))))</f>
        <v>46346</v>
      </c>
      <c r="D23" s="115" t="n">
        <f aca="false">IF(C23="","",SUMPRODUCT('แผนงาน Schedule'!$G$7:$G$156,('แผนงาน Schedule'!$J$7:$J$156&lt;=C23)+('แผนงาน Schedule'!$I$7:$I$156&lt;=C23)*('แผนงาน Schedule'!$J$7:$J$156&gt;C23)*(C23-'แผนงาน Schedule'!$I$7:$I$156+1)/('แผนงาน Schedule'!$J$7:$J$156-'แผนงาน Schedule'!$I$7:$I$156+1)))</f>
        <v>0.479382664753657</v>
      </c>
      <c r="E23" s="115" t="n">
        <f aca="false">IF(C23="","",SUMPRODUCT('แผนงาน Schedule'!$G$7:$G$156,('แผนงาน Schedule'!$AB$7:$AB$156&lt;=C23)+('แผนงาน Schedule'!$AA$7:$AA$156&lt;=C23)*('แผนงาน Schedule'!$AB$7:$AB$156&gt;C23)*(C23-'แผนงาน Schedule'!$AA$7:$AA$156+1)/('แผนงาน Schedule'!$AB$7:$AB$156-'แผนงาน Schedule'!$AA$7:$AA$156+1)))</f>
        <v>0.479382664753657</v>
      </c>
      <c r="F23" s="113"/>
      <c r="G23" s="115" t="n">
        <f aca="false">IF(OR(C23="",NOT(ISNUMBER(Dashboard!$C$27))),"",IF(C23&lt;Dashboard!$C$7,"",IF(Dashboard!$C$27&lt;=Dashboard!$C$7,1,MIN(1,Dashboard!$C$19+(1-Dashboard!$C$19)*(C23-Dashboard!$C$7)/(Dashboard!$C$27-Dashboard!$C$7)))))</f>
        <v>0.426954775022957</v>
      </c>
      <c r="H23" s="192" t="str">
        <f aca="false">IF(OR(F23="",D23=""),"",F23-D23)</f>
        <v/>
      </c>
      <c r="I23" s="182" t="n">
        <f aca="false">IF(D23="","",D23*'ตั้งค่า Setup'!$C$9)</f>
        <v>11601060.4870385</v>
      </c>
      <c r="J23" s="182" t="str">
        <f aca="false">IF(OR(C23="",F23=""),"",F23*'ตั้งค่า Setup'!$C$9)</f>
        <v/>
      </c>
      <c r="K23" s="23"/>
      <c r="L23" s="182" t="str">
        <f aca="false">IF(OR(C23="",K23=""),"",SUM(K$7:K23))</f>
        <v/>
      </c>
      <c r="M23" s="23"/>
      <c r="N23" s="182" t="str">
        <f aca="false">IF(OR(C23="",B23&gt;'ตั้งค่า Setup'!$C$15),"",SUM(M$7:M23))</f>
        <v/>
      </c>
      <c r="P23" s="69" t="n">
        <f aca="false">IF(C23&lt;&gt;"",C23,P22)</f>
        <v>46346</v>
      </c>
      <c r="Q23" s="193" t="n">
        <f aca="false">IF(D23&lt;&gt;"",D23,Q22)</f>
        <v>0.479382664753657</v>
      </c>
      <c r="R23" s="69" t="n">
        <f aca="false">IF(Dashboard!$C$63,P23,R22)</f>
        <v>46174</v>
      </c>
      <c r="S23" s="193" t="n">
        <f aca="false">IF(AND(Dashboard!$C$63,E23&lt;&gt;""),E23,S22)</f>
        <v>0</v>
      </c>
      <c r="T23" s="69" t="n">
        <f aca="false">IF(AND(F23&lt;&gt;"",C23&lt;&gt;""),C23,T22)</f>
        <v>46295</v>
      </c>
      <c r="U23" s="193" t="n">
        <f aca="false">IF(AND(F23&lt;&gt;"",C23&lt;&gt;""),F23,U22)</f>
        <v>0.1878</v>
      </c>
      <c r="V23" s="69" t="n">
        <f aca="false">IF(ISNUMBER(G23),C23,V22)</f>
        <v>46346</v>
      </c>
      <c r="W23" s="193" t="n">
        <f aca="false">IF(ISNUMBER(G23),G23,W22)</f>
        <v>0.426954775022957</v>
      </c>
      <c r="X23" s="194" t="n">
        <f aca="false">IF(I23&lt;&gt;"",I23,X22)</f>
        <v>11601060.4870385</v>
      </c>
      <c r="Y23" s="194" t="n">
        <f aca="false">IF(AND(F23&lt;&gt;"",C23&lt;&gt;""),J23,Y22)</f>
        <v>4544760</v>
      </c>
      <c r="Z23" s="69" t="n">
        <f aca="false">IF(AND(K23&lt;&gt;"",C23&lt;&gt;""),C23,Z22)</f>
        <v>46285</v>
      </c>
      <c r="AA23" s="194" t="n">
        <f aca="false">IF(AND(K23&lt;&gt;"",C23&lt;&gt;""),L23,AA22)</f>
        <v>4634800</v>
      </c>
    </row>
    <row r="24" customFormat="false" ht="15" hidden="false" customHeight="false" outlineLevel="0" collapsed="false">
      <c r="A24" s="117" t="n">
        <f aca="false">IF(B24="","",ROW()-6)</f>
        <v>18</v>
      </c>
      <c r="B24" s="127" t="n">
        <f aca="false">IF(C23="","",IF(C23&gt;='ตั้งค่า Setup'!$C$111,"",C23+1))</f>
        <v>46347</v>
      </c>
      <c r="C24" s="127" t="n">
        <f aca="false">IF(B24="","",IF('ตั้งค่า Setup'!$C$16="รายสัปดาห์ / Weekly",B24+6,IF('ตั้งค่า Setup'!$C$16="รายเดือน / Monthly",EOMONTH(B24,0),IF(DAY(B24)&lt;=10,DATE(YEAR(B24),MONTH(B24),10),IF(DAY(B24)&lt;=20,DATE(YEAR(B24),MONTH(B24),20),EOMONTH(B24,0))))))</f>
        <v>46356</v>
      </c>
      <c r="D24" s="115" t="n">
        <f aca="false">IF(C24="","",SUMPRODUCT('แผนงาน Schedule'!$G$7:$G$156,('แผนงาน Schedule'!$J$7:$J$156&lt;=C24)+('แผนงาน Schedule'!$I$7:$I$156&lt;=C24)*('แผนงาน Schedule'!$J$7:$J$156&gt;C24)*(C24-'แผนงาน Schedule'!$I$7:$I$156+1)/('แผนงาน Schedule'!$J$7:$J$156-'แผนงาน Schedule'!$I$7:$I$156+1)))</f>
        <v>0.515284062506086</v>
      </c>
      <c r="E24" s="115" t="n">
        <f aca="false">IF(C24="","",SUMPRODUCT('แผนงาน Schedule'!$G$7:$G$156,('แผนงาน Schedule'!$AB$7:$AB$156&lt;=C24)+('แผนงาน Schedule'!$AA$7:$AA$156&lt;=C24)*('แผนงาน Schedule'!$AB$7:$AB$156&gt;C24)*(C24-'แผนงาน Schedule'!$AA$7:$AA$156+1)/('แผนงาน Schedule'!$AB$7:$AB$156-'แผนงาน Schedule'!$AA$7:$AA$156+1)))</f>
        <v>0.515284062506086</v>
      </c>
      <c r="F24" s="113"/>
      <c r="G24" s="115" t="n">
        <f aca="false">IF(OR(C24="",NOT(ISNUMBER(Dashboard!$C$27))),"",IF(C24&lt;Dashboard!$C$7,"",IF(Dashboard!$C$27&lt;=Dashboard!$C$7,1,MIN(1,Dashboard!$C$19+(1-Dashboard!$C$19)*(C24-Dashboard!$C$7)/(Dashboard!$C$27-Dashboard!$C$7)))))</f>
        <v>0.472076446280992</v>
      </c>
      <c r="H24" s="192" t="str">
        <f aca="false">IF(OR(F24="",D24=""),"",F24-D24)</f>
        <v/>
      </c>
      <c r="I24" s="182" t="n">
        <f aca="false">IF(D24="","",D24*'ตั้งค่า Setup'!$C$9)</f>
        <v>12469874.3126473</v>
      </c>
      <c r="J24" s="182" t="str">
        <f aca="false">IF(OR(C24="",F24=""),"",F24*'ตั้งค่า Setup'!$C$9)</f>
        <v/>
      </c>
      <c r="K24" s="23"/>
      <c r="L24" s="182" t="str">
        <f aca="false">IF(OR(C24="",K24=""),"",SUM(K$7:K24))</f>
        <v/>
      </c>
      <c r="M24" s="23"/>
      <c r="N24" s="182" t="str">
        <f aca="false">IF(OR(C24="",B24&gt;'ตั้งค่า Setup'!$C$15),"",SUM(M$7:M24))</f>
        <v/>
      </c>
      <c r="P24" s="69" t="n">
        <f aca="false">IF(C24&lt;&gt;"",C24,P23)</f>
        <v>46356</v>
      </c>
      <c r="Q24" s="193" t="n">
        <f aca="false">IF(D24&lt;&gt;"",D24,Q23)</f>
        <v>0.515284062506086</v>
      </c>
      <c r="R24" s="69" t="n">
        <f aca="false">IF(Dashboard!$C$63,P24,R23)</f>
        <v>46174</v>
      </c>
      <c r="S24" s="193" t="n">
        <f aca="false">IF(AND(Dashboard!$C$63,E24&lt;&gt;""),E24,S23)</f>
        <v>0</v>
      </c>
      <c r="T24" s="69" t="n">
        <f aca="false">IF(AND(F24&lt;&gt;"",C24&lt;&gt;""),C24,T23)</f>
        <v>46295</v>
      </c>
      <c r="U24" s="193" t="n">
        <f aca="false">IF(AND(F24&lt;&gt;"",C24&lt;&gt;""),F24,U23)</f>
        <v>0.1878</v>
      </c>
      <c r="V24" s="69" t="n">
        <f aca="false">IF(ISNUMBER(G24),C24,V23)</f>
        <v>46356</v>
      </c>
      <c r="W24" s="193" t="n">
        <f aca="false">IF(ISNUMBER(G24),G24,W23)</f>
        <v>0.472076446280992</v>
      </c>
      <c r="X24" s="194" t="n">
        <f aca="false">IF(I24&lt;&gt;"",I24,X23)</f>
        <v>12469874.3126473</v>
      </c>
      <c r="Y24" s="194" t="n">
        <f aca="false">IF(AND(F24&lt;&gt;"",C24&lt;&gt;""),J24,Y23)</f>
        <v>4544760</v>
      </c>
      <c r="Z24" s="69" t="n">
        <f aca="false">IF(AND(K24&lt;&gt;"",C24&lt;&gt;""),C24,Z23)</f>
        <v>46285</v>
      </c>
      <c r="AA24" s="194" t="n">
        <f aca="false">IF(AND(K24&lt;&gt;"",C24&lt;&gt;""),L24,AA23)</f>
        <v>4634800</v>
      </c>
    </row>
    <row r="25" customFormat="false" ht="15" hidden="false" customHeight="false" outlineLevel="0" collapsed="false">
      <c r="A25" s="117" t="n">
        <f aca="false">IF(B25="","",ROW()-6)</f>
        <v>19</v>
      </c>
      <c r="B25" s="127" t="n">
        <f aca="false">IF(C24="","",IF(C24&gt;='ตั้งค่า Setup'!$C$111,"",C24+1))</f>
        <v>46357</v>
      </c>
      <c r="C25" s="127" t="n">
        <f aca="false">IF(B25="","",IF('ตั้งค่า Setup'!$C$16="รายสัปดาห์ / Weekly",B25+6,IF('ตั้งค่า Setup'!$C$16="รายเดือน / Monthly",EOMONTH(B25,0),IF(DAY(B25)&lt;=10,DATE(YEAR(B25),MONTH(B25),10),IF(DAY(B25)&lt;=20,DATE(YEAR(B25),MONTH(B25),20),EOMONTH(B25,0))))))</f>
        <v>46366</v>
      </c>
      <c r="D25" s="115" t="n">
        <f aca="false">IF(C25="","",SUMPRODUCT('แผนงาน Schedule'!$G$7:$G$156,('แผนงาน Schedule'!$J$7:$J$156&lt;=C25)+('แผนงาน Schedule'!$I$7:$I$156&lt;=C25)*('แผนงาน Schedule'!$J$7:$J$156&gt;C25)*(C25-'แผนงาน Schedule'!$I$7:$I$156+1)/('แผนงาน Schedule'!$J$7:$J$156-'แผนงาน Schedule'!$I$7:$I$156+1)))</f>
        <v>0.563087048406439</v>
      </c>
      <c r="E25" s="115" t="n">
        <f aca="false">IF(C25="","",SUMPRODUCT('แผนงาน Schedule'!$G$7:$G$156,('แผนงาน Schedule'!$AB$7:$AB$156&lt;=C25)+('แผนงาน Schedule'!$AA$7:$AA$156&lt;=C25)*('แผนงาน Schedule'!$AB$7:$AB$156&gt;C25)*(C25-'แผนงาน Schedule'!$AA$7:$AA$156+1)/('แผนงาน Schedule'!$AB$7:$AB$156-'แผนงาน Schedule'!$AA$7:$AA$156+1)))</f>
        <v>0.563087048406439</v>
      </c>
      <c r="F25" s="113"/>
      <c r="G25" s="115" t="n">
        <f aca="false">IF(OR(C25="",NOT(ISNUMBER(Dashboard!$C$27))),"",IF(C25&lt;Dashboard!$C$7,"",IF(Dashboard!$C$27&lt;=Dashboard!$C$7,1,MIN(1,Dashboard!$C$19+(1-Dashboard!$C$19)*(C25-Dashboard!$C$7)/(Dashboard!$C$27-Dashboard!$C$7)))))</f>
        <v>0.517198117539027</v>
      </c>
      <c r="H25" s="192" t="str">
        <f aca="false">IF(OR(F25="",D25=""),"",F25-D25)</f>
        <v/>
      </c>
      <c r="I25" s="182" t="n">
        <f aca="false">IF(D25="","",D25*'ตั้งค่า Setup'!$C$9)</f>
        <v>13626706.5714358</v>
      </c>
      <c r="J25" s="182" t="str">
        <f aca="false">IF(OR(C25="",F25=""),"",F25*'ตั้งค่า Setup'!$C$9)</f>
        <v/>
      </c>
      <c r="K25" s="23"/>
      <c r="L25" s="182" t="str">
        <f aca="false">IF(OR(C25="",K25=""),"",SUM(K$7:K25))</f>
        <v/>
      </c>
      <c r="M25" s="23"/>
      <c r="N25" s="182" t="str">
        <f aca="false">IF(OR(C25="",B25&gt;'ตั้งค่า Setup'!$C$15),"",SUM(M$7:M25))</f>
        <v/>
      </c>
      <c r="P25" s="69" t="n">
        <f aca="false">IF(C25&lt;&gt;"",C25,P24)</f>
        <v>46366</v>
      </c>
      <c r="Q25" s="193" t="n">
        <f aca="false">IF(D25&lt;&gt;"",D25,Q24)</f>
        <v>0.563087048406439</v>
      </c>
      <c r="R25" s="69" t="n">
        <f aca="false">IF(Dashboard!$C$63,P25,R24)</f>
        <v>46174</v>
      </c>
      <c r="S25" s="193" t="n">
        <f aca="false">IF(AND(Dashboard!$C$63,E25&lt;&gt;""),E25,S24)</f>
        <v>0</v>
      </c>
      <c r="T25" s="69" t="n">
        <f aca="false">IF(AND(F25&lt;&gt;"",C25&lt;&gt;""),C25,T24)</f>
        <v>46295</v>
      </c>
      <c r="U25" s="193" t="n">
        <f aca="false">IF(AND(F25&lt;&gt;"",C25&lt;&gt;""),F25,U24)</f>
        <v>0.1878</v>
      </c>
      <c r="V25" s="69" t="n">
        <f aca="false">IF(ISNUMBER(G25),C25,V24)</f>
        <v>46366</v>
      </c>
      <c r="W25" s="193" t="n">
        <f aca="false">IF(ISNUMBER(G25),G25,W24)</f>
        <v>0.517198117539027</v>
      </c>
      <c r="X25" s="194" t="n">
        <f aca="false">IF(I25&lt;&gt;"",I25,X24)</f>
        <v>13626706.5714358</v>
      </c>
      <c r="Y25" s="194" t="n">
        <f aca="false">IF(AND(F25&lt;&gt;"",C25&lt;&gt;""),J25,Y24)</f>
        <v>4544760</v>
      </c>
      <c r="Z25" s="69" t="n">
        <f aca="false">IF(AND(K25&lt;&gt;"",C25&lt;&gt;""),C25,Z24)</f>
        <v>46285</v>
      </c>
      <c r="AA25" s="194" t="n">
        <f aca="false">IF(AND(K25&lt;&gt;"",C25&lt;&gt;""),L25,AA24)</f>
        <v>4634800</v>
      </c>
    </row>
    <row r="26" customFormat="false" ht="15" hidden="false" customHeight="false" outlineLevel="0" collapsed="false">
      <c r="A26" s="117" t="n">
        <f aca="false">IF(B26="","",ROW()-6)</f>
        <v>20</v>
      </c>
      <c r="B26" s="127" t="n">
        <f aca="false">IF(C25="","",IF(C25&gt;='ตั้งค่า Setup'!$C$111,"",C25+1))</f>
        <v>46367</v>
      </c>
      <c r="C26" s="127" t="n">
        <f aca="false">IF(B26="","",IF('ตั้งค่า Setup'!$C$16="รายสัปดาห์ / Weekly",B26+6,IF('ตั้งค่า Setup'!$C$16="รายเดือน / Monthly",EOMONTH(B26,0),IF(DAY(B26)&lt;=10,DATE(YEAR(B26),MONTH(B26),10),IF(DAY(B26)&lt;=20,DATE(YEAR(B26),MONTH(B26),20),EOMONTH(B26,0))))))</f>
        <v>46376</v>
      </c>
      <c r="D26" s="115" t="n">
        <f aca="false">IF(C26="","",SUMPRODUCT('แผนงาน Schedule'!$G$7:$G$156,('แผนงาน Schedule'!$J$7:$J$156&lt;=C26)+('แผนงาน Schedule'!$I$7:$I$156&lt;=C26)*('แผนงาน Schedule'!$J$7:$J$156&gt;C26)*(C26-'แผนงาน Schedule'!$I$7:$I$156+1)/('แผนงาน Schedule'!$J$7:$J$156-'แผนงาน Schedule'!$I$7:$I$156+1)))</f>
        <v>0.613334315727006</v>
      </c>
      <c r="E26" s="115" t="n">
        <f aca="false">IF(C26="","",SUMPRODUCT('แผนงาน Schedule'!$G$7:$G$156,('แผนงาน Schedule'!$AB$7:$AB$156&lt;=C26)+('แผนงาน Schedule'!$AA$7:$AA$156&lt;=C26)*('แผนงาน Schedule'!$AB$7:$AB$156&gt;C26)*(C26-'แผนงาน Schedule'!$AA$7:$AA$156+1)/('แผนงาน Schedule'!$AB$7:$AB$156-'แผนงาน Schedule'!$AA$7:$AA$156+1)))</f>
        <v>0.613334315727006</v>
      </c>
      <c r="F26" s="113"/>
      <c r="G26" s="115" t="n">
        <f aca="false">IF(OR(C26="",NOT(ISNUMBER(Dashboard!$C$27))),"",IF(C26&lt;Dashboard!$C$7,"",IF(Dashboard!$C$27&lt;=Dashboard!$C$7,1,MIN(1,Dashboard!$C$19+(1-Dashboard!$C$19)*(C26-Dashboard!$C$7)/(Dashboard!$C$27-Dashboard!$C$7)))))</f>
        <v>0.562319788797062</v>
      </c>
      <c r="H26" s="192" t="str">
        <f aca="false">IF(OR(F26="",D26=""),"",F26-D26)</f>
        <v/>
      </c>
      <c r="I26" s="182" t="n">
        <f aca="false">IF(D26="","",D26*'ตั้งค่า Setup'!$C$9)</f>
        <v>14842690.4405935</v>
      </c>
      <c r="J26" s="182" t="str">
        <f aca="false">IF(OR(C26="",F26=""),"",F26*'ตั้งค่า Setup'!$C$9)</f>
        <v/>
      </c>
      <c r="K26" s="23"/>
      <c r="L26" s="182" t="str">
        <f aca="false">IF(OR(C26="",K26=""),"",SUM(K$7:K26))</f>
        <v/>
      </c>
      <c r="M26" s="23"/>
      <c r="N26" s="182" t="str">
        <f aca="false">IF(OR(C26="",B26&gt;'ตั้งค่า Setup'!$C$15),"",SUM(M$7:M26))</f>
        <v/>
      </c>
      <c r="P26" s="69" t="n">
        <f aca="false">IF(C26&lt;&gt;"",C26,P25)</f>
        <v>46376</v>
      </c>
      <c r="Q26" s="193" t="n">
        <f aca="false">IF(D26&lt;&gt;"",D26,Q25)</f>
        <v>0.613334315727006</v>
      </c>
      <c r="R26" s="69" t="n">
        <f aca="false">IF(Dashboard!$C$63,P26,R25)</f>
        <v>46174</v>
      </c>
      <c r="S26" s="193" t="n">
        <f aca="false">IF(AND(Dashboard!$C$63,E26&lt;&gt;""),E26,S25)</f>
        <v>0</v>
      </c>
      <c r="T26" s="69" t="n">
        <f aca="false">IF(AND(F26&lt;&gt;"",C26&lt;&gt;""),C26,T25)</f>
        <v>46295</v>
      </c>
      <c r="U26" s="193" t="n">
        <f aca="false">IF(AND(F26&lt;&gt;"",C26&lt;&gt;""),F26,U25)</f>
        <v>0.1878</v>
      </c>
      <c r="V26" s="69" t="n">
        <f aca="false">IF(ISNUMBER(G26),C26,V25)</f>
        <v>46376</v>
      </c>
      <c r="W26" s="193" t="n">
        <f aca="false">IF(ISNUMBER(G26),G26,W25)</f>
        <v>0.562319788797062</v>
      </c>
      <c r="X26" s="194" t="n">
        <f aca="false">IF(I26&lt;&gt;"",I26,X25)</f>
        <v>14842690.4405935</v>
      </c>
      <c r="Y26" s="194" t="n">
        <f aca="false">IF(AND(F26&lt;&gt;"",C26&lt;&gt;""),J26,Y25)</f>
        <v>4544760</v>
      </c>
      <c r="Z26" s="69" t="n">
        <f aca="false">IF(AND(K26&lt;&gt;"",C26&lt;&gt;""),C26,Z25)</f>
        <v>46285</v>
      </c>
      <c r="AA26" s="194" t="n">
        <f aca="false">IF(AND(K26&lt;&gt;"",C26&lt;&gt;""),L26,AA25)</f>
        <v>4634800</v>
      </c>
    </row>
    <row r="27" customFormat="false" ht="15" hidden="false" customHeight="false" outlineLevel="0" collapsed="false">
      <c r="A27" s="117" t="n">
        <f aca="false">IF(B27="","",ROW()-6)</f>
        <v>21</v>
      </c>
      <c r="B27" s="127" t="n">
        <f aca="false">IF(C26="","",IF(C26&gt;='ตั้งค่า Setup'!$C$111,"",C26+1))</f>
        <v>46377</v>
      </c>
      <c r="C27" s="127" t="n">
        <f aca="false">IF(B27="","",IF('ตั้งค่า Setup'!$C$16="รายสัปดาห์ / Weekly",B27+6,IF('ตั้งค่า Setup'!$C$16="รายเดือน / Monthly",EOMONTH(B27,0),IF(DAY(B27)&lt;=10,DATE(YEAR(B27),MONTH(B27),10),IF(DAY(B27)&lt;=20,DATE(YEAR(B27),MONTH(B27),20),EOMONTH(B27,0))))))</f>
        <v>46387</v>
      </c>
      <c r="D27" s="115" t="n">
        <f aca="false">IF(C27="","",SUMPRODUCT('แผนงาน Schedule'!$G$7:$G$156,('แผนงาน Schedule'!$J$7:$J$156&lt;=C27)+('แผนงาน Schedule'!$I$7:$I$156&lt;=C27)*('แผนงาน Schedule'!$J$7:$J$156&gt;C27)*(C27-'แผนงาน Schedule'!$I$7:$I$156+1)/('แผนงาน Schedule'!$J$7:$J$156-'แผนงาน Schedule'!$I$7:$I$156+1)))</f>
        <v>0.66938114374378</v>
      </c>
      <c r="E27" s="115" t="n">
        <f aca="false">IF(C27="","",SUMPRODUCT('แผนงาน Schedule'!$G$7:$G$156,('แผนงาน Schedule'!$AB$7:$AB$156&lt;=C27)+('แผนงาน Schedule'!$AA$7:$AA$156&lt;=C27)*('แผนงาน Schedule'!$AB$7:$AB$156&gt;C27)*(C27-'แผนงาน Schedule'!$AA$7:$AA$156+1)/('แผนงาน Schedule'!$AB$7:$AB$156-'แผนงาน Schedule'!$AA$7:$AA$156+1)))</f>
        <v>0.66938114374378</v>
      </c>
      <c r="F27" s="113"/>
      <c r="G27" s="115" t="n">
        <f aca="false">IF(OR(C27="",NOT(ISNUMBER(Dashboard!$C$27))),"",IF(C27&lt;Dashboard!$C$7,"",IF(Dashboard!$C$27&lt;=Dashboard!$C$7,1,MIN(1,Dashboard!$C$19+(1-Dashboard!$C$19)*(C27-Dashboard!$C$7)/(Dashboard!$C$27-Dashboard!$C$7)))))</f>
        <v>0.6119536271809</v>
      </c>
      <c r="H27" s="192" t="str">
        <f aca="false">IF(OR(F27="",D27=""),"",F27-D27)</f>
        <v/>
      </c>
      <c r="I27" s="182" t="n">
        <f aca="false">IF(D27="","",D27*'ตั้งค่า Setup'!$C$9)</f>
        <v>16199023.6785995</v>
      </c>
      <c r="J27" s="182" t="str">
        <f aca="false">IF(OR(C27="",F27=""),"",F27*'ตั้งค่า Setup'!$C$9)</f>
        <v/>
      </c>
      <c r="K27" s="23"/>
      <c r="L27" s="182" t="str">
        <f aca="false">IF(OR(C27="",K27=""),"",SUM(K$7:K27))</f>
        <v/>
      </c>
      <c r="M27" s="23"/>
      <c r="N27" s="182" t="str">
        <f aca="false">IF(OR(C27="",B27&gt;'ตั้งค่า Setup'!$C$15),"",SUM(M$7:M27))</f>
        <v/>
      </c>
      <c r="P27" s="69" t="n">
        <f aca="false">IF(C27&lt;&gt;"",C27,P26)</f>
        <v>46387</v>
      </c>
      <c r="Q27" s="193" t="n">
        <f aca="false">IF(D27&lt;&gt;"",D27,Q26)</f>
        <v>0.66938114374378</v>
      </c>
      <c r="R27" s="69" t="n">
        <f aca="false">IF(Dashboard!$C$63,P27,R26)</f>
        <v>46174</v>
      </c>
      <c r="S27" s="193" t="n">
        <f aca="false">IF(AND(Dashboard!$C$63,E27&lt;&gt;""),E27,S26)</f>
        <v>0</v>
      </c>
      <c r="T27" s="69" t="n">
        <f aca="false">IF(AND(F27&lt;&gt;"",C27&lt;&gt;""),C27,T26)</f>
        <v>46295</v>
      </c>
      <c r="U27" s="193" t="n">
        <f aca="false">IF(AND(F27&lt;&gt;"",C27&lt;&gt;""),F27,U26)</f>
        <v>0.1878</v>
      </c>
      <c r="V27" s="69" t="n">
        <f aca="false">IF(ISNUMBER(G27),C27,V26)</f>
        <v>46387</v>
      </c>
      <c r="W27" s="193" t="n">
        <f aca="false">IF(ISNUMBER(G27),G27,W26)</f>
        <v>0.6119536271809</v>
      </c>
      <c r="X27" s="194" t="n">
        <f aca="false">IF(I27&lt;&gt;"",I27,X26)</f>
        <v>16199023.6785995</v>
      </c>
      <c r="Y27" s="194" t="n">
        <f aca="false">IF(AND(F27&lt;&gt;"",C27&lt;&gt;""),J27,Y26)</f>
        <v>4544760</v>
      </c>
      <c r="Z27" s="69" t="n">
        <f aca="false">IF(AND(K27&lt;&gt;"",C27&lt;&gt;""),C27,Z26)</f>
        <v>46285</v>
      </c>
      <c r="AA27" s="194" t="n">
        <f aca="false">IF(AND(K27&lt;&gt;"",C27&lt;&gt;""),L27,AA26)</f>
        <v>4634800</v>
      </c>
    </row>
    <row r="28" customFormat="false" ht="15" hidden="false" customHeight="false" outlineLevel="0" collapsed="false">
      <c r="A28" s="117" t="n">
        <f aca="false">IF(B28="","",ROW()-6)</f>
        <v>22</v>
      </c>
      <c r="B28" s="127" t="n">
        <f aca="false">IF(C27="","",IF(C27&gt;='ตั้งค่า Setup'!$C$111,"",C27+1))</f>
        <v>46388</v>
      </c>
      <c r="C28" s="127" t="n">
        <f aca="false">IF(B28="","",IF('ตั้งค่า Setup'!$C$16="รายสัปดาห์ / Weekly",B28+6,IF('ตั้งค่า Setup'!$C$16="รายเดือน / Monthly",EOMONTH(B28,0),IF(DAY(B28)&lt;=10,DATE(YEAR(B28),MONTH(B28),10),IF(DAY(B28)&lt;=20,DATE(YEAR(B28),MONTH(B28),20),EOMONTH(B28,0))))))</f>
        <v>46397</v>
      </c>
      <c r="D28" s="115" t="n">
        <f aca="false">IF(C28="","",SUMPRODUCT('แผนงาน Schedule'!$G$7:$G$156,('แผนงาน Schedule'!$J$7:$J$156&lt;=C28)+('แผนงาน Schedule'!$I$7:$I$156&lt;=C28)*('แผนงาน Schedule'!$J$7:$J$156&gt;C28)*(C28-'แผนงาน Schedule'!$I$7:$I$156+1)/('แผนงาน Schedule'!$J$7:$J$156-'แผนงาน Schedule'!$I$7:$I$156+1)))</f>
        <v>0.730831162864782</v>
      </c>
      <c r="E28" s="115" t="n">
        <f aca="false">IF(C28="","",SUMPRODUCT('แผนงาน Schedule'!$G$7:$G$156,('แผนงาน Schedule'!$AB$7:$AB$156&lt;=C28)+('แผนงาน Schedule'!$AA$7:$AA$156&lt;=C28)*('แผนงาน Schedule'!$AB$7:$AB$156&gt;C28)*(C28-'แผนงาน Schedule'!$AA$7:$AA$156+1)/('แผนงาน Schedule'!$AB$7:$AB$156-'แผนงาน Schedule'!$AA$7:$AA$156+1)))</f>
        <v>0.730831162864782</v>
      </c>
      <c r="F28" s="113"/>
      <c r="G28" s="115" t="n">
        <f aca="false">IF(OR(C28="",NOT(ISNUMBER(Dashboard!$C$27))),"",IF(C28&lt;Dashboard!$C$7,"",IF(Dashboard!$C$27&lt;=Dashboard!$C$7,1,MIN(1,Dashboard!$C$19+(1-Dashboard!$C$19)*(C28-Dashboard!$C$7)/(Dashboard!$C$27-Dashboard!$C$7)))))</f>
        <v>0.657075298438935</v>
      </c>
      <c r="H28" s="192" t="str">
        <f aca="false">IF(OR(F28="",D28=""),"",F28-D28)</f>
        <v/>
      </c>
      <c r="I28" s="182" t="n">
        <f aca="false">IF(D28="","",D28*'ตั้งค่า Setup'!$C$9)</f>
        <v>17686114.1413277</v>
      </c>
      <c r="J28" s="182" t="str">
        <f aca="false">IF(OR(C28="",F28=""),"",F28*'ตั้งค่า Setup'!$C$9)</f>
        <v/>
      </c>
      <c r="K28" s="23"/>
      <c r="L28" s="182" t="str">
        <f aca="false">IF(OR(C28="",K28=""),"",SUM(K$7:K28))</f>
        <v/>
      </c>
      <c r="M28" s="23"/>
      <c r="N28" s="182" t="str">
        <f aca="false">IF(OR(C28="",B28&gt;'ตั้งค่า Setup'!$C$15),"",SUM(M$7:M28))</f>
        <v/>
      </c>
      <c r="P28" s="69" t="n">
        <f aca="false">IF(C28&lt;&gt;"",C28,P27)</f>
        <v>46397</v>
      </c>
      <c r="Q28" s="193" t="n">
        <f aca="false">IF(D28&lt;&gt;"",D28,Q27)</f>
        <v>0.730831162864782</v>
      </c>
      <c r="R28" s="69" t="n">
        <f aca="false">IF(Dashboard!$C$63,P28,R27)</f>
        <v>46174</v>
      </c>
      <c r="S28" s="193" t="n">
        <f aca="false">IF(AND(Dashboard!$C$63,E28&lt;&gt;""),E28,S27)</f>
        <v>0</v>
      </c>
      <c r="T28" s="69" t="n">
        <f aca="false">IF(AND(F28&lt;&gt;"",C28&lt;&gt;""),C28,T27)</f>
        <v>46295</v>
      </c>
      <c r="U28" s="193" t="n">
        <f aca="false">IF(AND(F28&lt;&gt;"",C28&lt;&gt;""),F28,U27)</f>
        <v>0.1878</v>
      </c>
      <c r="V28" s="69" t="n">
        <f aca="false">IF(ISNUMBER(G28),C28,V27)</f>
        <v>46397</v>
      </c>
      <c r="W28" s="193" t="n">
        <f aca="false">IF(ISNUMBER(G28),G28,W27)</f>
        <v>0.657075298438935</v>
      </c>
      <c r="X28" s="194" t="n">
        <f aca="false">IF(I28&lt;&gt;"",I28,X27)</f>
        <v>17686114.1413277</v>
      </c>
      <c r="Y28" s="194" t="n">
        <f aca="false">IF(AND(F28&lt;&gt;"",C28&lt;&gt;""),J28,Y27)</f>
        <v>4544760</v>
      </c>
      <c r="Z28" s="69" t="n">
        <f aca="false">IF(AND(K28&lt;&gt;"",C28&lt;&gt;""),C28,Z27)</f>
        <v>46285</v>
      </c>
      <c r="AA28" s="194" t="n">
        <f aca="false">IF(AND(K28&lt;&gt;"",C28&lt;&gt;""),L28,AA27)</f>
        <v>4634800</v>
      </c>
    </row>
    <row r="29" customFormat="false" ht="15" hidden="false" customHeight="false" outlineLevel="0" collapsed="false">
      <c r="A29" s="117" t="n">
        <f aca="false">IF(B29="","",ROW()-6)</f>
        <v>23</v>
      </c>
      <c r="B29" s="127" t="n">
        <f aca="false">IF(C28="","",IF(C28&gt;='ตั้งค่า Setup'!$C$111,"",C28+1))</f>
        <v>46398</v>
      </c>
      <c r="C29" s="127" t="n">
        <f aca="false">IF(B29="","",IF('ตั้งค่า Setup'!$C$16="รายสัปดาห์ / Weekly",B29+6,IF('ตั้งค่า Setup'!$C$16="รายเดือน / Monthly",EOMONTH(B29,0),IF(DAY(B29)&lt;=10,DATE(YEAR(B29),MONTH(B29),10),IF(DAY(B29)&lt;=20,DATE(YEAR(B29),MONTH(B29),20),EOMONTH(B29,0))))))</f>
        <v>46407</v>
      </c>
      <c r="D29" s="115" t="n">
        <f aca="false">IF(C29="","",SUMPRODUCT('แผนงาน Schedule'!$G$7:$G$156,('แผนงาน Schedule'!$J$7:$J$156&lt;=C29)+('แผนงาน Schedule'!$I$7:$I$156&lt;=C29)*('แผนงาน Schedule'!$J$7:$J$156&gt;C29)*(C29-'แผนงาน Schedule'!$I$7:$I$156+1)/('แผนงาน Schedule'!$J$7:$J$156-'แผนงาน Schedule'!$I$7:$I$156+1)))</f>
        <v>0.781332008166477</v>
      </c>
      <c r="E29" s="115" t="n">
        <f aca="false">IF(C29="","",SUMPRODUCT('แผนงาน Schedule'!$G$7:$G$156,('แผนงาน Schedule'!$AB$7:$AB$156&lt;=C29)+('แผนงาน Schedule'!$AA$7:$AA$156&lt;=C29)*('แผนงาน Schedule'!$AB$7:$AB$156&gt;C29)*(C29-'แผนงาน Schedule'!$AA$7:$AA$156+1)/('แผนงาน Schedule'!$AB$7:$AB$156-'แผนงาน Schedule'!$AA$7:$AA$156+1)))</f>
        <v>0.781332008166477</v>
      </c>
      <c r="F29" s="113"/>
      <c r="G29" s="115" t="n">
        <f aca="false">IF(OR(C29="",NOT(ISNUMBER(Dashboard!$C$27))),"",IF(C29&lt;Dashboard!$C$7,"",IF(Dashboard!$C$27&lt;=Dashboard!$C$7,1,MIN(1,Dashboard!$C$19+(1-Dashboard!$C$19)*(C29-Dashboard!$C$7)/(Dashboard!$C$27-Dashboard!$C$7)))))</f>
        <v>0.70219696969697</v>
      </c>
      <c r="H29" s="192" t="str">
        <f aca="false">IF(OR(F29="",D29=""),"",F29-D29)</f>
        <v/>
      </c>
      <c r="I29" s="182" t="n">
        <f aca="false">IF(D29="","",D29*'ตั้งค่า Setup'!$C$9)</f>
        <v>18908234.5976287</v>
      </c>
      <c r="J29" s="182" t="str">
        <f aca="false">IF(OR(C29="",F29=""),"",F29*'ตั้งค่า Setup'!$C$9)</f>
        <v/>
      </c>
      <c r="K29" s="23"/>
      <c r="L29" s="182" t="str">
        <f aca="false">IF(OR(C29="",K29=""),"",SUM(K$7:K29))</f>
        <v/>
      </c>
      <c r="M29" s="23"/>
      <c r="N29" s="182" t="str">
        <f aca="false">IF(OR(C29="",B29&gt;'ตั้งค่า Setup'!$C$15),"",SUM(M$7:M29))</f>
        <v/>
      </c>
      <c r="P29" s="69" t="n">
        <f aca="false">IF(C29&lt;&gt;"",C29,P28)</f>
        <v>46407</v>
      </c>
      <c r="Q29" s="193" t="n">
        <f aca="false">IF(D29&lt;&gt;"",D29,Q28)</f>
        <v>0.781332008166477</v>
      </c>
      <c r="R29" s="69" t="n">
        <f aca="false">IF(Dashboard!$C$63,P29,R28)</f>
        <v>46174</v>
      </c>
      <c r="S29" s="193" t="n">
        <f aca="false">IF(AND(Dashboard!$C$63,E29&lt;&gt;""),E29,S28)</f>
        <v>0</v>
      </c>
      <c r="T29" s="69" t="n">
        <f aca="false">IF(AND(F29&lt;&gt;"",C29&lt;&gt;""),C29,T28)</f>
        <v>46295</v>
      </c>
      <c r="U29" s="193" t="n">
        <f aca="false">IF(AND(F29&lt;&gt;"",C29&lt;&gt;""),F29,U28)</f>
        <v>0.1878</v>
      </c>
      <c r="V29" s="69" t="n">
        <f aca="false">IF(ISNUMBER(G29),C29,V28)</f>
        <v>46407</v>
      </c>
      <c r="W29" s="193" t="n">
        <f aca="false">IF(ISNUMBER(G29),G29,W28)</f>
        <v>0.70219696969697</v>
      </c>
      <c r="X29" s="194" t="n">
        <f aca="false">IF(I29&lt;&gt;"",I29,X28)</f>
        <v>18908234.5976287</v>
      </c>
      <c r="Y29" s="194" t="n">
        <f aca="false">IF(AND(F29&lt;&gt;"",C29&lt;&gt;""),J29,Y28)</f>
        <v>4544760</v>
      </c>
      <c r="Z29" s="69" t="n">
        <f aca="false">IF(AND(K29&lt;&gt;"",C29&lt;&gt;""),C29,Z28)</f>
        <v>46285</v>
      </c>
      <c r="AA29" s="194" t="n">
        <f aca="false">IF(AND(K29&lt;&gt;"",C29&lt;&gt;""),L29,AA28)</f>
        <v>4634800</v>
      </c>
    </row>
    <row r="30" customFormat="false" ht="15" hidden="false" customHeight="false" outlineLevel="0" collapsed="false">
      <c r="A30" s="117" t="n">
        <f aca="false">IF(B30="","",ROW()-6)</f>
        <v>24</v>
      </c>
      <c r="B30" s="127" t="n">
        <f aca="false">IF(C29="","",IF(C29&gt;='ตั้งค่า Setup'!$C$111,"",C29+1))</f>
        <v>46408</v>
      </c>
      <c r="C30" s="127" t="n">
        <f aca="false">IF(B30="","",IF('ตั้งค่า Setup'!$C$16="รายสัปดาห์ / Weekly",B30+6,IF('ตั้งค่า Setup'!$C$16="รายเดือน / Monthly",EOMONTH(B30,0),IF(DAY(B30)&lt;=10,DATE(YEAR(B30),MONTH(B30),10),IF(DAY(B30)&lt;=20,DATE(YEAR(B30),MONTH(B30),20),EOMONTH(B30,0))))))</f>
        <v>46418</v>
      </c>
      <c r="D30" s="115" t="n">
        <f aca="false">IF(C30="","",SUMPRODUCT('แผนงาน Schedule'!$G$7:$G$156,('แผนงาน Schedule'!$J$7:$J$156&lt;=C30)+('แผนงาน Schedule'!$I$7:$I$156&lt;=C30)*('แผนงาน Schedule'!$J$7:$J$156&gt;C30)*(C30-'แผนงาน Schedule'!$I$7:$I$156+1)/('แผนงาน Schedule'!$J$7:$J$156-'แผนงาน Schedule'!$I$7:$I$156+1)))</f>
        <v>0.820190086466528</v>
      </c>
      <c r="E30" s="115" t="n">
        <f aca="false">IF(C30="","",SUMPRODUCT('แผนงาน Schedule'!$G$7:$G$156,('แผนงาน Schedule'!$AB$7:$AB$156&lt;=C30)+('แผนงาน Schedule'!$AA$7:$AA$156&lt;=C30)*('แผนงาน Schedule'!$AB$7:$AB$156&gt;C30)*(C30-'แผนงาน Schedule'!$AA$7:$AA$156+1)/('แผนงาน Schedule'!$AB$7:$AB$156-'แผนงาน Schedule'!$AA$7:$AA$156+1)))</f>
        <v>0.820190086466528</v>
      </c>
      <c r="F30" s="113"/>
      <c r="G30" s="115" t="n">
        <f aca="false">IF(OR(C30="",NOT(ISNUMBER(Dashboard!$C$27))),"",IF(C30&lt;Dashboard!$C$7,"",IF(Dashboard!$C$27&lt;=Dashboard!$C$7,1,MIN(1,Dashboard!$C$19+(1-Dashboard!$C$19)*(C30-Dashboard!$C$7)/(Dashboard!$C$27-Dashboard!$C$7)))))</f>
        <v>0.751830808080808</v>
      </c>
      <c r="H30" s="192" t="str">
        <f aca="false">IF(OR(F30="",D30=""),"",F30-D30)</f>
        <v/>
      </c>
      <c r="I30" s="182" t="n">
        <f aca="false">IF(D30="","",D30*'ตั้งค่า Setup'!$C$9)</f>
        <v>19848600.09249</v>
      </c>
      <c r="J30" s="182" t="str">
        <f aca="false">IF(OR(C30="",F30=""),"",F30*'ตั้งค่า Setup'!$C$9)</f>
        <v/>
      </c>
      <c r="K30" s="23"/>
      <c r="L30" s="182" t="str">
        <f aca="false">IF(OR(C30="",K30=""),"",SUM(K$7:K30))</f>
        <v/>
      </c>
      <c r="M30" s="23"/>
      <c r="N30" s="182" t="str">
        <f aca="false">IF(OR(C30="",B30&gt;'ตั้งค่า Setup'!$C$15),"",SUM(M$7:M30))</f>
        <v/>
      </c>
      <c r="P30" s="69" t="n">
        <f aca="false">IF(C30&lt;&gt;"",C30,P29)</f>
        <v>46418</v>
      </c>
      <c r="Q30" s="193" t="n">
        <f aca="false">IF(D30&lt;&gt;"",D30,Q29)</f>
        <v>0.820190086466528</v>
      </c>
      <c r="R30" s="69" t="n">
        <f aca="false">IF(Dashboard!$C$63,P30,R29)</f>
        <v>46174</v>
      </c>
      <c r="S30" s="193" t="n">
        <f aca="false">IF(AND(Dashboard!$C$63,E30&lt;&gt;""),E30,S29)</f>
        <v>0</v>
      </c>
      <c r="T30" s="69" t="n">
        <f aca="false">IF(AND(F30&lt;&gt;"",C30&lt;&gt;""),C30,T29)</f>
        <v>46295</v>
      </c>
      <c r="U30" s="193" t="n">
        <f aca="false">IF(AND(F30&lt;&gt;"",C30&lt;&gt;""),F30,U29)</f>
        <v>0.1878</v>
      </c>
      <c r="V30" s="69" t="n">
        <f aca="false">IF(ISNUMBER(G30),C30,V29)</f>
        <v>46418</v>
      </c>
      <c r="W30" s="193" t="n">
        <f aca="false">IF(ISNUMBER(G30),G30,W29)</f>
        <v>0.751830808080808</v>
      </c>
      <c r="X30" s="194" t="n">
        <f aca="false">IF(I30&lt;&gt;"",I30,X29)</f>
        <v>19848600.09249</v>
      </c>
      <c r="Y30" s="194" t="n">
        <f aca="false">IF(AND(F30&lt;&gt;"",C30&lt;&gt;""),J30,Y29)</f>
        <v>4544760</v>
      </c>
      <c r="Z30" s="69" t="n">
        <f aca="false">IF(AND(K30&lt;&gt;"",C30&lt;&gt;""),C30,Z29)</f>
        <v>46285</v>
      </c>
      <c r="AA30" s="194" t="n">
        <f aca="false">IF(AND(K30&lt;&gt;"",C30&lt;&gt;""),L30,AA29)</f>
        <v>4634800</v>
      </c>
    </row>
    <row r="31" customFormat="false" ht="15" hidden="false" customHeight="false" outlineLevel="0" collapsed="false">
      <c r="A31" s="117" t="n">
        <f aca="false">IF(B31="","",ROW()-6)</f>
        <v>25</v>
      </c>
      <c r="B31" s="127" t="n">
        <f aca="false">IF(C30="","",IF(C30&gt;='ตั้งค่า Setup'!$C$111,"",C30+1))</f>
        <v>46419</v>
      </c>
      <c r="C31" s="127" t="n">
        <f aca="false">IF(B31="","",IF('ตั้งค่า Setup'!$C$16="รายสัปดาห์ / Weekly",B31+6,IF('ตั้งค่า Setup'!$C$16="รายเดือน / Monthly",EOMONTH(B31,0),IF(DAY(B31)&lt;=10,DATE(YEAR(B31),MONTH(B31),10),IF(DAY(B31)&lt;=20,DATE(YEAR(B31),MONTH(B31),20),EOMONTH(B31,0))))))</f>
        <v>46428</v>
      </c>
      <c r="D31" s="115" t="n">
        <f aca="false">IF(C31="","",SUMPRODUCT('แผนงาน Schedule'!$G$7:$G$156,('แผนงาน Schedule'!$J$7:$J$156&lt;=C31)+('แผนงาน Schedule'!$I$7:$I$156&lt;=C31)*('แผนงาน Schedule'!$J$7:$J$156&gt;C31)*(C31-'แผนงาน Schedule'!$I$7:$I$156+1)/('แผนงาน Schedule'!$J$7:$J$156-'แผนงาน Schedule'!$I$7:$I$156+1)))</f>
        <v>0.87004427010381</v>
      </c>
      <c r="E31" s="115" t="n">
        <f aca="false">IF(C31="","",SUMPRODUCT('แผนงาน Schedule'!$G$7:$G$156,('แผนงาน Schedule'!$AB$7:$AB$156&lt;=C31)+('แผนงาน Schedule'!$AA$7:$AA$156&lt;=C31)*('แผนงาน Schedule'!$AB$7:$AB$156&gt;C31)*(C31-'แผนงาน Schedule'!$AA$7:$AA$156+1)/('แผนงาน Schedule'!$AB$7:$AB$156-'แผนงาน Schedule'!$AA$7:$AA$156+1)))</f>
        <v>0.87004427010381</v>
      </c>
      <c r="F31" s="113"/>
      <c r="G31" s="115" t="n">
        <f aca="false">IF(OR(C31="",NOT(ISNUMBER(Dashboard!$C$27))),"",IF(C31&lt;Dashboard!$C$7,"",IF(Dashboard!$C$27&lt;=Dashboard!$C$7,1,MIN(1,Dashboard!$C$19+(1-Dashboard!$C$19)*(C31-Dashboard!$C$7)/(Dashboard!$C$27-Dashboard!$C$7)))))</f>
        <v>0.796952479338843</v>
      </c>
      <c r="H31" s="192" t="str">
        <f aca="false">IF(OR(F31="",D31=""),"",F31-D31)</f>
        <v/>
      </c>
      <c r="I31" s="182" t="n">
        <f aca="false">IF(D31="","",D31*'ตั้งค่า Setup'!$C$9)</f>
        <v>21055071.3365122</v>
      </c>
      <c r="J31" s="182" t="str">
        <f aca="false">IF(OR(C31="",F31=""),"",F31*'ตั้งค่า Setup'!$C$9)</f>
        <v/>
      </c>
      <c r="K31" s="23"/>
      <c r="L31" s="182" t="str">
        <f aca="false">IF(OR(C31="",K31=""),"",SUM(K$7:K31))</f>
        <v/>
      </c>
      <c r="M31" s="23"/>
      <c r="N31" s="182" t="str">
        <f aca="false">IF(OR(C31="",B31&gt;'ตั้งค่า Setup'!$C$15),"",SUM(M$7:M31))</f>
        <v/>
      </c>
      <c r="P31" s="69" t="n">
        <f aca="false">IF(C31&lt;&gt;"",C31,P30)</f>
        <v>46428</v>
      </c>
      <c r="Q31" s="193" t="n">
        <f aca="false">IF(D31&lt;&gt;"",D31,Q30)</f>
        <v>0.87004427010381</v>
      </c>
      <c r="R31" s="69" t="n">
        <f aca="false">IF(Dashboard!$C$63,P31,R30)</f>
        <v>46174</v>
      </c>
      <c r="S31" s="193" t="n">
        <f aca="false">IF(AND(Dashboard!$C$63,E31&lt;&gt;""),E31,S30)</f>
        <v>0</v>
      </c>
      <c r="T31" s="69" t="n">
        <f aca="false">IF(AND(F31&lt;&gt;"",C31&lt;&gt;""),C31,T30)</f>
        <v>46295</v>
      </c>
      <c r="U31" s="193" t="n">
        <f aca="false">IF(AND(F31&lt;&gt;"",C31&lt;&gt;""),F31,U30)</f>
        <v>0.1878</v>
      </c>
      <c r="V31" s="69" t="n">
        <f aca="false">IF(ISNUMBER(G31),C31,V30)</f>
        <v>46428</v>
      </c>
      <c r="W31" s="193" t="n">
        <f aca="false">IF(ISNUMBER(G31),G31,W30)</f>
        <v>0.796952479338843</v>
      </c>
      <c r="X31" s="194" t="n">
        <f aca="false">IF(I31&lt;&gt;"",I31,X30)</f>
        <v>21055071.3365122</v>
      </c>
      <c r="Y31" s="194" t="n">
        <f aca="false">IF(AND(F31&lt;&gt;"",C31&lt;&gt;""),J31,Y30)</f>
        <v>4544760</v>
      </c>
      <c r="Z31" s="69" t="n">
        <f aca="false">IF(AND(K31&lt;&gt;"",C31&lt;&gt;""),C31,Z30)</f>
        <v>46285</v>
      </c>
      <c r="AA31" s="194" t="n">
        <f aca="false">IF(AND(K31&lt;&gt;"",C31&lt;&gt;""),L31,AA30)</f>
        <v>4634800</v>
      </c>
    </row>
    <row r="32" customFormat="false" ht="15" hidden="false" customHeight="false" outlineLevel="0" collapsed="false">
      <c r="A32" s="117" t="n">
        <f aca="false">IF(B32="","",ROW()-6)</f>
        <v>26</v>
      </c>
      <c r="B32" s="127" t="n">
        <f aca="false">IF(C31="","",IF(C31&gt;='ตั้งค่า Setup'!$C$111,"",C31+1))</f>
        <v>46429</v>
      </c>
      <c r="C32" s="127" t="n">
        <f aca="false">IF(B32="","",IF('ตั้งค่า Setup'!$C$16="รายสัปดาห์ / Weekly",B32+6,IF('ตั้งค่า Setup'!$C$16="รายเดือน / Monthly",EOMONTH(B32,0),IF(DAY(B32)&lt;=10,DATE(YEAR(B32),MONTH(B32),10),IF(DAY(B32)&lt;=20,DATE(YEAR(B32),MONTH(B32),20),EOMONTH(B32,0))))))</f>
        <v>46438</v>
      </c>
      <c r="D32" s="115" t="n">
        <f aca="false">IF(C32="","",SUMPRODUCT('แผนงาน Schedule'!$G$7:$G$156,('แผนงาน Schedule'!$J$7:$J$156&lt;=C32)+('แผนงาน Schedule'!$I$7:$I$156&lt;=C32)*('แผนงาน Schedule'!$J$7:$J$156&gt;C32)*(C32-'แผนงาน Schedule'!$I$7:$I$156+1)/('แผนงาน Schedule'!$J$7:$J$156-'แผนงาน Schedule'!$I$7:$I$156+1)))</f>
        <v>0.908906456794594</v>
      </c>
      <c r="E32" s="115" t="n">
        <f aca="false">IF(C32="","",SUMPRODUCT('แผนงาน Schedule'!$G$7:$G$156,('แผนงาน Schedule'!$AB$7:$AB$156&lt;=C32)+('แผนงาน Schedule'!$AA$7:$AA$156&lt;=C32)*('แผนงาน Schedule'!$AB$7:$AB$156&gt;C32)*(C32-'แผนงาน Schedule'!$AA$7:$AA$156+1)/('แผนงาน Schedule'!$AB$7:$AB$156-'แผนงาน Schedule'!$AA$7:$AA$156+1)))</f>
        <v>0.908906456794594</v>
      </c>
      <c r="F32" s="113"/>
      <c r="G32" s="115" t="n">
        <f aca="false">IF(OR(C32="",NOT(ISNUMBER(Dashboard!$C$27))),"",IF(C32&lt;Dashboard!$C$7,"",IF(Dashboard!$C$27&lt;=Dashboard!$C$7,1,MIN(1,Dashboard!$C$19+(1-Dashboard!$C$19)*(C32-Dashboard!$C$7)/(Dashboard!$C$27-Dashboard!$C$7)))))</f>
        <v>0.842074150596878</v>
      </c>
      <c r="H32" s="192" t="str">
        <f aca="false">IF(OR(F32="",D32=""),"",F32-D32)</f>
        <v/>
      </c>
      <c r="I32" s="182" t="n">
        <f aca="false">IF(D32="","",D32*'ตั้งค่า Setup'!$C$9)</f>
        <v>21995536.2544292</v>
      </c>
      <c r="J32" s="182" t="str">
        <f aca="false">IF(OR(C32="",F32=""),"",F32*'ตั้งค่า Setup'!$C$9)</f>
        <v/>
      </c>
      <c r="K32" s="23"/>
      <c r="L32" s="182" t="str">
        <f aca="false">IF(OR(C32="",K32=""),"",SUM(K$7:K32))</f>
        <v/>
      </c>
      <c r="M32" s="23"/>
      <c r="N32" s="182" t="str">
        <f aca="false">IF(OR(C32="",B32&gt;'ตั้งค่า Setup'!$C$15),"",SUM(M$7:M32))</f>
        <v/>
      </c>
      <c r="P32" s="69" t="n">
        <f aca="false">IF(C32&lt;&gt;"",C32,P31)</f>
        <v>46438</v>
      </c>
      <c r="Q32" s="193" t="n">
        <f aca="false">IF(D32&lt;&gt;"",D32,Q31)</f>
        <v>0.908906456794594</v>
      </c>
      <c r="R32" s="69" t="n">
        <f aca="false">IF(Dashboard!$C$63,P32,R31)</f>
        <v>46174</v>
      </c>
      <c r="S32" s="193" t="n">
        <f aca="false">IF(AND(Dashboard!$C$63,E32&lt;&gt;""),E32,S31)</f>
        <v>0</v>
      </c>
      <c r="T32" s="69" t="n">
        <f aca="false">IF(AND(F32&lt;&gt;"",C32&lt;&gt;""),C32,T31)</f>
        <v>46295</v>
      </c>
      <c r="U32" s="193" t="n">
        <f aca="false">IF(AND(F32&lt;&gt;"",C32&lt;&gt;""),F32,U31)</f>
        <v>0.1878</v>
      </c>
      <c r="V32" s="69" t="n">
        <f aca="false">IF(ISNUMBER(G32),C32,V31)</f>
        <v>46438</v>
      </c>
      <c r="W32" s="193" t="n">
        <f aca="false">IF(ISNUMBER(G32),G32,W31)</f>
        <v>0.842074150596878</v>
      </c>
      <c r="X32" s="194" t="n">
        <f aca="false">IF(I32&lt;&gt;"",I32,X31)</f>
        <v>21995536.2544292</v>
      </c>
      <c r="Y32" s="194" t="n">
        <f aca="false">IF(AND(F32&lt;&gt;"",C32&lt;&gt;""),J32,Y31)</f>
        <v>4544760</v>
      </c>
      <c r="Z32" s="69" t="n">
        <f aca="false">IF(AND(K32&lt;&gt;"",C32&lt;&gt;""),C32,Z31)</f>
        <v>46285</v>
      </c>
      <c r="AA32" s="194" t="n">
        <f aca="false">IF(AND(K32&lt;&gt;"",C32&lt;&gt;""),L32,AA31)</f>
        <v>4634800</v>
      </c>
    </row>
    <row r="33" customFormat="false" ht="15" hidden="false" customHeight="false" outlineLevel="0" collapsed="false">
      <c r="A33" s="117" t="n">
        <f aca="false">IF(B33="","",ROW()-6)</f>
        <v>27</v>
      </c>
      <c r="B33" s="127" t="n">
        <f aca="false">IF(C32="","",IF(C32&gt;='ตั้งค่า Setup'!$C$111,"",C32+1))</f>
        <v>46439</v>
      </c>
      <c r="C33" s="127" t="n">
        <f aca="false">IF(B33="","",IF('ตั้งค่า Setup'!$C$16="รายสัปดาห์ / Weekly",B33+6,IF('ตั้งค่า Setup'!$C$16="รายเดือน / Monthly",EOMONTH(B33,0),IF(DAY(B33)&lt;=10,DATE(YEAR(B33),MONTH(B33),10),IF(DAY(B33)&lt;=20,DATE(YEAR(B33),MONTH(B33),20),EOMONTH(B33,0))))))</f>
        <v>46446</v>
      </c>
      <c r="D33" s="115" t="n">
        <f aca="false">IF(C33="","",SUMPRODUCT('แผนงาน Schedule'!$G$7:$G$156,('แผนงาน Schedule'!$J$7:$J$156&lt;=C33)+('แผนงาน Schedule'!$I$7:$I$156&lt;=C33)*('แผนงาน Schedule'!$J$7:$J$156&gt;C33)*(C33-'แผนงาน Schedule'!$I$7:$I$156+1)/('แผนงาน Schedule'!$J$7:$J$156-'แผนงาน Schedule'!$I$7:$I$156+1)))</f>
        <v>0.938019921562241</v>
      </c>
      <c r="E33" s="115" t="n">
        <f aca="false">IF(C33="","",SUMPRODUCT('แผนงาน Schedule'!$G$7:$G$156,('แผนงาน Schedule'!$AB$7:$AB$156&lt;=C33)+('แผนงาน Schedule'!$AA$7:$AA$156&lt;=C33)*('แผนงาน Schedule'!$AB$7:$AB$156&gt;C33)*(C33-'แผนงาน Schedule'!$AA$7:$AA$156+1)/('แผนงาน Schedule'!$AB$7:$AB$156-'แผนงาน Schedule'!$AA$7:$AA$156+1)))</f>
        <v>0.938019921562241</v>
      </c>
      <c r="F33" s="113"/>
      <c r="G33" s="115" t="n">
        <f aca="false">IF(OR(C33="",NOT(ISNUMBER(Dashboard!$C$27))),"",IF(C33&lt;Dashboard!$C$7,"",IF(Dashboard!$C$27&lt;=Dashboard!$C$7,1,MIN(1,Dashboard!$C$19+(1-Dashboard!$C$19)*(C33-Dashboard!$C$7)/(Dashboard!$C$27-Dashboard!$C$7)))))</f>
        <v>0.878171487603306</v>
      </c>
      <c r="H33" s="192" t="str">
        <f aca="false">IF(OR(F33="",D33=""),"",F33-D33)</f>
        <v/>
      </c>
      <c r="I33" s="182" t="n">
        <f aca="false">IF(D33="","",D33*'ตั้งค่า Setup'!$C$9)</f>
        <v>22700082.1018062</v>
      </c>
      <c r="J33" s="182" t="str">
        <f aca="false">IF(OR(C33="",F33=""),"",F33*'ตั้งค่า Setup'!$C$9)</f>
        <v/>
      </c>
      <c r="K33" s="23"/>
      <c r="L33" s="182" t="str">
        <f aca="false">IF(OR(C33="",K33=""),"",SUM(K$7:K33))</f>
        <v/>
      </c>
      <c r="M33" s="23"/>
      <c r="N33" s="182" t="str">
        <f aca="false">IF(OR(C33="",B33&gt;'ตั้งค่า Setup'!$C$15),"",SUM(M$7:M33))</f>
        <v/>
      </c>
      <c r="P33" s="69" t="n">
        <f aca="false">IF(C33&lt;&gt;"",C33,P32)</f>
        <v>46446</v>
      </c>
      <c r="Q33" s="193" t="n">
        <f aca="false">IF(D33&lt;&gt;"",D33,Q32)</f>
        <v>0.938019921562241</v>
      </c>
      <c r="R33" s="69" t="n">
        <f aca="false">IF(Dashboard!$C$63,P33,R32)</f>
        <v>46174</v>
      </c>
      <c r="S33" s="193" t="n">
        <f aca="false">IF(AND(Dashboard!$C$63,E33&lt;&gt;""),E33,S32)</f>
        <v>0</v>
      </c>
      <c r="T33" s="69" t="n">
        <f aca="false">IF(AND(F33&lt;&gt;"",C33&lt;&gt;""),C33,T32)</f>
        <v>46295</v>
      </c>
      <c r="U33" s="193" t="n">
        <f aca="false">IF(AND(F33&lt;&gt;"",C33&lt;&gt;""),F33,U32)</f>
        <v>0.1878</v>
      </c>
      <c r="V33" s="69" t="n">
        <f aca="false">IF(ISNUMBER(G33),C33,V32)</f>
        <v>46446</v>
      </c>
      <c r="W33" s="193" t="n">
        <f aca="false">IF(ISNUMBER(G33),G33,W32)</f>
        <v>0.878171487603306</v>
      </c>
      <c r="X33" s="194" t="n">
        <f aca="false">IF(I33&lt;&gt;"",I33,X32)</f>
        <v>22700082.1018062</v>
      </c>
      <c r="Y33" s="194" t="n">
        <f aca="false">IF(AND(F33&lt;&gt;"",C33&lt;&gt;""),J33,Y32)</f>
        <v>4544760</v>
      </c>
      <c r="Z33" s="69" t="n">
        <f aca="false">IF(AND(K33&lt;&gt;"",C33&lt;&gt;""),C33,Z32)</f>
        <v>46285</v>
      </c>
      <c r="AA33" s="194" t="n">
        <f aca="false">IF(AND(K33&lt;&gt;"",C33&lt;&gt;""),L33,AA32)</f>
        <v>4634800</v>
      </c>
    </row>
    <row r="34" customFormat="false" ht="15" hidden="false" customHeight="false" outlineLevel="0" collapsed="false">
      <c r="A34" s="117" t="n">
        <f aca="false">IF(B34="","",ROW()-6)</f>
        <v>28</v>
      </c>
      <c r="B34" s="127" t="n">
        <f aca="false">IF(C33="","",IF(C33&gt;='ตั้งค่า Setup'!$C$111,"",C33+1))</f>
        <v>46447</v>
      </c>
      <c r="C34" s="127" t="n">
        <f aca="false">IF(B34="","",IF('ตั้งค่า Setup'!$C$16="รายสัปดาห์ / Weekly",B34+6,IF('ตั้งค่า Setup'!$C$16="รายเดือน / Monthly",EOMONTH(B34,0),IF(DAY(B34)&lt;=10,DATE(YEAR(B34),MONTH(B34),10),IF(DAY(B34)&lt;=20,DATE(YEAR(B34),MONTH(B34),20),EOMONTH(B34,0))))))</f>
        <v>46456</v>
      </c>
      <c r="D34" s="115" t="n">
        <f aca="false">IF(C34="","",SUMPRODUCT('แผนงาน Schedule'!$G$7:$G$156,('แผนงาน Schedule'!$J$7:$J$156&lt;=C34)+('แผนงาน Schedule'!$I$7:$I$156&lt;=C34)*('แผนงาน Schedule'!$J$7:$J$156&gt;C34)*(C34-'แผนงาน Schedule'!$I$7:$I$156+1)/('แผนงาน Schedule'!$J$7:$J$156-'แผนงาน Schedule'!$I$7:$I$156+1)))</f>
        <v>0.966401023219205</v>
      </c>
      <c r="E34" s="115" t="n">
        <f aca="false">IF(C34="","",SUMPRODUCT('แผนงาน Schedule'!$G$7:$G$156,('แผนงาน Schedule'!$AB$7:$AB$156&lt;=C34)+('แผนงาน Schedule'!$AA$7:$AA$156&lt;=C34)*('แผนงาน Schedule'!$AB$7:$AB$156&gt;C34)*(C34-'แผนงาน Schedule'!$AA$7:$AA$156+1)/('แผนงาน Schedule'!$AB$7:$AB$156-'แผนงาน Schedule'!$AA$7:$AA$156+1)))</f>
        <v>0.966401023219205</v>
      </c>
      <c r="F34" s="113"/>
      <c r="G34" s="115" t="n">
        <f aca="false">IF(OR(C34="",NOT(ISNUMBER(Dashboard!$C$27))),"",IF(C34&lt;Dashboard!$C$7,"",IF(Dashboard!$C$27&lt;=Dashboard!$C$7,1,MIN(1,Dashboard!$C$19+(1-Dashboard!$C$19)*(C34-Dashboard!$C$7)/(Dashboard!$C$27-Dashboard!$C$7)))))</f>
        <v>0.923293158861341</v>
      </c>
      <c r="H34" s="192" t="str">
        <f aca="false">IF(OR(F34="",D34=""),"",F34-D34)</f>
        <v/>
      </c>
      <c r="I34" s="182" t="n">
        <f aca="false">IF(D34="","",D34*'ตั้งค่า Setup'!$C$9)</f>
        <v>23386904.7619048</v>
      </c>
      <c r="J34" s="182" t="str">
        <f aca="false">IF(OR(C34="",F34=""),"",F34*'ตั้งค่า Setup'!$C$9)</f>
        <v/>
      </c>
      <c r="K34" s="23"/>
      <c r="L34" s="182" t="str">
        <f aca="false">IF(OR(C34="",K34=""),"",SUM(K$7:K34))</f>
        <v/>
      </c>
      <c r="M34" s="23"/>
      <c r="N34" s="182" t="str">
        <f aca="false">IF(OR(C34="",B34&gt;'ตั้งค่า Setup'!$C$15),"",SUM(M$7:M34))</f>
        <v/>
      </c>
      <c r="P34" s="69" t="n">
        <f aca="false">IF(C34&lt;&gt;"",C34,P33)</f>
        <v>46456</v>
      </c>
      <c r="Q34" s="193" t="n">
        <f aca="false">IF(D34&lt;&gt;"",D34,Q33)</f>
        <v>0.966401023219205</v>
      </c>
      <c r="R34" s="69" t="n">
        <f aca="false">IF(Dashboard!$C$63,P34,R33)</f>
        <v>46174</v>
      </c>
      <c r="S34" s="193" t="n">
        <f aca="false">IF(AND(Dashboard!$C$63,E34&lt;&gt;""),E34,S33)</f>
        <v>0</v>
      </c>
      <c r="T34" s="69" t="n">
        <f aca="false">IF(AND(F34&lt;&gt;"",C34&lt;&gt;""),C34,T33)</f>
        <v>46295</v>
      </c>
      <c r="U34" s="193" t="n">
        <f aca="false">IF(AND(F34&lt;&gt;"",C34&lt;&gt;""),F34,U33)</f>
        <v>0.1878</v>
      </c>
      <c r="V34" s="69" t="n">
        <f aca="false">IF(ISNUMBER(G34),C34,V33)</f>
        <v>46456</v>
      </c>
      <c r="W34" s="193" t="n">
        <f aca="false">IF(ISNUMBER(G34),G34,W33)</f>
        <v>0.923293158861341</v>
      </c>
      <c r="X34" s="194" t="n">
        <f aca="false">IF(I34&lt;&gt;"",I34,X33)</f>
        <v>23386904.7619048</v>
      </c>
      <c r="Y34" s="194" t="n">
        <f aca="false">IF(AND(F34&lt;&gt;"",C34&lt;&gt;""),J34,Y33)</f>
        <v>4544760</v>
      </c>
      <c r="Z34" s="69" t="n">
        <f aca="false">IF(AND(K34&lt;&gt;"",C34&lt;&gt;""),C34,Z33)</f>
        <v>46285</v>
      </c>
      <c r="AA34" s="194" t="n">
        <f aca="false">IF(AND(K34&lt;&gt;"",C34&lt;&gt;""),L34,AA33)</f>
        <v>4634800</v>
      </c>
    </row>
    <row r="35" customFormat="false" ht="15" hidden="false" customHeight="false" outlineLevel="0" collapsed="false">
      <c r="A35" s="117" t="n">
        <f aca="false">IF(B35="","",ROW()-6)</f>
        <v>29</v>
      </c>
      <c r="B35" s="127" t="n">
        <f aca="false">IF(C34="","",IF(C34&gt;='ตั้งค่า Setup'!$C$111,"",C34+1))</f>
        <v>46457</v>
      </c>
      <c r="C35" s="127" t="n">
        <f aca="false">IF(B35="","",IF('ตั้งค่า Setup'!$C$16="รายสัปดาห์ / Weekly",B35+6,IF('ตั้งค่า Setup'!$C$16="รายเดือน / Monthly",EOMONTH(B35,0),IF(DAY(B35)&lt;=10,DATE(YEAR(B35),MONTH(B35),10),IF(DAY(B35)&lt;=20,DATE(YEAR(B35),MONTH(B35),20),EOMONTH(B35,0))))))</f>
        <v>46466</v>
      </c>
      <c r="D35" s="115" t="n">
        <f aca="false">IF(C35="","",SUMPRODUCT('แผนงาน Schedule'!$G$7:$G$156,('แผนงาน Schedule'!$J$7:$J$156&lt;=C35)+('แผนงาน Schedule'!$I$7:$I$156&lt;=C35)*('แผนงาน Schedule'!$J$7:$J$156&gt;C35)*(C35-'แผนงาน Schedule'!$I$7:$I$156+1)/('แผนงาน Schedule'!$J$7:$J$156-'แผนงาน Schedule'!$I$7:$I$156+1)))</f>
        <v>0.995179063360882</v>
      </c>
      <c r="E35" s="115" t="n">
        <f aca="false">IF(C35="","",SUMPRODUCT('แผนงาน Schedule'!$G$7:$G$156,('แผนงาน Schedule'!$AB$7:$AB$156&lt;=C35)+('แผนงาน Schedule'!$AA$7:$AA$156&lt;=C35)*('แผนงาน Schedule'!$AB$7:$AB$156&gt;C35)*(C35-'แผนงาน Schedule'!$AA$7:$AA$156+1)/('แผนงาน Schedule'!$AB$7:$AB$156-'แผนงาน Schedule'!$AA$7:$AA$156+1)))</f>
        <v>0.995179063360882</v>
      </c>
      <c r="F35" s="113"/>
      <c r="G35" s="115" t="n">
        <f aca="false">IF(OR(C35="",NOT(ISNUMBER(Dashboard!$C$27))),"",IF(C35&lt;Dashboard!$C$7,"",IF(Dashboard!$C$27&lt;=Dashboard!$C$7,1,MIN(1,Dashboard!$C$19+(1-Dashboard!$C$19)*(C35-Dashboard!$C$7)/(Dashboard!$C$27-Dashboard!$C$7)))))</f>
        <v>0.968414830119376</v>
      </c>
      <c r="H35" s="192" t="str">
        <f aca="false">IF(OR(F35="",D35=""),"",F35-D35)</f>
        <v/>
      </c>
      <c r="I35" s="182" t="n">
        <f aca="false">IF(D35="","",D35*'ตั้งค่า Setup'!$C$9)</f>
        <v>24083333.3333333</v>
      </c>
      <c r="J35" s="182" t="str">
        <f aca="false">IF(OR(C35="",F35=""),"",F35*'ตั้งค่า Setup'!$C$9)</f>
        <v/>
      </c>
      <c r="K35" s="23"/>
      <c r="L35" s="182" t="str">
        <f aca="false">IF(OR(C35="",K35=""),"",SUM(K$7:K35))</f>
        <v/>
      </c>
      <c r="M35" s="23"/>
      <c r="N35" s="182" t="str">
        <f aca="false">IF(OR(C35="",B35&gt;'ตั้งค่า Setup'!$C$15),"",SUM(M$7:M35))</f>
        <v/>
      </c>
      <c r="P35" s="69" t="n">
        <f aca="false">IF(C35&lt;&gt;"",C35,P34)</f>
        <v>46466</v>
      </c>
      <c r="Q35" s="193" t="n">
        <f aca="false">IF(D35&lt;&gt;"",D35,Q34)</f>
        <v>0.995179063360882</v>
      </c>
      <c r="R35" s="69" t="n">
        <f aca="false">IF(Dashboard!$C$63,P35,R34)</f>
        <v>46174</v>
      </c>
      <c r="S35" s="193" t="n">
        <f aca="false">IF(AND(Dashboard!$C$63,E35&lt;&gt;""),E35,S34)</f>
        <v>0</v>
      </c>
      <c r="T35" s="69" t="n">
        <f aca="false">IF(AND(F35&lt;&gt;"",C35&lt;&gt;""),C35,T34)</f>
        <v>46295</v>
      </c>
      <c r="U35" s="193" t="n">
        <f aca="false">IF(AND(F35&lt;&gt;"",C35&lt;&gt;""),F35,U34)</f>
        <v>0.1878</v>
      </c>
      <c r="V35" s="69" t="n">
        <f aca="false">IF(ISNUMBER(G35),C35,V34)</f>
        <v>46466</v>
      </c>
      <c r="W35" s="193" t="n">
        <f aca="false">IF(ISNUMBER(G35),G35,W34)</f>
        <v>0.968414830119376</v>
      </c>
      <c r="X35" s="194" t="n">
        <f aca="false">IF(I35&lt;&gt;"",I35,X34)</f>
        <v>24083333.3333333</v>
      </c>
      <c r="Y35" s="194" t="n">
        <f aca="false">IF(AND(F35&lt;&gt;"",C35&lt;&gt;""),J35,Y34)</f>
        <v>4544760</v>
      </c>
      <c r="Z35" s="69" t="n">
        <f aca="false">IF(AND(K35&lt;&gt;"",C35&lt;&gt;""),C35,Z34)</f>
        <v>46285</v>
      </c>
      <c r="AA35" s="194" t="n">
        <f aca="false">IF(AND(K35&lt;&gt;"",C35&lt;&gt;""),L35,AA34)</f>
        <v>4634800</v>
      </c>
    </row>
    <row r="36" customFormat="false" ht="15" hidden="false" customHeight="false" outlineLevel="0" collapsed="false">
      <c r="A36" s="117" t="n">
        <f aca="false">IF(B36="","",ROW()-6)</f>
        <v>30</v>
      </c>
      <c r="B36" s="127" t="n">
        <f aca="false">IF(C35="","",IF(C35&gt;='ตั้งค่า Setup'!$C$111,"",C35+1))</f>
        <v>46467</v>
      </c>
      <c r="C36" s="127" t="n">
        <f aca="false">IF(B36="","",IF('ตั้งค่า Setup'!$C$16="รายสัปดาห์ / Weekly",B36+6,IF('ตั้งค่า Setup'!$C$16="รายเดือน / Monthly",EOMONTH(B36,0),IF(DAY(B36)&lt;=10,DATE(YEAR(B36),MONTH(B36),10),IF(DAY(B36)&lt;=20,DATE(YEAR(B36),MONTH(B36),20),EOMONTH(B36,0))))))</f>
        <v>46477</v>
      </c>
      <c r="D36" s="115" t="n">
        <f aca="false">IF(C36="","",SUMPRODUCT('แผนงาน Schedule'!$G$7:$G$156,('แผนงาน Schedule'!$J$7:$J$156&lt;=C36)+('แผนงาน Schedule'!$I$7:$I$156&lt;=C36)*('แผนงาน Schedule'!$J$7:$J$156&gt;C36)*(C36-'แผนงาน Schedule'!$I$7:$I$156+1)/('แผนงาน Schedule'!$J$7:$J$156-'แผนงาน Schedule'!$I$7:$I$156+1)))</f>
        <v>1</v>
      </c>
      <c r="E36" s="115" t="n">
        <f aca="false">IF(C36="","",SUMPRODUCT('แผนงาน Schedule'!$G$7:$G$156,('แผนงาน Schedule'!$AB$7:$AB$156&lt;=C36)+('แผนงาน Schedule'!$AA$7:$AA$156&lt;=C36)*('แผนงาน Schedule'!$AB$7:$AB$156&gt;C36)*(C36-'แผนงาน Schedule'!$AA$7:$AA$156+1)/('แผนงาน Schedule'!$AB$7:$AB$156-'แผนงาน Schedule'!$AA$7:$AA$156+1)))</f>
        <v>1</v>
      </c>
      <c r="F36" s="113"/>
      <c r="G36" s="115" t="n">
        <f aca="false">IF(OR(C36="",NOT(ISNUMBER(Dashboard!$C$27))),"",IF(C36&lt;Dashboard!$C$7,"",IF(Dashboard!$C$27&lt;=Dashboard!$C$7,1,MIN(1,Dashboard!$C$19+(1-Dashboard!$C$19)*(C36-Dashboard!$C$7)/(Dashboard!$C$27-Dashboard!$C$7)))))</f>
        <v>1</v>
      </c>
      <c r="H36" s="192" t="str">
        <f aca="false">IF(OR(F36="",D36=""),"",F36-D36)</f>
        <v/>
      </c>
      <c r="I36" s="182" t="n">
        <f aca="false">IF(D36="","",D36*'ตั้งค่า Setup'!$C$9)</f>
        <v>24200000</v>
      </c>
      <c r="J36" s="182" t="str">
        <f aca="false">IF(OR(C36="",F36=""),"",F36*'ตั้งค่า Setup'!$C$9)</f>
        <v/>
      </c>
      <c r="K36" s="23"/>
      <c r="L36" s="182" t="str">
        <f aca="false">IF(OR(C36="",K36=""),"",SUM(K$7:K36))</f>
        <v/>
      </c>
      <c r="M36" s="23"/>
      <c r="N36" s="182" t="str">
        <f aca="false">IF(OR(C36="",B36&gt;'ตั้งค่า Setup'!$C$15),"",SUM(M$7:M36))</f>
        <v/>
      </c>
      <c r="P36" s="69" t="n">
        <f aca="false">IF(C36&lt;&gt;"",C36,P35)</f>
        <v>46477</v>
      </c>
      <c r="Q36" s="193" t="n">
        <f aca="false">IF(D36&lt;&gt;"",D36,Q35)</f>
        <v>1</v>
      </c>
      <c r="R36" s="69" t="n">
        <f aca="false">IF(Dashboard!$C$63,P36,R35)</f>
        <v>46174</v>
      </c>
      <c r="S36" s="193" t="n">
        <f aca="false">IF(AND(Dashboard!$C$63,E36&lt;&gt;""),E36,S35)</f>
        <v>0</v>
      </c>
      <c r="T36" s="69" t="n">
        <f aca="false">IF(AND(F36&lt;&gt;"",C36&lt;&gt;""),C36,T35)</f>
        <v>46295</v>
      </c>
      <c r="U36" s="193" t="n">
        <f aca="false">IF(AND(F36&lt;&gt;"",C36&lt;&gt;""),F36,U35)</f>
        <v>0.1878</v>
      </c>
      <c r="V36" s="69" t="n">
        <f aca="false">IF(ISNUMBER(G36),C36,V35)</f>
        <v>46477</v>
      </c>
      <c r="W36" s="193" t="n">
        <f aca="false">IF(ISNUMBER(G36),G36,W35)</f>
        <v>1</v>
      </c>
      <c r="X36" s="194" t="n">
        <f aca="false">IF(I36&lt;&gt;"",I36,X35)</f>
        <v>24200000</v>
      </c>
      <c r="Y36" s="194" t="n">
        <f aca="false">IF(AND(F36&lt;&gt;"",C36&lt;&gt;""),J36,Y35)</f>
        <v>4544760</v>
      </c>
      <c r="Z36" s="69" t="n">
        <f aca="false">IF(AND(K36&lt;&gt;"",C36&lt;&gt;""),C36,Z35)</f>
        <v>46285</v>
      </c>
      <c r="AA36" s="194" t="n">
        <f aca="false">IF(AND(K36&lt;&gt;"",C36&lt;&gt;""),L36,AA35)</f>
        <v>4634800</v>
      </c>
    </row>
    <row r="37" customFormat="false" ht="15" hidden="false" customHeight="false" outlineLevel="0" collapsed="false">
      <c r="A37" s="117" t="n">
        <f aca="false">IF(B37="","",ROW()-6)</f>
        <v>31</v>
      </c>
      <c r="B37" s="127" t="n">
        <f aca="false">IF(C36="","",IF(C36&gt;='ตั้งค่า Setup'!$C$111,"",C36+1))</f>
        <v>46478</v>
      </c>
      <c r="C37" s="127" t="n">
        <f aca="false">IF(B37="","",IF('ตั้งค่า Setup'!$C$16="รายสัปดาห์ / Weekly",B37+6,IF('ตั้งค่า Setup'!$C$16="รายเดือน / Monthly",EOMONTH(B37,0),IF(DAY(B37)&lt;=10,DATE(YEAR(B37),MONTH(B37),10),IF(DAY(B37)&lt;=20,DATE(YEAR(B37),MONTH(B37),20),EOMONTH(B37,0))))))</f>
        <v>46487</v>
      </c>
      <c r="D37" s="115" t="n">
        <f aca="false">IF(C37="","",SUMPRODUCT('แผนงาน Schedule'!$G$7:$G$156,('แผนงาน Schedule'!$J$7:$J$156&lt;=C37)+('แผนงาน Schedule'!$I$7:$I$156&lt;=C37)*('แผนงาน Schedule'!$J$7:$J$156&gt;C37)*(C37-'แผนงาน Schedule'!$I$7:$I$156+1)/('แผนงาน Schedule'!$J$7:$J$156-'แผนงาน Schedule'!$I$7:$I$156+1)))</f>
        <v>1</v>
      </c>
      <c r="E37" s="115" t="n">
        <f aca="false">IF(C37="","",SUMPRODUCT('แผนงาน Schedule'!$G$7:$G$156,('แผนงาน Schedule'!$AB$7:$AB$156&lt;=C37)+('แผนงาน Schedule'!$AA$7:$AA$156&lt;=C37)*('แผนงาน Schedule'!$AB$7:$AB$156&gt;C37)*(C37-'แผนงาน Schedule'!$AA$7:$AA$156+1)/('แผนงาน Schedule'!$AB$7:$AB$156-'แผนงาน Schedule'!$AA$7:$AA$156+1)))</f>
        <v>1</v>
      </c>
      <c r="F37" s="113"/>
      <c r="G37" s="115" t="n">
        <f aca="false">IF(OR(C37="",NOT(ISNUMBER(Dashboard!$C$27))),"",IF(C37&lt;Dashboard!$C$7,"",IF(Dashboard!$C$27&lt;=Dashboard!$C$7,1,MIN(1,Dashboard!$C$19+(1-Dashboard!$C$19)*(C37-Dashboard!$C$7)/(Dashboard!$C$27-Dashboard!$C$7)))))</f>
        <v>1</v>
      </c>
      <c r="H37" s="192" t="str">
        <f aca="false">IF(OR(F37="",D37=""),"",F37-D37)</f>
        <v/>
      </c>
      <c r="I37" s="182" t="n">
        <f aca="false">IF(D37="","",D37*'ตั้งค่า Setup'!$C$9)</f>
        <v>24200000</v>
      </c>
      <c r="J37" s="182" t="str">
        <f aca="false">IF(OR(C37="",F37=""),"",F37*'ตั้งค่า Setup'!$C$9)</f>
        <v/>
      </c>
      <c r="K37" s="23"/>
      <c r="L37" s="182" t="str">
        <f aca="false">IF(OR(C37="",K37=""),"",SUM(K$7:K37))</f>
        <v/>
      </c>
      <c r="M37" s="23"/>
      <c r="N37" s="182" t="str">
        <f aca="false">IF(OR(C37="",B37&gt;'ตั้งค่า Setup'!$C$15),"",SUM(M$7:M37))</f>
        <v/>
      </c>
      <c r="P37" s="69" t="n">
        <f aca="false">IF(C37&lt;&gt;"",C37,P36)</f>
        <v>46487</v>
      </c>
      <c r="Q37" s="193" t="n">
        <f aca="false">IF(D37&lt;&gt;"",D37,Q36)</f>
        <v>1</v>
      </c>
      <c r="R37" s="69" t="n">
        <f aca="false">IF(Dashboard!$C$63,P37,R36)</f>
        <v>46174</v>
      </c>
      <c r="S37" s="193" t="n">
        <f aca="false">IF(AND(Dashboard!$C$63,E37&lt;&gt;""),E37,S36)</f>
        <v>0</v>
      </c>
      <c r="T37" s="69" t="n">
        <f aca="false">IF(AND(F37&lt;&gt;"",C37&lt;&gt;""),C37,T36)</f>
        <v>46295</v>
      </c>
      <c r="U37" s="193" t="n">
        <f aca="false">IF(AND(F37&lt;&gt;"",C37&lt;&gt;""),F37,U36)</f>
        <v>0.1878</v>
      </c>
      <c r="V37" s="69" t="n">
        <f aca="false">IF(ISNUMBER(G37),C37,V36)</f>
        <v>46487</v>
      </c>
      <c r="W37" s="193" t="n">
        <f aca="false">IF(ISNUMBER(G37),G37,W36)</f>
        <v>1</v>
      </c>
      <c r="X37" s="194" t="n">
        <f aca="false">IF(I37&lt;&gt;"",I37,X36)</f>
        <v>24200000</v>
      </c>
      <c r="Y37" s="194" t="n">
        <f aca="false">IF(AND(F37&lt;&gt;"",C37&lt;&gt;""),J37,Y36)</f>
        <v>4544760</v>
      </c>
      <c r="Z37" s="69" t="n">
        <f aca="false">IF(AND(K37&lt;&gt;"",C37&lt;&gt;""),C37,Z36)</f>
        <v>46285</v>
      </c>
      <c r="AA37" s="194" t="n">
        <f aca="false">IF(AND(K37&lt;&gt;"",C37&lt;&gt;""),L37,AA36)</f>
        <v>4634800</v>
      </c>
    </row>
    <row r="38" customFormat="false" ht="15" hidden="false" customHeight="false" outlineLevel="0" collapsed="false">
      <c r="A38" s="117" t="str">
        <f aca="false">IF(B38="","",ROW()-6)</f>
        <v/>
      </c>
      <c r="B38" s="127" t="str">
        <f aca="false">IF(C37="","",IF(C37&gt;='ตั้งค่า Setup'!$C$111,"",C37+1))</f>
        <v/>
      </c>
      <c r="C38" s="127" t="str">
        <f aca="false">IF(B38="","",IF('ตั้งค่า Setup'!$C$16="รายสัปดาห์ / Weekly",B38+6,IF('ตั้งค่า Setup'!$C$16="รายเดือน / Monthly",EOMONTH(B38,0),IF(DAY(B38)&lt;=10,DATE(YEAR(B38),MONTH(B38),10),IF(DAY(B38)&lt;=20,DATE(YEAR(B38),MONTH(B38),20),EOMONTH(B38,0))))))</f>
        <v/>
      </c>
      <c r="D38" s="115" t="str">
        <f aca="false">IF(C38="","",SUMPRODUCT('แผนงาน Schedule'!$G$7:$G$156,('แผนงาน Schedule'!$J$7:$J$156&lt;=C38)+('แผนงาน Schedule'!$I$7:$I$156&lt;=C38)*('แผนงาน Schedule'!$J$7:$J$156&gt;C38)*(C38-'แผนงาน Schedule'!$I$7:$I$156+1)/('แผนงาน Schedule'!$J$7:$J$156-'แผนงาน Schedule'!$I$7:$I$156+1)))</f>
        <v/>
      </c>
      <c r="E38" s="115" t="str">
        <f aca="false">IF(C38="","",SUMPRODUCT('แผนงาน Schedule'!$G$7:$G$156,('แผนงาน Schedule'!$AB$7:$AB$156&lt;=C38)+('แผนงาน Schedule'!$AA$7:$AA$156&lt;=C38)*('แผนงาน Schedule'!$AB$7:$AB$156&gt;C38)*(C38-'แผนงาน Schedule'!$AA$7:$AA$156+1)/('แผนงาน Schedule'!$AB$7:$AB$156-'แผนงาน Schedule'!$AA$7:$AA$156+1)))</f>
        <v/>
      </c>
      <c r="F38" s="113"/>
      <c r="G38" s="115" t="str">
        <f aca="false">IF(OR(C38="",NOT(ISNUMBER(Dashboard!$C$27))),"",IF(C38&lt;Dashboard!$C$7,"",IF(Dashboard!$C$27&lt;=Dashboard!$C$7,1,MIN(1,Dashboard!$C$19+(1-Dashboard!$C$19)*(C38-Dashboard!$C$7)/(Dashboard!$C$27-Dashboard!$C$7)))))</f>
        <v/>
      </c>
      <c r="H38" s="192" t="str">
        <f aca="false">IF(OR(F38="",D38=""),"",F38-D38)</f>
        <v/>
      </c>
      <c r="I38" s="182" t="str">
        <f aca="false">IF(D38="","",D38*'ตั้งค่า Setup'!$C$9)</f>
        <v/>
      </c>
      <c r="J38" s="182" t="str">
        <f aca="false">IF(OR(C38="",F38=""),"",F38*'ตั้งค่า Setup'!$C$9)</f>
        <v/>
      </c>
      <c r="K38" s="23"/>
      <c r="L38" s="182" t="str">
        <f aca="false">IF(OR(C38="",K38=""),"",SUM(K$7:K38))</f>
        <v/>
      </c>
      <c r="M38" s="23"/>
      <c r="N38" s="182" t="str">
        <f aca="false">IF(OR(C38="",B38&gt;'ตั้งค่า Setup'!$C$15),"",SUM(M$7:M38))</f>
        <v/>
      </c>
      <c r="P38" s="69" t="n">
        <f aca="false">IF(C38&lt;&gt;"",C38,P37)</f>
        <v>46487</v>
      </c>
      <c r="Q38" s="193" t="n">
        <f aca="false">IF(D38&lt;&gt;"",D38,Q37)</f>
        <v>1</v>
      </c>
      <c r="R38" s="69" t="n">
        <f aca="false">IF(Dashboard!$C$63,P38,R37)</f>
        <v>46174</v>
      </c>
      <c r="S38" s="193" t="n">
        <f aca="false">IF(AND(Dashboard!$C$63,E38&lt;&gt;""),E38,S37)</f>
        <v>0</v>
      </c>
      <c r="T38" s="69" t="n">
        <f aca="false">IF(AND(F38&lt;&gt;"",C38&lt;&gt;""),C38,T37)</f>
        <v>46295</v>
      </c>
      <c r="U38" s="193" t="n">
        <f aca="false">IF(AND(F38&lt;&gt;"",C38&lt;&gt;""),F38,U37)</f>
        <v>0.1878</v>
      </c>
      <c r="V38" s="69" t="n">
        <f aca="false">IF(ISNUMBER(G38),C38,V37)</f>
        <v>46487</v>
      </c>
      <c r="W38" s="193" t="n">
        <f aca="false">IF(ISNUMBER(G38),G38,W37)</f>
        <v>1</v>
      </c>
      <c r="X38" s="194" t="n">
        <f aca="false">IF(I38&lt;&gt;"",I38,X37)</f>
        <v>24200000</v>
      </c>
      <c r="Y38" s="194" t="n">
        <f aca="false">IF(AND(F38&lt;&gt;"",C38&lt;&gt;""),J38,Y37)</f>
        <v>4544760</v>
      </c>
      <c r="Z38" s="69" t="n">
        <f aca="false">IF(AND(K38&lt;&gt;"",C38&lt;&gt;""),C38,Z37)</f>
        <v>46285</v>
      </c>
      <c r="AA38" s="194" t="n">
        <f aca="false">IF(AND(K38&lt;&gt;"",C38&lt;&gt;""),L38,AA37)</f>
        <v>4634800</v>
      </c>
    </row>
    <row r="39" customFormat="false" ht="15" hidden="false" customHeight="false" outlineLevel="0" collapsed="false">
      <c r="A39" s="117" t="str">
        <f aca="false">IF(B39="","",ROW()-6)</f>
        <v/>
      </c>
      <c r="B39" s="127" t="str">
        <f aca="false">IF(C38="","",IF(C38&gt;='ตั้งค่า Setup'!$C$111,"",C38+1))</f>
        <v/>
      </c>
      <c r="C39" s="127" t="str">
        <f aca="false">IF(B39="","",IF('ตั้งค่า Setup'!$C$16="รายสัปดาห์ / Weekly",B39+6,IF('ตั้งค่า Setup'!$C$16="รายเดือน / Monthly",EOMONTH(B39,0),IF(DAY(B39)&lt;=10,DATE(YEAR(B39),MONTH(B39),10),IF(DAY(B39)&lt;=20,DATE(YEAR(B39),MONTH(B39),20),EOMONTH(B39,0))))))</f>
        <v/>
      </c>
      <c r="D39" s="115" t="str">
        <f aca="false">IF(C39="","",SUMPRODUCT('แผนงาน Schedule'!$G$7:$G$156,('แผนงาน Schedule'!$J$7:$J$156&lt;=C39)+('แผนงาน Schedule'!$I$7:$I$156&lt;=C39)*('แผนงาน Schedule'!$J$7:$J$156&gt;C39)*(C39-'แผนงาน Schedule'!$I$7:$I$156+1)/('แผนงาน Schedule'!$J$7:$J$156-'แผนงาน Schedule'!$I$7:$I$156+1)))</f>
        <v/>
      </c>
      <c r="E39" s="115" t="str">
        <f aca="false">IF(C39="","",SUMPRODUCT('แผนงาน Schedule'!$G$7:$G$156,('แผนงาน Schedule'!$AB$7:$AB$156&lt;=C39)+('แผนงาน Schedule'!$AA$7:$AA$156&lt;=C39)*('แผนงาน Schedule'!$AB$7:$AB$156&gt;C39)*(C39-'แผนงาน Schedule'!$AA$7:$AA$156+1)/('แผนงาน Schedule'!$AB$7:$AB$156-'แผนงาน Schedule'!$AA$7:$AA$156+1)))</f>
        <v/>
      </c>
      <c r="F39" s="113"/>
      <c r="G39" s="115" t="str">
        <f aca="false">IF(OR(C39="",NOT(ISNUMBER(Dashboard!$C$27))),"",IF(C39&lt;Dashboard!$C$7,"",IF(Dashboard!$C$27&lt;=Dashboard!$C$7,1,MIN(1,Dashboard!$C$19+(1-Dashboard!$C$19)*(C39-Dashboard!$C$7)/(Dashboard!$C$27-Dashboard!$C$7)))))</f>
        <v/>
      </c>
      <c r="H39" s="192" t="str">
        <f aca="false">IF(OR(F39="",D39=""),"",F39-D39)</f>
        <v/>
      </c>
      <c r="I39" s="182" t="str">
        <f aca="false">IF(D39="","",D39*'ตั้งค่า Setup'!$C$9)</f>
        <v/>
      </c>
      <c r="J39" s="182" t="str">
        <f aca="false">IF(OR(C39="",F39=""),"",F39*'ตั้งค่า Setup'!$C$9)</f>
        <v/>
      </c>
      <c r="K39" s="23"/>
      <c r="L39" s="182" t="str">
        <f aca="false">IF(OR(C39="",K39=""),"",SUM(K$7:K39))</f>
        <v/>
      </c>
      <c r="M39" s="23"/>
      <c r="N39" s="182" t="str">
        <f aca="false">IF(OR(C39="",B39&gt;'ตั้งค่า Setup'!$C$15),"",SUM(M$7:M39))</f>
        <v/>
      </c>
      <c r="P39" s="69" t="n">
        <f aca="false">IF(C39&lt;&gt;"",C39,P38)</f>
        <v>46487</v>
      </c>
      <c r="Q39" s="193" t="n">
        <f aca="false">IF(D39&lt;&gt;"",D39,Q38)</f>
        <v>1</v>
      </c>
      <c r="R39" s="69" t="n">
        <f aca="false">IF(Dashboard!$C$63,P39,R38)</f>
        <v>46174</v>
      </c>
      <c r="S39" s="193" t="n">
        <f aca="false">IF(AND(Dashboard!$C$63,E39&lt;&gt;""),E39,S38)</f>
        <v>0</v>
      </c>
      <c r="T39" s="69" t="n">
        <f aca="false">IF(AND(F39&lt;&gt;"",C39&lt;&gt;""),C39,T38)</f>
        <v>46295</v>
      </c>
      <c r="U39" s="193" t="n">
        <f aca="false">IF(AND(F39&lt;&gt;"",C39&lt;&gt;""),F39,U38)</f>
        <v>0.1878</v>
      </c>
      <c r="V39" s="69" t="n">
        <f aca="false">IF(ISNUMBER(G39),C39,V38)</f>
        <v>46487</v>
      </c>
      <c r="W39" s="193" t="n">
        <f aca="false">IF(ISNUMBER(G39),G39,W38)</f>
        <v>1</v>
      </c>
      <c r="X39" s="194" t="n">
        <f aca="false">IF(I39&lt;&gt;"",I39,X38)</f>
        <v>24200000</v>
      </c>
      <c r="Y39" s="194" t="n">
        <f aca="false">IF(AND(F39&lt;&gt;"",C39&lt;&gt;""),J39,Y38)</f>
        <v>4544760</v>
      </c>
      <c r="Z39" s="69" t="n">
        <f aca="false">IF(AND(K39&lt;&gt;"",C39&lt;&gt;""),C39,Z38)</f>
        <v>46285</v>
      </c>
      <c r="AA39" s="194" t="n">
        <f aca="false">IF(AND(K39&lt;&gt;"",C39&lt;&gt;""),L39,AA38)</f>
        <v>4634800</v>
      </c>
    </row>
    <row r="40" customFormat="false" ht="15" hidden="false" customHeight="false" outlineLevel="0" collapsed="false">
      <c r="A40" s="117" t="str">
        <f aca="false">IF(B40="","",ROW()-6)</f>
        <v/>
      </c>
      <c r="B40" s="127" t="str">
        <f aca="false">IF(C39="","",IF(C39&gt;='ตั้งค่า Setup'!$C$111,"",C39+1))</f>
        <v/>
      </c>
      <c r="C40" s="127" t="str">
        <f aca="false">IF(B40="","",IF('ตั้งค่า Setup'!$C$16="รายสัปดาห์ / Weekly",B40+6,IF('ตั้งค่า Setup'!$C$16="รายเดือน / Monthly",EOMONTH(B40,0),IF(DAY(B40)&lt;=10,DATE(YEAR(B40),MONTH(B40),10),IF(DAY(B40)&lt;=20,DATE(YEAR(B40),MONTH(B40),20),EOMONTH(B40,0))))))</f>
        <v/>
      </c>
      <c r="D40" s="115" t="str">
        <f aca="false">IF(C40="","",SUMPRODUCT('แผนงาน Schedule'!$G$7:$G$156,('แผนงาน Schedule'!$J$7:$J$156&lt;=C40)+('แผนงาน Schedule'!$I$7:$I$156&lt;=C40)*('แผนงาน Schedule'!$J$7:$J$156&gt;C40)*(C40-'แผนงาน Schedule'!$I$7:$I$156+1)/('แผนงาน Schedule'!$J$7:$J$156-'แผนงาน Schedule'!$I$7:$I$156+1)))</f>
        <v/>
      </c>
      <c r="E40" s="115" t="str">
        <f aca="false">IF(C40="","",SUMPRODUCT('แผนงาน Schedule'!$G$7:$G$156,('แผนงาน Schedule'!$AB$7:$AB$156&lt;=C40)+('แผนงาน Schedule'!$AA$7:$AA$156&lt;=C40)*('แผนงาน Schedule'!$AB$7:$AB$156&gt;C40)*(C40-'แผนงาน Schedule'!$AA$7:$AA$156+1)/('แผนงาน Schedule'!$AB$7:$AB$156-'แผนงาน Schedule'!$AA$7:$AA$156+1)))</f>
        <v/>
      </c>
      <c r="F40" s="113"/>
      <c r="G40" s="115" t="str">
        <f aca="false">IF(OR(C40="",NOT(ISNUMBER(Dashboard!$C$27))),"",IF(C40&lt;Dashboard!$C$7,"",IF(Dashboard!$C$27&lt;=Dashboard!$C$7,1,MIN(1,Dashboard!$C$19+(1-Dashboard!$C$19)*(C40-Dashboard!$C$7)/(Dashboard!$C$27-Dashboard!$C$7)))))</f>
        <v/>
      </c>
      <c r="H40" s="192" t="str">
        <f aca="false">IF(OR(F40="",D40=""),"",F40-D40)</f>
        <v/>
      </c>
      <c r="I40" s="182" t="str">
        <f aca="false">IF(D40="","",D40*'ตั้งค่า Setup'!$C$9)</f>
        <v/>
      </c>
      <c r="J40" s="182" t="str">
        <f aca="false">IF(OR(C40="",F40=""),"",F40*'ตั้งค่า Setup'!$C$9)</f>
        <v/>
      </c>
      <c r="K40" s="23"/>
      <c r="L40" s="182" t="str">
        <f aca="false">IF(OR(C40="",K40=""),"",SUM(K$7:K40))</f>
        <v/>
      </c>
      <c r="M40" s="23"/>
      <c r="N40" s="182" t="str">
        <f aca="false">IF(OR(C40="",B40&gt;'ตั้งค่า Setup'!$C$15),"",SUM(M$7:M40))</f>
        <v/>
      </c>
      <c r="P40" s="69" t="n">
        <f aca="false">IF(C40&lt;&gt;"",C40,P39)</f>
        <v>46487</v>
      </c>
      <c r="Q40" s="193" t="n">
        <f aca="false">IF(D40&lt;&gt;"",D40,Q39)</f>
        <v>1</v>
      </c>
      <c r="R40" s="69" t="n">
        <f aca="false">IF(Dashboard!$C$63,P40,R39)</f>
        <v>46174</v>
      </c>
      <c r="S40" s="193" t="n">
        <f aca="false">IF(AND(Dashboard!$C$63,E40&lt;&gt;""),E40,S39)</f>
        <v>0</v>
      </c>
      <c r="T40" s="69" t="n">
        <f aca="false">IF(AND(F40&lt;&gt;"",C40&lt;&gt;""),C40,T39)</f>
        <v>46295</v>
      </c>
      <c r="U40" s="193" t="n">
        <f aca="false">IF(AND(F40&lt;&gt;"",C40&lt;&gt;""),F40,U39)</f>
        <v>0.1878</v>
      </c>
      <c r="V40" s="69" t="n">
        <f aca="false">IF(ISNUMBER(G40),C40,V39)</f>
        <v>46487</v>
      </c>
      <c r="W40" s="193" t="n">
        <f aca="false">IF(ISNUMBER(G40),G40,W39)</f>
        <v>1</v>
      </c>
      <c r="X40" s="194" t="n">
        <f aca="false">IF(I40&lt;&gt;"",I40,X39)</f>
        <v>24200000</v>
      </c>
      <c r="Y40" s="194" t="n">
        <f aca="false">IF(AND(F40&lt;&gt;"",C40&lt;&gt;""),J40,Y39)</f>
        <v>4544760</v>
      </c>
      <c r="Z40" s="69" t="n">
        <f aca="false">IF(AND(K40&lt;&gt;"",C40&lt;&gt;""),C40,Z39)</f>
        <v>46285</v>
      </c>
      <c r="AA40" s="194" t="n">
        <f aca="false">IF(AND(K40&lt;&gt;"",C40&lt;&gt;""),L40,AA39)</f>
        <v>4634800</v>
      </c>
    </row>
    <row r="41" customFormat="false" ht="15" hidden="false" customHeight="false" outlineLevel="0" collapsed="false">
      <c r="A41" s="117" t="str">
        <f aca="false">IF(B41="","",ROW()-6)</f>
        <v/>
      </c>
      <c r="B41" s="127" t="str">
        <f aca="false">IF(C40="","",IF(C40&gt;='ตั้งค่า Setup'!$C$111,"",C40+1))</f>
        <v/>
      </c>
      <c r="C41" s="127" t="str">
        <f aca="false">IF(B41="","",IF('ตั้งค่า Setup'!$C$16="รายสัปดาห์ / Weekly",B41+6,IF('ตั้งค่า Setup'!$C$16="รายเดือน / Monthly",EOMONTH(B41,0),IF(DAY(B41)&lt;=10,DATE(YEAR(B41),MONTH(B41),10),IF(DAY(B41)&lt;=20,DATE(YEAR(B41),MONTH(B41),20),EOMONTH(B41,0))))))</f>
        <v/>
      </c>
      <c r="D41" s="115" t="str">
        <f aca="false">IF(C41="","",SUMPRODUCT('แผนงาน Schedule'!$G$7:$G$156,('แผนงาน Schedule'!$J$7:$J$156&lt;=C41)+('แผนงาน Schedule'!$I$7:$I$156&lt;=C41)*('แผนงาน Schedule'!$J$7:$J$156&gt;C41)*(C41-'แผนงาน Schedule'!$I$7:$I$156+1)/('แผนงาน Schedule'!$J$7:$J$156-'แผนงาน Schedule'!$I$7:$I$156+1)))</f>
        <v/>
      </c>
      <c r="E41" s="115" t="str">
        <f aca="false">IF(C41="","",SUMPRODUCT('แผนงาน Schedule'!$G$7:$G$156,('แผนงาน Schedule'!$AB$7:$AB$156&lt;=C41)+('แผนงาน Schedule'!$AA$7:$AA$156&lt;=C41)*('แผนงาน Schedule'!$AB$7:$AB$156&gt;C41)*(C41-'แผนงาน Schedule'!$AA$7:$AA$156+1)/('แผนงาน Schedule'!$AB$7:$AB$156-'แผนงาน Schedule'!$AA$7:$AA$156+1)))</f>
        <v/>
      </c>
      <c r="F41" s="113"/>
      <c r="G41" s="115" t="str">
        <f aca="false">IF(OR(C41="",NOT(ISNUMBER(Dashboard!$C$27))),"",IF(C41&lt;Dashboard!$C$7,"",IF(Dashboard!$C$27&lt;=Dashboard!$C$7,1,MIN(1,Dashboard!$C$19+(1-Dashboard!$C$19)*(C41-Dashboard!$C$7)/(Dashboard!$C$27-Dashboard!$C$7)))))</f>
        <v/>
      </c>
      <c r="H41" s="192" t="str">
        <f aca="false">IF(OR(F41="",D41=""),"",F41-D41)</f>
        <v/>
      </c>
      <c r="I41" s="182" t="str">
        <f aca="false">IF(D41="","",D41*'ตั้งค่า Setup'!$C$9)</f>
        <v/>
      </c>
      <c r="J41" s="182" t="str">
        <f aca="false">IF(OR(C41="",F41=""),"",F41*'ตั้งค่า Setup'!$C$9)</f>
        <v/>
      </c>
      <c r="K41" s="23"/>
      <c r="L41" s="182" t="str">
        <f aca="false">IF(OR(C41="",K41=""),"",SUM(K$7:K41))</f>
        <v/>
      </c>
      <c r="M41" s="23"/>
      <c r="N41" s="182" t="str">
        <f aca="false">IF(OR(C41="",B41&gt;'ตั้งค่า Setup'!$C$15),"",SUM(M$7:M41))</f>
        <v/>
      </c>
      <c r="P41" s="69" t="n">
        <f aca="false">IF(C41&lt;&gt;"",C41,P40)</f>
        <v>46487</v>
      </c>
      <c r="Q41" s="193" t="n">
        <f aca="false">IF(D41&lt;&gt;"",D41,Q40)</f>
        <v>1</v>
      </c>
      <c r="R41" s="69" t="n">
        <f aca="false">IF(Dashboard!$C$63,P41,R40)</f>
        <v>46174</v>
      </c>
      <c r="S41" s="193" t="n">
        <f aca="false">IF(AND(Dashboard!$C$63,E41&lt;&gt;""),E41,S40)</f>
        <v>0</v>
      </c>
      <c r="T41" s="69" t="n">
        <f aca="false">IF(AND(F41&lt;&gt;"",C41&lt;&gt;""),C41,T40)</f>
        <v>46295</v>
      </c>
      <c r="U41" s="193" t="n">
        <f aca="false">IF(AND(F41&lt;&gt;"",C41&lt;&gt;""),F41,U40)</f>
        <v>0.1878</v>
      </c>
      <c r="V41" s="69" t="n">
        <f aca="false">IF(ISNUMBER(G41),C41,V40)</f>
        <v>46487</v>
      </c>
      <c r="W41" s="193" t="n">
        <f aca="false">IF(ISNUMBER(G41),G41,W40)</f>
        <v>1</v>
      </c>
      <c r="X41" s="194" t="n">
        <f aca="false">IF(I41&lt;&gt;"",I41,X40)</f>
        <v>24200000</v>
      </c>
      <c r="Y41" s="194" t="n">
        <f aca="false">IF(AND(F41&lt;&gt;"",C41&lt;&gt;""),J41,Y40)</f>
        <v>4544760</v>
      </c>
      <c r="Z41" s="69" t="n">
        <f aca="false">IF(AND(K41&lt;&gt;"",C41&lt;&gt;""),C41,Z40)</f>
        <v>46285</v>
      </c>
      <c r="AA41" s="194" t="n">
        <f aca="false">IF(AND(K41&lt;&gt;"",C41&lt;&gt;""),L41,AA40)</f>
        <v>4634800</v>
      </c>
    </row>
    <row r="42" customFormat="false" ht="15" hidden="false" customHeight="false" outlineLevel="0" collapsed="false">
      <c r="A42" s="117" t="str">
        <f aca="false">IF(B42="","",ROW()-6)</f>
        <v/>
      </c>
      <c r="B42" s="127" t="str">
        <f aca="false">IF(C41="","",IF(C41&gt;='ตั้งค่า Setup'!$C$111,"",C41+1))</f>
        <v/>
      </c>
      <c r="C42" s="127" t="str">
        <f aca="false">IF(B42="","",IF('ตั้งค่า Setup'!$C$16="รายสัปดาห์ / Weekly",B42+6,IF('ตั้งค่า Setup'!$C$16="รายเดือน / Monthly",EOMONTH(B42,0),IF(DAY(B42)&lt;=10,DATE(YEAR(B42),MONTH(B42),10),IF(DAY(B42)&lt;=20,DATE(YEAR(B42),MONTH(B42),20),EOMONTH(B42,0))))))</f>
        <v/>
      </c>
      <c r="D42" s="115" t="str">
        <f aca="false">IF(C42="","",SUMPRODUCT('แผนงาน Schedule'!$G$7:$G$156,('แผนงาน Schedule'!$J$7:$J$156&lt;=C42)+('แผนงาน Schedule'!$I$7:$I$156&lt;=C42)*('แผนงาน Schedule'!$J$7:$J$156&gt;C42)*(C42-'แผนงาน Schedule'!$I$7:$I$156+1)/('แผนงาน Schedule'!$J$7:$J$156-'แผนงาน Schedule'!$I$7:$I$156+1)))</f>
        <v/>
      </c>
      <c r="E42" s="115" t="str">
        <f aca="false">IF(C42="","",SUMPRODUCT('แผนงาน Schedule'!$G$7:$G$156,('แผนงาน Schedule'!$AB$7:$AB$156&lt;=C42)+('แผนงาน Schedule'!$AA$7:$AA$156&lt;=C42)*('แผนงาน Schedule'!$AB$7:$AB$156&gt;C42)*(C42-'แผนงาน Schedule'!$AA$7:$AA$156+1)/('แผนงาน Schedule'!$AB$7:$AB$156-'แผนงาน Schedule'!$AA$7:$AA$156+1)))</f>
        <v/>
      </c>
      <c r="F42" s="113"/>
      <c r="G42" s="115" t="str">
        <f aca="false">IF(OR(C42="",NOT(ISNUMBER(Dashboard!$C$27))),"",IF(C42&lt;Dashboard!$C$7,"",IF(Dashboard!$C$27&lt;=Dashboard!$C$7,1,MIN(1,Dashboard!$C$19+(1-Dashboard!$C$19)*(C42-Dashboard!$C$7)/(Dashboard!$C$27-Dashboard!$C$7)))))</f>
        <v/>
      </c>
      <c r="H42" s="192" t="str">
        <f aca="false">IF(OR(F42="",D42=""),"",F42-D42)</f>
        <v/>
      </c>
      <c r="I42" s="182" t="str">
        <f aca="false">IF(D42="","",D42*'ตั้งค่า Setup'!$C$9)</f>
        <v/>
      </c>
      <c r="J42" s="182" t="str">
        <f aca="false">IF(OR(C42="",F42=""),"",F42*'ตั้งค่า Setup'!$C$9)</f>
        <v/>
      </c>
      <c r="K42" s="23"/>
      <c r="L42" s="182" t="str">
        <f aca="false">IF(OR(C42="",K42=""),"",SUM(K$7:K42))</f>
        <v/>
      </c>
      <c r="M42" s="23"/>
      <c r="N42" s="182" t="str">
        <f aca="false">IF(OR(C42="",B42&gt;'ตั้งค่า Setup'!$C$15),"",SUM(M$7:M42))</f>
        <v/>
      </c>
      <c r="P42" s="69" t="n">
        <f aca="false">IF(C42&lt;&gt;"",C42,P41)</f>
        <v>46487</v>
      </c>
      <c r="Q42" s="193" t="n">
        <f aca="false">IF(D42&lt;&gt;"",D42,Q41)</f>
        <v>1</v>
      </c>
      <c r="R42" s="69" t="n">
        <f aca="false">IF(Dashboard!$C$63,P42,R41)</f>
        <v>46174</v>
      </c>
      <c r="S42" s="193" t="n">
        <f aca="false">IF(AND(Dashboard!$C$63,E42&lt;&gt;""),E42,S41)</f>
        <v>0</v>
      </c>
      <c r="T42" s="69" t="n">
        <f aca="false">IF(AND(F42&lt;&gt;"",C42&lt;&gt;""),C42,T41)</f>
        <v>46295</v>
      </c>
      <c r="U42" s="193" t="n">
        <f aca="false">IF(AND(F42&lt;&gt;"",C42&lt;&gt;""),F42,U41)</f>
        <v>0.1878</v>
      </c>
      <c r="V42" s="69" t="n">
        <f aca="false">IF(ISNUMBER(G42),C42,V41)</f>
        <v>46487</v>
      </c>
      <c r="W42" s="193" t="n">
        <f aca="false">IF(ISNUMBER(G42),G42,W41)</f>
        <v>1</v>
      </c>
      <c r="X42" s="194" t="n">
        <f aca="false">IF(I42&lt;&gt;"",I42,X41)</f>
        <v>24200000</v>
      </c>
      <c r="Y42" s="194" t="n">
        <f aca="false">IF(AND(F42&lt;&gt;"",C42&lt;&gt;""),J42,Y41)</f>
        <v>4544760</v>
      </c>
      <c r="Z42" s="69" t="n">
        <f aca="false">IF(AND(K42&lt;&gt;"",C42&lt;&gt;""),C42,Z41)</f>
        <v>46285</v>
      </c>
      <c r="AA42" s="194" t="n">
        <f aca="false">IF(AND(K42&lt;&gt;"",C42&lt;&gt;""),L42,AA41)</f>
        <v>4634800</v>
      </c>
    </row>
    <row r="43" customFormat="false" ht="15" hidden="false" customHeight="false" outlineLevel="0" collapsed="false">
      <c r="A43" s="117" t="str">
        <f aca="false">IF(B43="","",ROW()-6)</f>
        <v/>
      </c>
      <c r="B43" s="127" t="str">
        <f aca="false">IF(C42="","",IF(C42&gt;='ตั้งค่า Setup'!$C$111,"",C42+1))</f>
        <v/>
      </c>
      <c r="C43" s="127" t="str">
        <f aca="false">IF(B43="","",IF('ตั้งค่า Setup'!$C$16="รายสัปดาห์ / Weekly",B43+6,IF('ตั้งค่า Setup'!$C$16="รายเดือน / Monthly",EOMONTH(B43,0),IF(DAY(B43)&lt;=10,DATE(YEAR(B43),MONTH(B43),10),IF(DAY(B43)&lt;=20,DATE(YEAR(B43),MONTH(B43),20),EOMONTH(B43,0))))))</f>
        <v/>
      </c>
      <c r="D43" s="115" t="str">
        <f aca="false">IF(C43="","",SUMPRODUCT('แผนงาน Schedule'!$G$7:$G$156,('แผนงาน Schedule'!$J$7:$J$156&lt;=C43)+('แผนงาน Schedule'!$I$7:$I$156&lt;=C43)*('แผนงาน Schedule'!$J$7:$J$156&gt;C43)*(C43-'แผนงาน Schedule'!$I$7:$I$156+1)/('แผนงาน Schedule'!$J$7:$J$156-'แผนงาน Schedule'!$I$7:$I$156+1)))</f>
        <v/>
      </c>
      <c r="E43" s="115" t="str">
        <f aca="false">IF(C43="","",SUMPRODUCT('แผนงาน Schedule'!$G$7:$G$156,('แผนงาน Schedule'!$AB$7:$AB$156&lt;=C43)+('แผนงาน Schedule'!$AA$7:$AA$156&lt;=C43)*('แผนงาน Schedule'!$AB$7:$AB$156&gt;C43)*(C43-'แผนงาน Schedule'!$AA$7:$AA$156+1)/('แผนงาน Schedule'!$AB$7:$AB$156-'แผนงาน Schedule'!$AA$7:$AA$156+1)))</f>
        <v/>
      </c>
      <c r="F43" s="113"/>
      <c r="G43" s="115" t="str">
        <f aca="false">IF(OR(C43="",NOT(ISNUMBER(Dashboard!$C$27))),"",IF(C43&lt;Dashboard!$C$7,"",IF(Dashboard!$C$27&lt;=Dashboard!$C$7,1,MIN(1,Dashboard!$C$19+(1-Dashboard!$C$19)*(C43-Dashboard!$C$7)/(Dashboard!$C$27-Dashboard!$C$7)))))</f>
        <v/>
      </c>
      <c r="H43" s="192" t="str">
        <f aca="false">IF(OR(F43="",D43=""),"",F43-D43)</f>
        <v/>
      </c>
      <c r="I43" s="182" t="str">
        <f aca="false">IF(D43="","",D43*'ตั้งค่า Setup'!$C$9)</f>
        <v/>
      </c>
      <c r="J43" s="182" t="str">
        <f aca="false">IF(OR(C43="",F43=""),"",F43*'ตั้งค่า Setup'!$C$9)</f>
        <v/>
      </c>
      <c r="K43" s="23"/>
      <c r="L43" s="182" t="str">
        <f aca="false">IF(OR(C43="",K43=""),"",SUM(K$7:K43))</f>
        <v/>
      </c>
      <c r="M43" s="23"/>
      <c r="N43" s="182" t="str">
        <f aca="false">IF(OR(C43="",B43&gt;'ตั้งค่า Setup'!$C$15),"",SUM(M$7:M43))</f>
        <v/>
      </c>
      <c r="P43" s="69" t="n">
        <f aca="false">IF(C43&lt;&gt;"",C43,P42)</f>
        <v>46487</v>
      </c>
      <c r="Q43" s="193" t="n">
        <f aca="false">IF(D43&lt;&gt;"",D43,Q42)</f>
        <v>1</v>
      </c>
      <c r="R43" s="69" t="n">
        <f aca="false">IF(Dashboard!$C$63,P43,R42)</f>
        <v>46174</v>
      </c>
      <c r="S43" s="193" t="n">
        <f aca="false">IF(AND(Dashboard!$C$63,E43&lt;&gt;""),E43,S42)</f>
        <v>0</v>
      </c>
      <c r="T43" s="69" t="n">
        <f aca="false">IF(AND(F43&lt;&gt;"",C43&lt;&gt;""),C43,T42)</f>
        <v>46295</v>
      </c>
      <c r="U43" s="193" t="n">
        <f aca="false">IF(AND(F43&lt;&gt;"",C43&lt;&gt;""),F43,U42)</f>
        <v>0.1878</v>
      </c>
      <c r="V43" s="69" t="n">
        <f aca="false">IF(ISNUMBER(G43),C43,V42)</f>
        <v>46487</v>
      </c>
      <c r="W43" s="193" t="n">
        <f aca="false">IF(ISNUMBER(G43),G43,W42)</f>
        <v>1</v>
      </c>
      <c r="X43" s="194" t="n">
        <f aca="false">IF(I43&lt;&gt;"",I43,X42)</f>
        <v>24200000</v>
      </c>
      <c r="Y43" s="194" t="n">
        <f aca="false">IF(AND(F43&lt;&gt;"",C43&lt;&gt;""),J43,Y42)</f>
        <v>4544760</v>
      </c>
      <c r="Z43" s="69" t="n">
        <f aca="false">IF(AND(K43&lt;&gt;"",C43&lt;&gt;""),C43,Z42)</f>
        <v>46285</v>
      </c>
      <c r="AA43" s="194" t="n">
        <f aca="false">IF(AND(K43&lt;&gt;"",C43&lt;&gt;""),L43,AA42)</f>
        <v>4634800</v>
      </c>
    </row>
    <row r="44" customFormat="false" ht="15" hidden="false" customHeight="false" outlineLevel="0" collapsed="false">
      <c r="A44" s="117" t="str">
        <f aca="false">IF(B44="","",ROW()-6)</f>
        <v/>
      </c>
      <c r="B44" s="127" t="str">
        <f aca="false">IF(C43="","",IF(C43&gt;='ตั้งค่า Setup'!$C$111,"",C43+1))</f>
        <v/>
      </c>
      <c r="C44" s="127" t="str">
        <f aca="false">IF(B44="","",IF('ตั้งค่า Setup'!$C$16="รายสัปดาห์ / Weekly",B44+6,IF('ตั้งค่า Setup'!$C$16="รายเดือน / Monthly",EOMONTH(B44,0),IF(DAY(B44)&lt;=10,DATE(YEAR(B44),MONTH(B44),10),IF(DAY(B44)&lt;=20,DATE(YEAR(B44),MONTH(B44),20),EOMONTH(B44,0))))))</f>
        <v/>
      </c>
      <c r="D44" s="115" t="str">
        <f aca="false">IF(C44="","",SUMPRODUCT('แผนงาน Schedule'!$G$7:$G$156,('แผนงาน Schedule'!$J$7:$J$156&lt;=C44)+('แผนงาน Schedule'!$I$7:$I$156&lt;=C44)*('แผนงาน Schedule'!$J$7:$J$156&gt;C44)*(C44-'แผนงาน Schedule'!$I$7:$I$156+1)/('แผนงาน Schedule'!$J$7:$J$156-'แผนงาน Schedule'!$I$7:$I$156+1)))</f>
        <v/>
      </c>
      <c r="E44" s="115" t="str">
        <f aca="false">IF(C44="","",SUMPRODUCT('แผนงาน Schedule'!$G$7:$G$156,('แผนงาน Schedule'!$AB$7:$AB$156&lt;=C44)+('แผนงาน Schedule'!$AA$7:$AA$156&lt;=C44)*('แผนงาน Schedule'!$AB$7:$AB$156&gt;C44)*(C44-'แผนงาน Schedule'!$AA$7:$AA$156+1)/('แผนงาน Schedule'!$AB$7:$AB$156-'แผนงาน Schedule'!$AA$7:$AA$156+1)))</f>
        <v/>
      </c>
      <c r="F44" s="113"/>
      <c r="G44" s="115" t="str">
        <f aca="false">IF(OR(C44="",NOT(ISNUMBER(Dashboard!$C$27))),"",IF(C44&lt;Dashboard!$C$7,"",IF(Dashboard!$C$27&lt;=Dashboard!$C$7,1,MIN(1,Dashboard!$C$19+(1-Dashboard!$C$19)*(C44-Dashboard!$C$7)/(Dashboard!$C$27-Dashboard!$C$7)))))</f>
        <v/>
      </c>
      <c r="H44" s="192" t="str">
        <f aca="false">IF(OR(F44="",D44=""),"",F44-D44)</f>
        <v/>
      </c>
      <c r="I44" s="182" t="str">
        <f aca="false">IF(D44="","",D44*'ตั้งค่า Setup'!$C$9)</f>
        <v/>
      </c>
      <c r="J44" s="182" t="str">
        <f aca="false">IF(OR(C44="",F44=""),"",F44*'ตั้งค่า Setup'!$C$9)</f>
        <v/>
      </c>
      <c r="K44" s="23"/>
      <c r="L44" s="182" t="str">
        <f aca="false">IF(OR(C44="",K44=""),"",SUM(K$7:K44))</f>
        <v/>
      </c>
      <c r="M44" s="23"/>
      <c r="N44" s="182" t="str">
        <f aca="false">IF(OR(C44="",B44&gt;'ตั้งค่า Setup'!$C$15),"",SUM(M$7:M44))</f>
        <v/>
      </c>
      <c r="P44" s="69" t="n">
        <f aca="false">IF(C44&lt;&gt;"",C44,P43)</f>
        <v>46487</v>
      </c>
      <c r="Q44" s="193" t="n">
        <f aca="false">IF(D44&lt;&gt;"",D44,Q43)</f>
        <v>1</v>
      </c>
      <c r="R44" s="69" t="n">
        <f aca="false">IF(Dashboard!$C$63,P44,R43)</f>
        <v>46174</v>
      </c>
      <c r="S44" s="193" t="n">
        <f aca="false">IF(AND(Dashboard!$C$63,E44&lt;&gt;""),E44,S43)</f>
        <v>0</v>
      </c>
      <c r="T44" s="69" t="n">
        <f aca="false">IF(AND(F44&lt;&gt;"",C44&lt;&gt;""),C44,T43)</f>
        <v>46295</v>
      </c>
      <c r="U44" s="193" t="n">
        <f aca="false">IF(AND(F44&lt;&gt;"",C44&lt;&gt;""),F44,U43)</f>
        <v>0.1878</v>
      </c>
      <c r="V44" s="69" t="n">
        <f aca="false">IF(ISNUMBER(G44),C44,V43)</f>
        <v>46487</v>
      </c>
      <c r="W44" s="193" t="n">
        <f aca="false">IF(ISNUMBER(G44),G44,W43)</f>
        <v>1</v>
      </c>
      <c r="X44" s="194" t="n">
        <f aca="false">IF(I44&lt;&gt;"",I44,X43)</f>
        <v>24200000</v>
      </c>
      <c r="Y44" s="194" t="n">
        <f aca="false">IF(AND(F44&lt;&gt;"",C44&lt;&gt;""),J44,Y43)</f>
        <v>4544760</v>
      </c>
      <c r="Z44" s="69" t="n">
        <f aca="false">IF(AND(K44&lt;&gt;"",C44&lt;&gt;""),C44,Z43)</f>
        <v>46285</v>
      </c>
      <c r="AA44" s="194" t="n">
        <f aca="false">IF(AND(K44&lt;&gt;"",C44&lt;&gt;""),L44,AA43)</f>
        <v>4634800</v>
      </c>
    </row>
    <row r="45" customFormat="false" ht="15" hidden="false" customHeight="false" outlineLevel="0" collapsed="false">
      <c r="A45" s="117" t="str">
        <f aca="false">IF(B45="","",ROW()-6)</f>
        <v/>
      </c>
      <c r="B45" s="127" t="str">
        <f aca="false">IF(C44="","",IF(C44&gt;='ตั้งค่า Setup'!$C$111,"",C44+1))</f>
        <v/>
      </c>
      <c r="C45" s="127" t="str">
        <f aca="false">IF(B45="","",IF('ตั้งค่า Setup'!$C$16="รายสัปดาห์ / Weekly",B45+6,IF('ตั้งค่า Setup'!$C$16="รายเดือน / Monthly",EOMONTH(B45,0),IF(DAY(B45)&lt;=10,DATE(YEAR(B45),MONTH(B45),10),IF(DAY(B45)&lt;=20,DATE(YEAR(B45),MONTH(B45),20),EOMONTH(B45,0))))))</f>
        <v/>
      </c>
      <c r="D45" s="115" t="str">
        <f aca="false">IF(C45="","",SUMPRODUCT('แผนงาน Schedule'!$G$7:$G$156,('แผนงาน Schedule'!$J$7:$J$156&lt;=C45)+('แผนงาน Schedule'!$I$7:$I$156&lt;=C45)*('แผนงาน Schedule'!$J$7:$J$156&gt;C45)*(C45-'แผนงาน Schedule'!$I$7:$I$156+1)/('แผนงาน Schedule'!$J$7:$J$156-'แผนงาน Schedule'!$I$7:$I$156+1)))</f>
        <v/>
      </c>
      <c r="E45" s="115" t="str">
        <f aca="false">IF(C45="","",SUMPRODUCT('แผนงาน Schedule'!$G$7:$G$156,('แผนงาน Schedule'!$AB$7:$AB$156&lt;=C45)+('แผนงาน Schedule'!$AA$7:$AA$156&lt;=C45)*('แผนงาน Schedule'!$AB$7:$AB$156&gt;C45)*(C45-'แผนงาน Schedule'!$AA$7:$AA$156+1)/('แผนงาน Schedule'!$AB$7:$AB$156-'แผนงาน Schedule'!$AA$7:$AA$156+1)))</f>
        <v/>
      </c>
      <c r="F45" s="113"/>
      <c r="G45" s="115" t="str">
        <f aca="false">IF(OR(C45="",NOT(ISNUMBER(Dashboard!$C$27))),"",IF(C45&lt;Dashboard!$C$7,"",IF(Dashboard!$C$27&lt;=Dashboard!$C$7,1,MIN(1,Dashboard!$C$19+(1-Dashboard!$C$19)*(C45-Dashboard!$C$7)/(Dashboard!$C$27-Dashboard!$C$7)))))</f>
        <v/>
      </c>
      <c r="H45" s="192" t="str">
        <f aca="false">IF(OR(F45="",D45=""),"",F45-D45)</f>
        <v/>
      </c>
      <c r="I45" s="182" t="str">
        <f aca="false">IF(D45="","",D45*'ตั้งค่า Setup'!$C$9)</f>
        <v/>
      </c>
      <c r="J45" s="182" t="str">
        <f aca="false">IF(OR(C45="",F45=""),"",F45*'ตั้งค่า Setup'!$C$9)</f>
        <v/>
      </c>
      <c r="K45" s="23"/>
      <c r="L45" s="182" t="str">
        <f aca="false">IF(OR(C45="",K45=""),"",SUM(K$7:K45))</f>
        <v/>
      </c>
      <c r="M45" s="23"/>
      <c r="N45" s="182" t="str">
        <f aca="false">IF(OR(C45="",B45&gt;'ตั้งค่า Setup'!$C$15),"",SUM(M$7:M45))</f>
        <v/>
      </c>
      <c r="P45" s="69" t="n">
        <f aca="false">IF(C45&lt;&gt;"",C45,P44)</f>
        <v>46487</v>
      </c>
      <c r="Q45" s="193" t="n">
        <f aca="false">IF(D45&lt;&gt;"",D45,Q44)</f>
        <v>1</v>
      </c>
      <c r="R45" s="69" t="n">
        <f aca="false">IF(Dashboard!$C$63,P45,R44)</f>
        <v>46174</v>
      </c>
      <c r="S45" s="193" t="n">
        <f aca="false">IF(AND(Dashboard!$C$63,E45&lt;&gt;""),E45,S44)</f>
        <v>0</v>
      </c>
      <c r="T45" s="69" t="n">
        <f aca="false">IF(AND(F45&lt;&gt;"",C45&lt;&gt;""),C45,T44)</f>
        <v>46295</v>
      </c>
      <c r="U45" s="193" t="n">
        <f aca="false">IF(AND(F45&lt;&gt;"",C45&lt;&gt;""),F45,U44)</f>
        <v>0.1878</v>
      </c>
      <c r="V45" s="69" t="n">
        <f aca="false">IF(ISNUMBER(G45),C45,V44)</f>
        <v>46487</v>
      </c>
      <c r="W45" s="193" t="n">
        <f aca="false">IF(ISNUMBER(G45),G45,W44)</f>
        <v>1</v>
      </c>
      <c r="X45" s="194" t="n">
        <f aca="false">IF(I45&lt;&gt;"",I45,X44)</f>
        <v>24200000</v>
      </c>
      <c r="Y45" s="194" t="n">
        <f aca="false">IF(AND(F45&lt;&gt;"",C45&lt;&gt;""),J45,Y44)</f>
        <v>4544760</v>
      </c>
      <c r="Z45" s="69" t="n">
        <f aca="false">IF(AND(K45&lt;&gt;"",C45&lt;&gt;""),C45,Z44)</f>
        <v>46285</v>
      </c>
      <c r="AA45" s="194" t="n">
        <f aca="false">IF(AND(K45&lt;&gt;"",C45&lt;&gt;""),L45,AA44)</f>
        <v>4634800</v>
      </c>
    </row>
    <row r="46" customFormat="false" ht="15" hidden="false" customHeight="false" outlineLevel="0" collapsed="false">
      <c r="A46" s="117" t="str">
        <f aca="false">IF(B46="","",ROW()-6)</f>
        <v/>
      </c>
      <c r="B46" s="127" t="str">
        <f aca="false">IF(C45="","",IF(C45&gt;='ตั้งค่า Setup'!$C$111,"",C45+1))</f>
        <v/>
      </c>
      <c r="C46" s="127" t="str">
        <f aca="false">IF(B46="","",IF('ตั้งค่า Setup'!$C$16="รายสัปดาห์ / Weekly",B46+6,IF('ตั้งค่า Setup'!$C$16="รายเดือน / Monthly",EOMONTH(B46,0),IF(DAY(B46)&lt;=10,DATE(YEAR(B46),MONTH(B46),10),IF(DAY(B46)&lt;=20,DATE(YEAR(B46),MONTH(B46),20),EOMONTH(B46,0))))))</f>
        <v/>
      </c>
      <c r="D46" s="115" t="str">
        <f aca="false">IF(C46="","",SUMPRODUCT('แผนงาน Schedule'!$G$7:$G$156,('แผนงาน Schedule'!$J$7:$J$156&lt;=C46)+('แผนงาน Schedule'!$I$7:$I$156&lt;=C46)*('แผนงาน Schedule'!$J$7:$J$156&gt;C46)*(C46-'แผนงาน Schedule'!$I$7:$I$156+1)/('แผนงาน Schedule'!$J$7:$J$156-'แผนงาน Schedule'!$I$7:$I$156+1)))</f>
        <v/>
      </c>
      <c r="E46" s="115" t="str">
        <f aca="false">IF(C46="","",SUMPRODUCT('แผนงาน Schedule'!$G$7:$G$156,('แผนงาน Schedule'!$AB$7:$AB$156&lt;=C46)+('แผนงาน Schedule'!$AA$7:$AA$156&lt;=C46)*('แผนงาน Schedule'!$AB$7:$AB$156&gt;C46)*(C46-'แผนงาน Schedule'!$AA$7:$AA$156+1)/('แผนงาน Schedule'!$AB$7:$AB$156-'แผนงาน Schedule'!$AA$7:$AA$156+1)))</f>
        <v/>
      </c>
      <c r="F46" s="113"/>
      <c r="G46" s="115" t="str">
        <f aca="false">IF(OR(C46="",NOT(ISNUMBER(Dashboard!$C$27))),"",IF(C46&lt;Dashboard!$C$7,"",IF(Dashboard!$C$27&lt;=Dashboard!$C$7,1,MIN(1,Dashboard!$C$19+(1-Dashboard!$C$19)*(C46-Dashboard!$C$7)/(Dashboard!$C$27-Dashboard!$C$7)))))</f>
        <v/>
      </c>
      <c r="H46" s="192" t="str">
        <f aca="false">IF(OR(F46="",D46=""),"",F46-D46)</f>
        <v/>
      </c>
      <c r="I46" s="182" t="str">
        <f aca="false">IF(D46="","",D46*'ตั้งค่า Setup'!$C$9)</f>
        <v/>
      </c>
      <c r="J46" s="182" t="str">
        <f aca="false">IF(OR(C46="",F46=""),"",F46*'ตั้งค่า Setup'!$C$9)</f>
        <v/>
      </c>
      <c r="K46" s="23"/>
      <c r="L46" s="182" t="str">
        <f aca="false">IF(OR(C46="",K46=""),"",SUM(K$7:K46))</f>
        <v/>
      </c>
      <c r="M46" s="23"/>
      <c r="N46" s="182" t="str">
        <f aca="false">IF(OR(C46="",B46&gt;'ตั้งค่า Setup'!$C$15),"",SUM(M$7:M46))</f>
        <v/>
      </c>
      <c r="P46" s="69" t="n">
        <f aca="false">IF(C46&lt;&gt;"",C46,P45)</f>
        <v>46487</v>
      </c>
      <c r="Q46" s="193" t="n">
        <f aca="false">IF(D46&lt;&gt;"",D46,Q45)</f>
        <v>1</v>
      </c>
      <c r="R46" s="69" t="n">
        <f aca="false">IF(Dashboard!$C$63,P46,R45)</f>
        <v>46174</v>
      </c>
      <c r="S46" s="193" t="n">
        <f aca="false">IF(AND(Dashboard!$C$63,E46&lt;&gt;""),E46,S45)</f>
        <v>0</v>
      </c>
      <c r="T46" s="69" t="n">
        <f aca="false">IF(AND(F46&lt;&gt;"",C46&lt;&gt;""),C46,T45)</f>
        <v>46295</v>
      </c>
      <c r="U46" s="193" t="n">
        <f aca="false">IF(AND(F46&lt;&gt;"",C46&lt;&gt;""),F46,U45)</f>
        <v>0.1878</v>
      </c>
      <c r="V46" s="69" t="n">
        <f aca="false">IF(ISNUMBER(G46),C46,V45)</f>
        <v>46487</v>
      </c>
      <c r="W46" s="193" t="n">
        <f aca="false">IF(ISNUMBER(G46),G46,W45)</f>
        <v>1</v>
      </c>
      <c r="X46" s="194" t="n">
        <f aca="false">IF(I46&lt;&gt;"",I46,X45)</f>
        <v>24200000</v>
      </c>
      <c r="Y46" s="194" t="n">
        <f aca="false">IF(AND(F46&lt;&gt;"",C46&lt;&gt;""),J46,Y45)</f>
        <v>4544760</v>
      </c>
      <c r="Z46" s="69" t="n">
        <f aca="false">IF(AND(K46&lt;&gt;"",C46&lt;&gt;""),C46,Z45)</f>
        <v>46285</v>
      </c>
      <c r="AA46" s="194" t="n">
        <f aca="false">IF(AND(K46&lt;&gt;"",C46&lt;&gt;""),L46,AA45)</f>
        <v>4634800</v>
      </c>
    </row>
    <row r="47" customFormat="false" ht="15" hidden="false" customHeight="false" outlineLevel="0" collapsed="false">
      <c r="A47" s="117" t="str">
        <f aca="false">IF(B47="","",ROW()-6)</f>
        <v/>
      </c>
      <c r="B47" s="127" t="str">
        <f aca="false">IF(C46="","",IF(C46&gt;='ตั้งค่า Setup'!$C$111,"",C46+1))</f>
        <v/>
      </c>
      <c r="C47" s="127" t="str">
        <f aca="false">IF(B47="","",IF('ตั้งค่า Setup'!$C$16="รายสัปดาห์ / Weekly",B47+6,IF('ตั้งค่า Setup'!$C$16="รายเดือน / Monthly",EOMONTH(B47,0),IF(DAY(B47)&lt;=10,DATE(YEAR(B47),MONTH(B47),10),IF(DAY(B47)&lt;=20,DATE(YEAR(B47),MONTH(B47),20),EOMONTH(B47,0))))))</f>
        <v/>
      </c>
      <c r="D47" s="115" t="str">
        <f aca="false">IF(C47="","",SUMPRODUCT('แผนงาน Schedule'!$G$7:$G$156,('แผนงาน Schedule'!$J$7:$J$156&lt;=C47)+('แผนงาน Schedule'!$I$7:$I$156&lt;=C47)*('แผนงาน Schedule'!$J$7:$J$156&gt;C47)*(C47-'แผนงาน Schedule'!$I$7:$I$156+1)/('แผนงาน Schedule'!$J$7:$J$156-'แผนงาน Schedule'!$I$7:$I$156+1)))</f>
        <v/>
      </c>
      <c r="E47" s="115" t="str">
        <f aca="false">IF(C47="","",SUMPRODUCT('แผนงาน Schedule'!$G$7:$G$156,('แผนงาน Schedule'!$AB$7:$AB$156&lt;=C47)+('แผนงาน Schedule'!$AA$7:$AA$156&lt;=C47)*('แผนงาน Schedule'!$AB$7:$AB$156&gt;C47)*(C47-'แผนงาน Schedule'!$AA$7:$AA$156+1)/('แผนงาน Schedule'!$AB$7:$AB$156-'แผนงาน Schedule'!$AA$7:$AA$156+1)))</f>
        <v/>
      </c>
      <c r="F47" s="113"/>
      <c r="G47" s="115" t="str">
        <f aca="false">IF(OR(C47="",NOT(ISNUMBER(Dashboard!$C$27))),"",IF(C47&lt;Dashboard!$C$7,"",IF(Dashboard!$C$27&lt;=Dashboard!$C$7,1,MIN(1,Dashboard!$C$19+(1-Dashboard!$C$19)*(C47-Dashboard!$C$7)/(Dashboard!$C$27-Dashboard!$C$7)))))</f>
        <v/>
      </c>
      <c r="H47" s="192" t="str">
        <f aca="false">IF(OR(F47="",D47=""),"",F47-D47)</f>
        <v/>
      </c>
      <c r="I47" s="182" t="str">
        <f aca="false">IF(D47="","",D47*'ตั้งค่า Setup'!$C$9)</f>
        <v/>
      </c>
      <c r="J47" s="182" t="str">
        <f aca="false">IF(OR(C47="",F47=""),"",F47*'ตั้งค่า Setup'!$C$9)</f>
        <v/>
      </c>
      <c r="K47" s="23"/>
      <c r="L47" s="182" t="str">
        <f aca="false">IF(OR(C47="",K47=""),"",SUM(K$7:K47))</f>
        <v/>
      </c>
      <c r="M47" s="23"/>
      <c r="N47" s="182" t="str">
        <f aca="false">IF(OR(C47="",B47&gt;'ตั้งค่า Setup'!$C$15),"",SUM(M$7:M47))</f>
        <v/>
      </c>
      <c r="P47" s="69" t="n">
        <f aca="false">IF(C47&lt;&gt;"",C47,P46)</f>
        <v>46487</v>
      </c>
      <c r="Q47" s="193" t="n">
        <f aca="false">IF(D47&lt;&gt;"",D47,Q46)</f>
        <v>1</v>
      </c>
      <c r="R47" s="69" t="n">
        <f aca="false">IF(Dashboard!$C$63,P47,R46)</f>
        <v>46174</v>
      </c>
      <c r="S47" s="193" t="n">
        <f aca="false">IF(AND(Dashboard!$C$63,E47&lt;&gt;""),E47,S46)</f>
        <v>0</v>
      </c>
      <c r="T47" s="69" t="n">
        <f aca="false">IF(AND(F47&lt;&gt;"",C47&lt;&gt;""),C47,T46)</f>
        <v>46295</v>
      </c>
      <c r="U47" s="193" t="n">
        <f aca="false">IF(AND(F47&lt;&gt;"",C47&lt;&gt;""),F47,U46)</f>
        <v>0.1878</v>
      </c>
      <c r="V47" s="69" t="n">
        <f aca="false">IF(ISNUMBER(G47),C47,V46)</f>
        <v>46487</v>
      </c>
      <c r="W47" s="193" t="n">
        <f aca="false">IF(ISNUMBER(G47),G47,W46)</f>
        <v>1</v>
      </c>
      <c r="X47" s="194" t="n">
        <f aca="false">IF(I47&lt;&gt;"",I47,X46)</f>
        <v>24200000</v>
      </c>
      <c r="Y47" s="194" t="n">
        <f aca="false">IF(AND(F47&lt;&gt;"",C47&lt;&gt;""),J47,Y46)</f>
        <v>4544760</v>
      </c>
      <c r="Z47" s="69" t="n">
        <f aca="false">IF(AND(K47&lt;&gt;"",C47&lt;&gt;""),C47,Z46)</f>
        <v>46285</v>
      </c>
      <c r="AA47" s="194" t="n">
        <f aca="false">IF(AND(K47&lt;&gt;"",C47&lt;&gt;""),L47,AA46)</f>
        <v>4634800</v>
      </c>
    </row>
    <row r="48" customFormat="false" ht="15" hidden="false" customHeight="false" outlineLevel="0" collapsed="false">
      <c r="A48" s="117" t="str">
        <f aca="false">IF(B48="","",ROW()-6)</f>
        <v/>
      </c>
      <c r="B48" s="127" t="str">
        <f aca="false">IF(C47="","",IF(C47&gt;='ตั้งค่า Setup'!$C$111,"",C47+1))</f>
        <v/>
      </c>
      <c r="C48" s="127" t="str">
        <f aca="false">IF(B48="","",IF('ตั้งค่า Setup'!$C$16="รายสัปดาห์ / Weekly",B48+6,IF('ตั้งค่า Setup'!$C$16="รายเดือน / Monthly",EOMONTH(B48,0),IF(DAY(B48)&lt;=10,DATE(YEAR(B48),MONTH(B48),10),IF(DAY(B48)&lt;=20,DATE(YEAR(B48),MONTH(B48),20),EOMONTH(B48,0))))))</f>
        <v/>
      </c>
      <c r="D48" s="115" t="str">
        <f aca="false">IF(C48="","",SUMPRODUCT('แผนงาน Schedule'!$G$7:$G$156,('แผนงาน Schedule'!$J$7:$J$156&lt;=C48)+('แผนงาน Schedule'!$I$7:$I$156&lt;=C48)*('แผนงาน Schedule'!$J$7:$J$156&gt;C48)*(C48-'แผนงาน Schedule'!$I$7:$I$156+1)/('แผนงาน Schedule'!$J$7:$J$156-'แผนงาน Schedule'!$I$7:$I$156+1)))</f>
        <v/>
      </c>
      <c r="E48" s="115" t="str">
        <f aca="false">IF(C48="","",SUMPRODUCT('แผนงาน Schedule'!$G$7:$G$156,('แผนงาน Schedule'!$AB$7:$AB$156&lt;=C48)+('แผนงาน Schedule'!$AA$7:$AA$156&lt;=C48)*('แผนงาน Schedule'!$AB$7:$AB$156&gt;C48)*(C48-'แผนงาน Schedule'!$AA$7:$AA$156+1)/('แผนงาน Schedule'!$AB$7:$AB$156-'แผนงาน Schedule'!$AA$7:$AA$156+1)))</f>
        <v/>
      </c>
      <c r="F48" s="113"/>
      <c r="G48" s="115" t="str">
        <f aca="false">IF(OR(C48="",NOT(ISNUMBER(Dashboard!$C$27))),"",IF(C48&lt;Dashboard!$C$7,"",IF(Dashboard!$C$27&lt;=Dashboard!$C$7,1,MIN(1,Dashboard!$C$19+(1-Dashboard!$C$19)*(C48-Dashboard!$C$7)/(Dashboard!$C$27-Dashboard!$C$7)))))</f>
        <v/>
      </c>
      <c r="H48" s="192" t="str">
        <f aca="false">IF(OR(F48="",D48=""),"",F48-D48)</f>
        <v/>
      </c>
      <c r="I48" s="182" t="str">
        <f aca="false">IF(D48="","",D48*'ตั้งค่า Setup'!$C$9)</f>
        <v/>
      </c>
      <c r="J48" s="182" t="str">
        <f aca="false">IF(OR(C48="",F48=""),"",F48*'ตั้งค่า Setup'!$C$9)</f>
        <v/>
      </c>
      <c r="K48" s="23"/>
      <c r="L48" s="182" t="str">
        <f aca="false">IF(OR(C48="",K48=""),"",SUM(K$7:K48))</f>
        <v/>
      </c>
      <c r="M48" s="23"/>
      <c r="N48" s="182" t="str">
        <f aca="false">IF(OR(C48="",B48&gt;'ตั้งค่า Setup'!$C$15),"",SUM(M$7:M48))</f>
        <v/>
      </c>
      <c r="P48" s="69" t="n">
        <f aca="false">IF(C48&lt;&gt;"",C48,P47)</f>
        <v>46487</v>
      </c>
      <c r="Q48" s="193" t="n">
        <f aca="false">IF(D48&lt;&gt;"",D48,Q47)</f>
        <v>1</v>
      </c>
      <c r="R48" s="69" t="n">
        <f aca="false">IF(Dashboard!$C$63,P48,R47)</f>
        <v>46174</v>
      </c>
      <c r="S48" s="193" t="n">
        <f aca="false">IF(AND(Dashboard!$C$63,E48&lt;&gt;""),E48,S47)</f>
        <v>0</v>
      </c>
      <c r="T48" s="69" t="n">
        <f aca="false">IF(AND(F48&lt;&gt;"",C48&lt;&gt;""),C48,T47)</f>
        <v>46295</v>
      </c>
      <c r="U48" s="193" t="n">
        <f aca="false">IF(AND(F48&lt;&gt;"",C48&lt;&gt;""),F48,U47)</f>
        <v>0.1878</v>
      </c>
      <c r="V48" s="69" t="n">
        <f aca="false">IF(ISNUMBER(G48),C48,V47)</f>
        <v>46487</v>
      </c>
      <c r="W48" s="193" t="n">
        <f aca="false">IF(ISNUMBER(G48),G48,W47)</f>
        <v>1</v>
      </c>
      <c r="X48" s="194" t="n">
        <f aca="false">IF(I48&lt;&gt;"",I48,X47)</f>
        <v>24200000</v>
      </c>
      <c r="Y48" s="194" t="n">
        <f aca="false">IF(AND(F48&lt;&gt;"",C48&lt;&gt;""),J48,Y47)</f>
        <v>4544760</v>
      </c>
      <c r="Z48" s="69" t="n">
        <f aca="false">IF(AND(K48&lt;&gt;"",C48&lt;&gt;""),C48,Z47)</f>
        <v>46285</v>
      </c>
      <c r="AA48" s="194" t="n">
        <f aca="false">IF(AND(K48&lt;&gt;"",C48&lt;&gt;""),L48,AA47)</f>
        <v>4634800</v>
      </c>
    </row>
    <row r="49" customFormat="false" ht="15" hidden="false" customHeight="false" outlineLevel="0" collapsed="false">
      <c r="A49" s="117" t="str">
        <f aca="false">IF(B49="","",ROW()-6)</f>
        <v/>
      </c>
      <c r="B49" s="127" t="str">
        <f aca="false">IF(C48="","",IF(C48&gt;='ตั้งค่า Setup'!$C$111,"",C48+1))</f>
        <v/>
      </c>
      <c r="C49" s="127" t="str">
        <f aca="false">IF(B49="","",IF('ตั้งค่า Setup'!$C$16="รายสัปดาห์ / Weekly",B49+6,IF('ตั้งค่า Setup'!$C$16="รายเดือน / Monthly",EOMONTH(B49,0),IF(DAY(B49)&lt;=10,DATE(YEAR(B49),MONTH(B49),10),IF(DAY(B49)&lt;=20,DATE(YEAR(B49),MONTH(B49),20),EOMONTH(B49,0))))))</f>
        <v/>
      </c>
      <c r="D49" s="115" t="str">
        <f aca="false">IF(C49="","",SUMPRODUCT('แผนงาน Schedule'!$G$7:$G$156,('แผนงาน Schedule'!$J$7:$J$156&lt;=C49)+('แผนงาน Schedule'!$I$7:$I$156&lt;=C49)*('แผนงาน Schedule'!$J$7:$J$156&gt;C49)*(C49-'แผนงาน Schedule'!$I$7:$I$156+1)/('แผนงาน Schedule'!$J$7:$J$156-'แผนงาน Schedule'!$I$7:$I$156+1)))</f>
        <v/>
      </c>
      <c r="E49" s="115" t="str">
        <f aca="false">IF(C49="","",SUMPRODUCT('แผนงาน Schedule'!$G$7:$G$156,('แผนงาน Schedule'!$AB$7:$AB$156&lt;=C49)+('แผนงาน Schedule'!$AA$7:$AA$156&lt;=C49)*('แผนงาน Schedule'!$AB$7:$AB$156&gt;C49)*(C49-'แผนงาน Schedule'!$AA$7:$AA$156+1)/('แผนงาน Schedule'!$AB$7:$AB$156-'แผนงาน Schedule'!$AA$7:$AA$156+1)))</f>
        <v/>
      </c>
      <c r="F49" s="113"/>
      <c r="G49" s="115" t="str">
        <f aca="false">IF(OR(C49="",NOT(ISNUMBER(Dashboard!$C$27))),"",IF(C49&lt;Dashboard!$C$7,"",IF(Dashboard!$C$27&lt;=Dashboard!$C$7,1,MIN(1,Dashboard!$C$19+(1-Dashboard!$C$19)*(C49-Dashboard!$C$7)/(Dashboard!$C$27-Dashboard!$C$7)))))</f>
        <v/>
      </c>
      <c r="H49" s="192" t="str">
        <f aca="false">IF(OR(F49="",D49=""),"",F49-D49)</f>
        <v/>
      </c>
      <c r="I49" s="182" t="str">
        <f aca="false">IF(D49="","",D49*'ตั้งค่า Setup'!$C$9)</f>
        <v/>
      </c>
      <c r="J49" s="182" t="str">
        <f aca="false">IF(OR(C49="",F49=""),"",F49*'ตั้งค่า Setup'!$C$9)</f>
        <v/>
      </c>
      <c r="K49" s="23"/>
      <c r="L49" s="182" t="str">
        <f aca="false">IF(OR(C49="",K49=""),"",SUM(K$7:K49))</f>
        <v/>
      </c>
      <c r="M49" s="23"/>
      <c r="N49" s="182" t="str">
        <f aca="false">IF(OR(C49="",B49&gt;'ตั้งค่า Setup'!$C$15),"",SUM(M$7:M49))</f>
        <v/>
      </c>
      <c r="P49" s="69" t="n">
        <f aca="false">IF(C49&lt;&gt;"",C49,P48)</f>
        <v>46487</v>
      </c>
      <c r="Q49" s="193" t="n">
        <f aca="false">IF(D49&lt;&gt;"",D49,Q48)</f>
        <v>1</v>
      </c>
      <c r="R49" s="69" t="n">
        <f aca="false">IF(Dashboard!$C$63,P49,R48)</f>
        <v>46174</v>
      </c>
      <c r="S49" s="193" t="n">
        <f aca="false">IF(AND(Dashboard!$C$63,E49&lt;&gt;""),E49,S48)</f>
        <v>0</v>
      </c>
      <c r="T49" s="69" t="n">
        <f aca="false">IF(AND(F49&lt;&gt;"",C49&lt;&gt;""),C49,T48)</f>
        <v>46295</v>
      </c>
      <c r="U49" s="193" t="n">
        <f aca="false">IF(AND(F49&lt;&gt;"",C49&lt;&gt;""),F49,U48)</f>
        <v>0.1878</v>
      </c>
      <c r="V49" s="69" t="n">
        <f aca="false">IF(ISNUMBER(G49),C49,V48)</f>
        <v>46487</v>
      </c>
      <c r="W49" s="193" t="n">
        <f aca="false">IF(ISNUMBER(G49),G49,W48)</f>
        <v>1</v>
      </c>
      <c r="X49" s="194" t="n">
        <f aca="false">IF(I49&lt;&gt;"",I49,X48)</f>
        <v>24200000</v>
      </c>
      <c r="Y49" s="194" t="n">
        <f aca="false">IF(AND(F49&lt;&gt;"",C49&lt;&gt;""),J49,Y48)</f>
        <v>4544760</v>
      </c>
      <c r="Z49" s="69" t="n">
        <f aca="false">IF(AND(K49&lt;&gt;"",C49&lt;&gt;""),C49,Z48)</f>
        <v>46285</v>
      </c>
      <c r="AA49" s="194" t="n">
        <f aca="false">IF(AND(K49&lt;&gt;"",C49&lt;&gt;""),L49,AA48)</f>
        <v>4634800</v>
      </c>
    </row>
    <row r="50" customFormat="false" ht="15" hidden="false" customHeight="false" outlineLevel="0" collapsed="false">
      <c r="A50" s="117" t="str">
        <f aca="false">IF(B50="","",ROW()-6)</f>
        <v/>
      </c>
      <c r="B50" s="127" t="str">
        <f aca="false">IF(C49="","",IF(C49&gt;='ตั้งค่า Setup'!$C$111,"",C49+1))</f>
        <v/>
      </c>
      <c r="C50" s="127" t="str">
        <f aca="false">IF(B50="","",IF('ตั้งค่า Setup'!$C$16="รายสัปดาห์ / Weekly",B50+6,IF('ตั้งค่า Setup'!$C$16="รายเดือน / Monthly",EOMONTH(B50,0),IF(DAY(B50)&lt;=10,DATE(YEAR(B50),MONTH(B50),10),IF(DAY(B50)&lt;=20,DATE(YEAR(B50),MONTH(B50),20),EOMONTH(B50,0))))))</f>
        <v/>
      </c>
      <c r="D50" s="115" t="str">
        <f aca="false">IF(C50="","",SUMPRODUCT('แผนงาน Schedule'!$G$7:$G$156,('แผนงาน Schedule'!$J$7:$J$156&lt;=C50)+('แผนงาน Schedule'!$I$7:$I$156&lt;=C50)*('แผนงาน Schedule'!$J$7:$J$156&gt;C50)*(C50-'แผนงาน Schedule'!$I$7:$I$156+1)/('แผนงาน Schedule'!$J$7:$J$156-'แผนงาน Schedule'!$I$7:$I$156+1)))</f>
        <v/>
      </c>
      <c r="E50" s="115" t="str">
        <f aca="false">IF(C50="","",SUMPRODUCT('แผนงาน Schedule'!$G$7:$G$156,('แผนงาน Schedule'!$AB$7:$AB$156&lt;=C50)+('แผนงาน Schedule'!$AA$7:$AA$156&lt;=C50)*('แผนงาน Schedule'!$AB$7:$AB$156&gt;C50)*(C50-'แผนงาน Schedule'!$AA$7:$AA$156+1)/('แผนงาน Schedule'!$AB$7:$AB$156-'แผนงาน Schedule'!$AA$7:$AA$156+1)))</f>
        <v/>
      </c>
      <c r="F50" s="113"/>
      <c r="G50" s="115" t="str">
        <f aca="false">IF(OR(C50="",NOT(ISNUMBER(Dashboard!$C$27))),"",IF(C50&lt;Dashboard!$C$7,"",IF(Dashboard!$C$27&lt;=Dashboard!$C$7,1,MIN(1,Dashboard!$C$19+(1-Dashboard!$C$19)*(C50-Dashboard!$C$7)/(Dashboard!$C$27-Dashboard!$C$7)))))</f>
        <v/>
      </c>
      <c r="H50" s="192" t="str">
        <f aca="false">IF(OR(F50="",D50=""),"",F50-D50)</f>
        <v/>
      </c>
      <c r="I50" s="182" t="str">
        <f aca="false">IF(D50="","",D50*'ตั้งค่า Setup'!$C$9)</f>
        <v/>
      </c>
      <c r="J50" s="182" t="str">
        <f aca="false">IF(OR(C50="",F50=""),"",F50*'ตั้งค่า Setup'!$C$9)</f>
        <v/>
      </c>
      <c r="K50" s="23"/>
      <c r="L50" s="182" t="str">
        <f aca="false">IF(OR(C50="",K50=""),"",SUM(K$7:K50))</f>
        <v/>
      </c>
      <c r="M50" s="23"/>
      <c r="N50" s="182" t="str">
        <f aca="false">IF(OR(C50="",B50&gt;'ตั้งค่า Setup'!$C$15),"",SUM(M$7:M50))</f>
        <v/>
      </c>
      <c r="P50" s="69" t="n">
        <f aca="false">IF(C50&lt;&gt;"",C50,P49)</f>
        <v>46487</v>
      </c>
      <c r="Q50" s="193" t="n">
        <f aca="false">IF(D50&lt;&gt;"",D50,Q49)</f>
        <v>1</v>
      </c>
      <c r="R50" s="69" t="n">
        <f aca="false">IF(Dashboard!$C$63,P50,R49)</f>
        <v>46174</v>
      </c>
      <c r="S50" s="193" t="n">
        <f aca="false">IF(AND(Dashboard!$C$63,E50&lt;&gt;""),E50,S49)</f>
        <v>0</v>
      </c>
      <c r="T50" s="69" t="n">
        <f aca="false">IF(AND(F50&lt;&gt;"",C50&lt;&gt;""),C50,T49)</f>
        <v>46295</v>
      </c>
      <c r="U50" s="193" t="n">
        <f aca="false">IF(AND(F50&lt;&gt;"",C50&lt;&gt;""),F50,U49)</f>
        <v>0.1878</v>
      </c>
      <c r="V50" s="69" t="n">
        <f aca="false">IF(ISNUMBER(G50),C50,V49)</f>
        <v>46487</v>
      </c>
      <c r="W50" s="193" t="n">
        <f aca="false">IF(ISNUMBER(G50),G50,W49)</f>
        <v>1</v>
      </c>
      <c r="X50" s="194" t="n">
        <f aca="false">IF(I50&lt;&gt;"",I50,X49)</f>
        <v>24200000</v>
      </c>
      <c r="Y50" s="194" t="n">
        <f aca="false">IF(AND(F50&lt;&gt;"",C50&lt;&gt;""),J50,Y49)</f>
        <v>4544760</v>
      </c>
      <c r="Z50" s="69" t="n">
        <f aca="false">IF(AND(K50&lt;&gt;"",C50&lt;&gt;""),C50,Z49)</f>
        <v>46285</v>
      </c>
      <c r="AA50" s="194" t="n">
        <f aca="false">IF(AND(K50&lt;&gt;"",C50&lt;&gt;""),L50,AA49)</f>
        <v>4634800</v>
      </c>
    </row>
    <row r="51" customFormat="false" ht="15" hidden="false" customHeight="false" outlineLevel="0" collapsed="false">
      <c r="A51" s="117" t="str">
        <f aca="false">IF(B51="","",ROW()-6)</f>
        <v/>
      </c>
      <c r="B51" s="127" t="str">
        <f aca="false">IF(C50="","",IF(C50&gt;='ตั้งค่า Setup'!$C$111,"",C50+1))</f>
        <v/>
      </c>
      <c r="C51" s="127" t="str">
        <f aca="false">IF(B51="","",IF('ตั้งค่า Setup'!$C$16="รายสัปดาห์ / Weekly",B51+6,IF('ตั้งค่า Setup'!$C$16="รายเดือน / Monthly",EOMONTH(B51,0),IF(DAY(B51)&lt;=10,DATE(YEAR(B51),MONTH(B51),10),IF(DAY(B51)&lt;=20,DATE(YEAR(B51),MONTH(B51),20),EOMONTH(B51,0))))))</f>
        <v/>
      </c>
      <c r="D51" s="115" t="str">
        <f aca="false">IF(C51="","",SUMPRODUCT('แผนงาน Schedule'!$G$7:$G$156,('แผนงาน Schedule'!$J$7:$J$156&lt;=C51)+('แผนงาน Schedule'!$I$7:$I$156&lt;=C51)*('แผนงาน Schedule'!$J$7:$J$156&gt;C51)*(C51-'แผนงาน Schedule'!$I$7:$I$156+1)/('แผนงาน Schedule'!$J$7:$J$156-'แผนงาน Schedule'!$I$7:$I$156+1)))</f>
        <v/>
      </c>
      <c r="E51" s="115" t="str">
        <f aca="false">IF(C51="","",SUMPRODUCT('แผนงาน Schedule'!$G$7:$G$156,('แผนงาน Schedule'!$AB$7:$AB$156&lt;=C51)+('แผนงาน Schedule'!$AA$7:$AA$156&lt;=C51)*('แผนงาน Schedule'!$AB$7:$AB$156&gt;C51)*(C51-'แผนงาน Schedule'!$AA$7:$AA$156+1)/('แผนงาน Schedule'!$AB$7:$AB$156-'แผนงาน Schedule'!$AA$7:$AA$156+1)))</f>
        <v/>
      </c>
      <c r="F51" s="113"/>
      <c r="G51" s="115" t="str">
        <f aca="false">IF(OR(C51="",NOT(ISNUMBER(Dashboard!$C$27))),"",IF(C51&lt;Dashboard!$C$7,"",IF(Dashboard!$C$27&lt;=Dashboard!$C$7,1,MIN(1,Dashboard!$C$19+(1-Dashboard!$C$19)*(C51-Dashboard!$C$7)/(Dashboard!$C$27-Dashboard!$C$7)))))</f>
        <v/>
      </c>
      <c r="H51" s="192" t="str">
        <f aca="false">IF(OR(F51="",D51=""),"",F51-D51)</f>
        <v/>
      </c>
      <c r="I51" s="182" t="str">
        <f aca="false">IF(D51="","",D51*'ตั้งค่า Setup'!$C$9)</f>
        <v/>
      </c>
      <c r="J51" s="182" t="str">
        <f aca="false">IF(OR(C51="",F51=""),"",F51*'ตั้งค่า Setup'!$C$9)</f>
        <v/>
      </c>
      <c r="K51" s="23"/>
      <c r="L51" s="182" t="str">
        <f aca="false">IF(OR(C51="",K51=""),"",SUM(K$7:K51))</f>
        <v/>
      </c>
      <c r="M51" s="23"/>
      <c r="N51" s="182" t="str">
        <f aca="false">IF(OR(C51="",B51&gt;'ตั้งค่า Setup'!$C$15),"",SUM(M$7:M51))</f>
        <v/>
      </c>
      <c r="P51" s="69" t="n">
        <f aca="false">IF(C51&lt;&gt;"",C51,P50)</f>
        <v>46487</v>
      </c>
      <c r="Q51" s="193" t="n">
        <f aca="false">IF(D51&lt;&gt;"",D51,Q50)</f>
        <v>1</v>
      </c>
      <c r="R51" s="69" t="n">
        <f aca="false">IF(Dashboard!$C$63,P51,R50)</f>
        <v>46174</v>
      </c>
      <c r="S51" s="193" t="n">
        <f aca="false">IF(AND(Dashboard!$C$63,E51&lt;&gt;""),E51,S50)</f>
        <v>0</v>
      </c>
      <c r="T51" s="69" t="n">
        <f aca="false">IF(AND(F51&lt;&gt;"",C51&lt;&gt;""),C51,T50)</f>
        <v>46295</v>
      </c>
      <c r="U51" s="193" t="n">
        <f aca="false">IF(AND(F51&lt;&gt;"",C51&lt;&gt;""),F51,U50)</f>
        <v>0.1878</v>
      </c>
      <c r="V51" s="69" t="n">
        <f aca="false">IF(ISNUMBER(G51),C51,V50)</f>
        <v>46487</v>
      </c>
      <c r="W51" s="193" t="n">
        <f aca="false">IF(ISNUMBER(G51),G51,W50)</f>
        <v>1</v>
      </c>
      <c r="X51" s="194" t="n">
        <f aca="false">IF(I51&lt;&gt;"",I51,X50)</f>
        <v>24200000</v>
      </c>
      <c r="Y51" s="194" t="n">
        <f aca="false">IF(AND(F51&lt;&gt;"",C51&lt;&gt;""),J51,Y50)</f>
        <v>4544760</v>
      </c>
      <c r="Z51" s="69" t="n">
        <f aca="false">IF(AND(K51&lt;&gt;"",C51&lt;&gt;""),C51,Z50)</f>
        <v>46285</v>
      </c>
      <c r="AA51" s="194" t="n">
        <f aca="false">IF(AND(K51&lt;&gt;"",C51&lt;&gt;""),L51,AA50)</f>
        <v>4634800</v>
      </c>
    </row>
    <row r="52" customFormat="false" ht="15" hidden="false" customHeight="false" outlineLevel="0" collapsed="false">
      <c r="A52" s="117" t="str">
        <f aca="false">IF(B52="","",ROW()-6)</f>
        <v/>
      </c>
      <c r="B52" s="127" t="str">
        <f aca="false">IF(C51="","",IF(C51&gt;='ตั้งค่า Setup'!$C$111,"",C51+1))</f>
        <v/>
      </c>
      <c r="C52" s="127" t="str">
        <f aca="false">IF(B52="","",IF('ตั้งค่า Setup'!$C$16="รายสัปดาห์ / Weekly",B52+6,IF('ตั้งค่า Setup'!$C$16="รายเดือน / Monthly",EOMONTH(B52,0),IF(DAY(B52)&lt;=10,DATE(YEAR(B52),MONTH(B52),10),IF(DAY(B52)&lt;=20,DATE(YEAR(B52),MONTH(B52),20),EOMONTH(B52,0))))))</f>
        <v/>
      </c>
      <c r="D52" s="115" t="str">
        <f aca="false">IF(C52="","",SUMPRODUCT('แผนงาน Schedule'!$G$7:$G$156,('แผนงาน Schedule'!$J$7:$J$156&lt;=C52)+('แผนงาน Schedule'!$I$7:$I$156&lt;=C52)*('แผนงาน Schedule'!$J$7:$J$156&gt;C52)*(C52-'แผนงาน Schedule'!$I$7:$I$156+1)/('แผนงาน Schedule'!$J$7:$J$156-'แผนงาน Schedule'!$I$7:$I$156+1)))</f>
        <v/>
      </c>
      <c r="E52" s="115" t="str">
        <f aca="false">IF(C52="","",SUMPRODUCT('แผนงาน Schedule'!$G$7:$G$156,('แผนงาน Schedule'!$AB$7:$AB$156&lt;=C52)+('แผนงาน Schedule'!$AA$7:$AA$156&lt;=C52)*('แผนงาน Schedule'!$AB$7:$AB$156&gt;C52)*(C52-'แผนงาน Schedule'!$AA$7:$AA$156+1)/('แผนงาน Schedule'!$AB$7:$AB$156-'แผนงาน Schedule'!$AA$7:$AA$156+1)))</f>
        <v/>
      </c>
      <c r="F52" s="113"/>
      <c r="G52" s="115" t="str">
        <f aca="false">IF(OR(C52="",NOT(ISNUMBER(Dashboard!$C$27))),"",IF(C52&lt;Dashboard!$C$7,"",IF(Dashboard!$C$27&lt;=Dashboard!$C$7,1,MIN(1,Dashboard!$C$19+(1-Dashboard!$C$19)*(C52-Dashboard!$C$7)/(Dashboard!$C$27-Dashboard!$C$7)))))</f>
        <v/>
      </c>
      <c r="H52" s="192" t="str">
        <f aca="false">IF(OR(F52="",D52=""),"",F52-D52)</f>
        <v/>
      </c>
      <c r="I52" s="182" t="str">
        <f aca="false">IF(D52="","",D52*'ตั้งค่า Setup'!$C$9)</f>
        <v/>
      </c>
      <c r="J52" s="182" t="str">
        <f aca="false">IF(OR(C52="",F52=""),"",F52*'ตั้งค่า Setup'!$C$9)</f>
        <v/>
      </c>
      <c r="K52" s="23"/>
      <c r="L52" s="182" t="str">
        <f aca="false">IF(OR(C52="",K52=""),"",SUM(K$7:K52))</f>
        <v/>
      </c>
      <c r="M52" s="23"/>
      <c r="N52" s="182" t="str">
        <f aca="false">IF(OR(C52="",B52&gt;'ตั้งค่า Setup'!$C$15),"",SUM(M$7:M52))</f>
        <v/>
      </c>
      <c r="P52" s="69" t="n">
        <f aca="false">IF(C52&lt;&gt;"",C52,P51)</f>
        <v>46487</v>
      </c>
      <c r="Q52" s="193" t="n">
        <f aca="false">IF(D52&lt;&gt;"",D52,Q51)</f>
        <v>1</v>
      </c>
      <c r="R52" s="69" t="n">
        <f aca="false">IF(Dashboard!$C$63,P52,R51)</f>
        <v>46174</v>
      </c>
      <c r="S52" s="193" t="n">
        <f aca="false">IF(AND(Dashboard!$C$63,E52&lt;&gt;""),E52,S51)</f>
        <v>0</v>
      </c>
      <c r="T52" s="69" t="n">
        <f aca="false">IF(AND(F52&lt;&gt;"",C52&lt;&gt;""),C52,T51)</f>
        <v>46295</v>
      </c>
      <c r="U52" s="193" t="n">
        <f aca="false">IF(AND(F52&lt;&gt;"",C52&lt;&gt;""),F52,U51)</f>
        <v>0.1878</v>
      </c>
      <c r="V52" s="69" t="n">
        <f aca="false">IF(ISNUMBER(G52),C52,V51)</f>
        <v>46487</v>
      </c>
      <c r="W52" s="193" t="n">
        <f aca="false">IF(ISNUMBER(G52),G52,W51)</f>
        <v>1</v>
      </c>
      <c r="X52" s="194" t="n">
        <f aca="false">IF(I52&lt;&gt;"",I52,X51)</f>
        <v>24200000</v>
      </c>
      <c r="Y52" s="194" t="n">
        <f aca="false">IF(AND(F52&lt;&gt;"",C52&lt;&gt;""),J52,Y51)</f>
        <v>4544760</v>
      </c>
      <c r="Z52" s="69" t="n">
        <f aca="false">IF(AND(K52&lt;&gt;"",C52&lt;&gt;""),C52,Z51)</f>
        <v>46285</v>
      </c>
      <c r="AA52" s="194" t="n">
        <f aca="false">IF(AND(K52&lt;&gt;"",C52&lt;&gt;""),L52,AA51)</f>
        <v>4634800</v>
      </c>
    </row>
    <row r="53" customFormat="false" ht="15" hidden="false" customHeight="false" outlineLevel="0" collapsed="false">
      <c r="A53" s="117" t="str">
        <f aca="false">IF(B53="","",ROW()-6)</f>
        <v/>
      </c>
      <c r="B53" s="127" t="str">
        <f aca="false">IF(C52="","",IF(C52&gt;='ตั้งค่า Setup'!$C$111,"",C52+1))</f>
        <v/>
      </c>
      <c r="C53" s="127" t="str">
        <f aca="false">IF(B53="","",IF('ตั้งค่า Setup'!$C$16="รายสัปดาห์ / Weekly",B53+6,IF('ตั้งค่า Setup'!$C$16="รายเดือน / Monthly",EOMONTH(B53,0),IF(DAY(B53)&lt;=10,DATE(YEAR(B53),MONTH(B53),10),IF(DAY(B53)&lt;=20,DATE(YEAR(B53),MONTH(B53),20),EOMONTH(B53,0))))))</f>
        <v/>
      </c>
      <c r="D53" s="115" t="str">
        <f aca="false">IF(C53="","",SUMPRODUCT('แผนงาน Schedule'!$G$7:$G$156,('แผนงาน Schedule'!$J$7:$J$156&lt;=C53)+('แผนงาน Schedule'!$I$7:$I$156&lt;=C53)*('แผนงาน Schedule'!$J$7:$J$156&gt;C53)*(C53-'แผนงาน Schedule'!$I$7:$I$156+1)/('แผนงาน Schedule'!$J$7:$J$156-'แผนงาน Schedule'!$I$7:$I$156+1)))</f>
        <v/>
      </c>
      <c r="E53" s="115" t="str">
        <f aca="false">IF(C53="","",SUMPRODUCT('แผนงาน Schedule'!$G$7:$G$156,('แผนงาน Schedule'!$AB$7:$AB$156&lt;=C53)+('แผนงาน Schedule'!$AA$7:$AA$156&lt;=C53)*('แผนงาน Schedule'!$AB$7:$AB$156&gt;C53)*(C53-'แผนงาน Schedule'!$AA$7:$AA$156+1)/('แผนงาน Schedule'!$AB$7:$AB$156-'แผนงาน Schedule'!$AA$7:$AA$156+1)))</f>
        <v/>
      </c>
      <c r="F53" s="113"/>
      <c r="G53" s="115" t="str">
        <f aca="false">IF(OR(C53="",NOT(ISNUMBER(Dashboard!$C$27))),"",IF(C53&lt;Dashboard!$C$7,"",IF(Dashboard!$C$27&lt;=Dashboard!$C$7,1,MIN(1,Dashboard!$C$19+(1-Dashboard!$C$19)*(C53-Dashboard!$C$7)/(Dashboard!$C$27-Dashboard!$C$7)))))</f>
        <v/>
      </c>
      <c r="H53" s="192" t="str">
        <f aca="false">IF(OR(F53="",D53=""),"",F53-D53)</f>
        <v/>
      </c>
      <c r="I53" s="182" t="str">
        <f aca="false">IF(D53="","",D53*'ตั้งค่า Setup'!$C$9)</f>
        <v/>
      </c>
      <c r="J53" s="182" t="str">
        <f aca="false">IF(OR(C53="",F53=""),"",F53*'ตั้งค่า Setup'!$C$9)</f>
        <v/>
      </c>
      <c r="K53" s="23"/>
      <c r="L53" s="182" t="str">
        <f aca="false">IF(OR(C53="",K53=""),"",SUM(K$7:K53))</f>
        <v/>
      </c>
      <c r="M53" s="23"/>
      <c r="N53" s="182" t="str">
        <f aca="false">IF(OR(C53="",B53&gt;'ตั้งค่า Setup'!$C$15),"",SUM(M$7:M53))</f>
        <v/>
      </c>
      <c r="P53" s="69" t="n">
        <f aca="false">IF(C53&lt;&gt;"",C53,P52)</f>
        <v>46487</v>
      </c>
      <c r="Q53" s="193" t="n">
        <f aca="false">IF(D53&lt;&gt;"",D53,Q52)</f>
        <v>1</v>
      </c>
      <c r="R53" s="69" t="n">
        <f aca="false">IF(Dashboard!$C$63,P53,R52)</f>
        <v>46174</v>
      </c>
      <c r="S53" s="193" t="n">
        <f aca="false">IF(AND(Dashboard!$C$63,E53&lt;&gt;""),E53,S52)</f>
        <v>0</v>
      </c>
      <c r="T53" s="69" t="n">
        <f aca="false">IF(AND(F53&lt;&gt;"",C53&lt;&gt;""),C53,T52)</f>
        <v>46295</v>
      </c>
      <c r="U53" s="193" t="n">
        <f aca="false">IF(AND(F53&lt;&gt;"",C53&lt;&gt;""),F53,U52)</f>
        <v>0.1878</v>
      </c>
      <c r="V53" s="69" t="n">
        <f aca="false">IF(ISNUMBER(G53),C53,V52)</f>
        <v>46487</v>
      </c>
      <c r="W53" s="193" t="n">
        <f aca="false">IF(ISNUMBER(G53),G53,W52)</f>
        <v>1</v>
      </c>
      <c r="X53" s="194" t="n">
        <f aca="false">IF(I53&lt;&gt;"",I53,X52)</f>
        <v>24200000</v>
      </c>
      <c r="Y53" s="194" t="n">
        <f aca="false">IF(AND(F53&lt;&gt;"",C53&lt;&gt;""),J53,Y52)</f>
        <v>4544760</v>
      </c>
      <c r="Z53" s="69" t="n">
        <f aca="false">IF(AND(K53&lt;&gt;"",C53&lt;&gt;""),C53,Z52)</f>
        <v>46285</v>
      </c>
      <c r="AA53" s="194" t="n">
        <f aca="false">IF(AND(K53&lt;&gt;"",C53&lt;&gt;""),L53,AA52)</f>
        <v>4634800</v>
      </c>
    </row>
    <row r="54" customFormat="false" ht="15" hidden="false" customHeight="false" outlineLevel="0" collapsed="false">
      <c r="A54" s="117" t="str">
        <f aca="false">IF(B54="","",ROW()-6)</f>
        <v/>
      </c>
      <c r="B54" s="127" t="str">
        <f aca="false">IF(C53="","",IF(C53&gt;='ตั้งค่า Setup'!$C$111,"",C53+1))</f>
        <v/>
      </c>
      <c r="C54" s="127" t="str">
        <f aca="false">IF(B54="","",IF('ตั้งค่า Setup'!$C$16="รายสัปดาห์ / Weekly",B54+6,IF('ตั้งค่า Setup'!$C$16="รายเดือน / Monthly",EOMONTH(B54,0),IF(DAY(B54)&lt;=10,DATE(YEAR(B54),MONTH(B54),10),IF(DAY(B54)&lt;=20,DATE(YEAR(B54),MONTH(B54),20),EOMONTH(B54,0))))))</f>
        <v/>
      </c>
      <c r="D54" s="115" t="str">
        <f aca="false">IF(C54="","",SUMPRODUCT('แผนงาน Schedule'!$G$7:$G$156,('แผนงาน Schedule'!$J$7:$J$156&lt;=C54)+('แผนงาน Schedule'!$I$7:$I$156&lt;=C54)*('แผนงาน Schedule'!$J$7:$J$156&gt;C54)*(C54-'แผนงาน Schedule'!$I$7:$I$156+1)/('แผนงาน Schedule'!$J$7:$J$156-'แผนงาน Schedule'!$I$7:$I$156+1)))</f>
        <v/>
      </c>
      <c r="E54" s="115" t="str">
        <f aca="false">IF(C54="","",SUMPRODUCT('แผนงาน Schedule'!$G$7:$G$156,('แผนงาน Schedule'!$AB$7:$AB$156&lt;=C54)+('แผนงาน Schedule'!$AA$7:$AA$156&lt;=C54)*('แผนงาน Schedule'!$AB$7:$AB$156&gt;C54)*(C54-'แผนงาน Schedule'!$AA$7:$AA$156+1)/('แผนงาน Schedule'!$AB$7:$AB$156-'แผนงาน Schedule'!$AA$7:$AA$156+1)))</f>
        <v/>
      </c>
      <c r="F54" s="113"/>
      <c r="G54" s="115" t="str">
        <f aca="false">IF(OR(C54="",NOT(ISNUMBER(Dashboard!$C$27))),"",IF(C54&lt;Dashboard!$C$7,"",IF(Dashboard!$C$27&lt;=Dashboard!$C$7,1,MIN(1,Dashboard!$C$19+(1-Dashboard!$C$19)*(C54-Dashboard!$C$7)/(Dashboard!$C$27-Dashboard!$C$7)))))</f>
        <v/>
      </c>
      <c r="H54" s="192" t="str">
        <f aca="false">IF(OR(F54="",D54=""),"",F54-D54)</f>
        <v/>
      </c>
      <c r="I54" s="182" t="str">
        <f aca="false">IF(D54="","",D54*'ตั้งค่า Setup'!$C$9)</f>
        <v/>
      </c>
      <c r="J54" s="182" t="str">
        <f aca="false">IF(OR(C54="",F54=""),"",F54*'ตั้งค่า Setup'!$C$9)</f>
        <v/>
      </c>
      <c r="K54" s="23"/>
      <c r="L54" s="182" t="str">
        <f aca="false">IF(OR(C54="",K54=""),"",SUM(K$7:K54))</f>
        <v/>
      </c>
      <c r="M54" s="23"/>
      <c r="N54" s="182" t="str">
        <f aca="false">IF(OR(C54="",B54&gt;'ตั้งค่า Setup'!$C$15),"",SUM(M$7:M54))</f>
        <v/>
      </c>
      <c r="P54" s="69" t="n">
        <f aca="false">IF(C54&lt;&gt;"",C54,P53)</f>
        <v>46487</v>
      </c>
      <c r="Q54" s="193" t="n">
        <f aca="false">IF(D54&lt;&gt;"",D54,Q53)</f>
        <v>1</v>
      </c>
      <c r="R54" s="69" t="n">
        <f aca="false">IF(Dashboard!$C$63,P54,R53)</f>
        <v>46174</v>
      </c>
      <c r="S54" s="193" t="n">
        <f aca="false">IF(AND(Dashboard!$C$63,E54&lt;&gt;""),E54,S53)</f>
        <v>0</v>
      </c>
      <c r="T54" s="69" t="n">
        <f aca="false">IF(AND(F54&lt;&gt;"",C54&lt;&gt;""),C54,T53)</f>
        <v>46295</v>
      </c>
      <c r="U54" s="193" t="n">
        <f aca="false">IF(AND(F54&lt;&gt;"",C54&lt;&gt;""),F54,U53)</f>
        <v>0.1878</v>
      </c>
      <c r="V54" s="69" t="n">
        <f aca="false">IF(ISNUMBER(G54),C54,V53)</f>
        <v>46487</v>
      </c>
      <c r="W54" s="193" t="n">
        <f aca="false">IF(ISNUMBER(G54),G54,W53)</f>
        <v>1</v>
      </c>
      <c r="X54" s="194" t="n">
        <f aca="false">IF(I54&lt;&gt;"",I54,X53)</f>
        <v>24200000</v>
      </c>
      <c r="Y54" s="194" t="n">
        <f aca="false">IF(AND(F54&lt;&gt;"",C54&lt;&gt;""),J54,Y53)</f>
        <v>4544760</v>
      </c>
      <c r="Z54" s="69" t="n">
        <f aca="false">IF(AND(K54&lt;&gt;"",C54&lt;&gt;""),C54,Z53)</f>
        <v>46285</v>
      </c>
      <c r="AA54" s="194" t="n">
        <f aca="false">IF(AND(K54&lt;&gt;"",C54&lt;&gt;""),L54,AA53)</f>
        <v>4634800</v>
      </c>
    </row>
    <row r="55" customFormat="false" ht="15" hidden="false" customHeight="false" outlineLevel="0" collapsed="false">
      <c r="A55" s="117" t="str">
        <f aca="false">IF(B55="","",ROW()-6)</f>
        <v/>
      </c>
      <c r="B55" s="127" t="str">
        <f aca="false">IF(C54="","",IF(C54&gt;='ตั้งค่า Setup'!$C$111,"",C54+1))</f>
        <v/>
      </c>
      <c r="C55" s="127" t="str">
        <f aca="false">IF(B55="","",IF('ตั้งค่า Setup'!$C$16="รายสัปดาห์ / Weekly",B55+6,IF('ตั้งค่า Setup'!$C$16="รายเดือน / Monthly",EOMONTH(B55,0),IF(DAY(B55)&lt;=10,DATE(YEAR(B55),MONTH(B55),10),IF(DAY(B55)&lt;=20,DATE(YEAR(B55),MONTH(B55),20),EOMONTH(B55,0))))))</f>
        <v/>
      </c>
      <c r="D55" s="115" t="str">
        <f aca="false">IF(C55="","",SUMPRODUCT('แผนงาน Schedule'!$G$7:$G$156,('แผนงาน Schedule'!$J$7:$J$156&lt;=C55)+('แผนงาน Schedule'!$I$7:$I$156&lt;=C55)*('แผนงาน Schedule'!$J$7:$J$156&gt;C55)*(C55-'แผนงาน Schedule'!$I$7:$I$156+1)/('แผนงาน Schedule'!$J$7:$J$156-'แผนงาน Schedule'!$I$7:$I$156+1)))</f>
        <v/>
      </c>
      <c r="E55" s="115" t="str">
        <f aca="false">IF(C55="","",SUMPRODUCT('แผนงาน Schedule'!$G$7:$G$156,('แผนงาน Schedule'!$AB$7:$AB$156&lt;=C55)+('แผนงาน Schedule'!$AA$7:$AA$156&lt;=C55)*('แผนงาน Schedule'!$AB$7:$AB$156&gt;C55)*(C55-'แผนงาน Schedule'!$AA$7:$AA$156+1)/('แผนงาน Schedule'!$AB$7:$AB$156-'แผนงาน Schedule'!$AA$7:$AA$156+1)))</f>
        <v/>
      </c>
      <c r="F55" s="113"/>
      <c r="G55" s="115" t="str">
        <f aca="false">IF(OR(C55="",NOT(ISNUMBER(Dashboard!$C$27))),"",IF(C55&lt;Dashboard!$C$7,"",IF(Dashboard!$C$27&lt;=Dashboard!$C$7,1,MIN(1,Dashboard!$C$19+(1-Dashboard!$C$19)*(C55-Dashboard!$C$7)/(Dashboard!$C$27-Dashboard!$C$7)))))</f>
        <v/>
      </c>
      <c r="H55" s="192" t="str">
        <f aca="false">IF(OR(F55="",D55=""),"",F55-D55)</f>
        <v/>
      </c>
      <c r="I55" s="182" t="str">
        <f aca="false">IF(D55="","",D55*'ตั้งค่า Setup'!$C$9)</f>
        <v/>
      </c>
      <c r="J55" s="182" t="str">
        <f aca="false">IF(OR(C55="",F55=""),"",F55*'ตั้งค่า Setup'!$C$9)</f>
        <v/>
      </c>
      <c r="K55" s="23"/>
      <c r="L55" s="182" t="str">
        <f aca="false">IF(OR(C55="",K55=""),"",SUM(K$7:K55))</f>
        <v/>
      </c>
      <c r="M55" s="23"/>
      <c r="N55" s="182" t="str">
        <f aca="false">IF(OR(C55="",B55&gt;'ตั้งค่า Setup'!$C$15),"",SUM(M$7:M55))</f>
        <v/>
      </c>
      <c r="P55" s="69" t="n">
        <f aca="false">IF(C55&lt;&gt;"",C55,P54)</f>
        <v>46487</v>
      </c>
      <c r="Q55" s="193" t="n">
        <f aca="false">IF(D55&lt;&gt;"",D55,Q54)</f>
        <v>1</v>
      </c>
      <c r="R55" s="69" t="n">
        <f aca="false">IF(Dashboard!$C$63,P55,R54)</f>
        <v>46174</v>
      </c>
      <c r="S55" s="193" t="n">
        <f aca="false">IF(AND(Dashboard!$C$63,E55&lt;&gt;""),E55,S54)</f>
        <v>0</v>
      </c>
      <c r="T55" s="69" t="n">
        <f aca="false">IF(AND(F55&lt;&gt;"",C55&lt;&gt;""),C55,T54)</f>
        <v>46295</v>
      </c>
      <c r="U55" s="193" t="n">
        <f aca="false">IF(AND(F55&lt;&gt;"",C55&lt;&gt;""),F55,U54)</f>
        <v>0.1878</v>
      </c>
      <c r="V55" s="69" t="n">
        <f aca="false">IF(ISNUMBER(G55),C55,V54)</f>
        <v>46487</v>
      </c>
      <c r="W55" s="193" t="n">
        <f aca="false">IF(ISNUMBER(G55),G55,W54)</f>
        <v>1</v>
      </c>
      <c r="X55" s="194" t="n">
        <f aca="false">IF(I55&lt;&gt;"",I55,X54)</f>
        <v>24200000</v>
      </c>
      <c r="Y55" s="194" t="n">
        <f aca="false">IF(AND(F55&lt;&gt;"",C55&lt;&gt;""),J55,Y54)</f>
        <v>4544760</v>
      </c>
      <c r="Z55" s="69" t="n">
        <f aca="false">IF(AND(K55&lt;&gt;"",C55&lt;&gt;""),C55,Z54)</f>
        <v>46285</v>
      </c>
      <c r="AA55" s="194" t="n">
        <f aca="false">IF(AND(K55&lt;&gt;"",C55&lt;&gt;""),L55,AA54)</f>
        <v>4634800</v>
      </c>
    </row>
    <row r="56" customFormat="false" ht="15" hidden="false" customHeight="false" outlineLevel="0" collapsed="false">
      <c r="A56" s="117" t="str">
        <f aca="false">IF(B56="","",ROW()-6)</f>
        <v/>
      </c>
      <c r="B56" s="127" t="str">
        <f aca="false">IF(C55="","",IF(C55&gt;='ตั้งค่า Setup'!$C$111,"",C55+1))</f>
        <v/>
      </c>
      <c r="C56" s="127" t="str">
        <f aca="false">IF(B56="","",IF('ตั้งค่า Setup'!$C$16="รายสัปดาห์ / Weekly",B56+6,IF('ตั้งค่า Setup'!$C$16="รายเดือน / Monthly",EOMONTH(B56,0),IF(DAY(B56)&lt;=10,DATE(YEAR(B56),MONTH(B56),10),IF(DAY(B56)&lt;=20,DATE(YEAR(B56),MONTH(B56),20),EOMONTH(B56,0))))))</f>
        <v/>
      </c>
      <c r="D56" s="115" t="str">
        <f aca="false">IF(C56="","",SUMPRODUCT('แผนงาน Schedule'!$G$7:$G$156,('แผนงาน Schedule'!$J$7:$J$156&lt;=C56)+('แผนงาน Schedule'!$I$7:$I$156&lt;=C56)*('แผนงาน Schedule'!$J$7:$J$156&gt;C56)*(C56-'แผนงาน Schedule'!$I$7:$I$156+1)/('แผนงาน Schedule'!$J$7:$J$156-'แผนงาน Schedule'!$I$7:$I$156+1)))</f>
        <v/>
      </c>
      <c r="E56" s="115" t="str">
        <f aca="false">IF(C56="","",SUMPRODUCT('แผนงาน Schedule'!$G$7:$G$156,('แผนงาน Schedule'!$AB$7:$AB$156&lt;=C56)+('แผนงาน Schedule'!$AA$7:$AA$156&lt;=C56)*('แผนงาน Schedule'!$AB$7:$AB$156&gt;C56)*(C56-'แผนงาน Schedule'!$AA$7:$AA$156+1)/('แผนงาน Schedule'!$AB$7:$AB$156-'แผนงาน Schedule'!$AA$7:$AA$156+1)))</f>
        <v/>
      </c>
      <c r="F56" s="113"/>
      <c r="G56" s="115" t="str">
        <f aca="false">IF(OR(C56="",NOT(ISNUMBER(Dashboard!$C$27))),"",IF(C56&lt;Dashboard!$C$7,"",IF(Dashboard!$C$27&lt;=Dashboard!$C$7,1,MIN(1,Dashboard!$C$19+(1-Dashboard!$C$19)*(C56-Dashboard!$C$7)/(Dashboard!$C$27-Dashboard!$C$7)))))</f>
        <v/>
      </c>
      <c r="H56" s="192" t="str">
        <f aca="false">IF(OR(F56="",D56=""),"",F56-D56)</f>
        <v/>
      </c>
      <c r="I56" s="182" t="str">
        <f aca="false">IF(D56="","",D56*'ตั้งค่า Setup'!$C$9)</f>
        <v/>
      </c>
      <c r="J56" s="182" t="str">
        <f aca="false">IF(OR(C56="",F56=""),"",F56*'ตั้งค่า Setup'!$C$9)</f>
        <v/>
      </c>
      <c r="K56" s="23"/>
      <c r="L56" s="182" t="str">
        <f aca="false">IF(OR(C56="",K56=""),"",SUM(K$7:K56))</f>
        <v/>
      </c>
      <c r="M56" s="23"/>
      <c r="N56" s="182" t="str">
        <f aca="false">IF(OR(C56="",B56&gt;'ตั้งค่า Setup'!$C$15),"",SUM(M$7:M56))</f>
        <v/>
      </c>
      <c r="P56" s="69" t="n">
        <f aca="false">IF(C56&lt;&gt;"",C56,P55)</f>
        <v>46487</v>
      </c>
      <c r="Q56" s="193" t="n">
        <f aca="false">IF(D56&lt;&gt;"",D56,Q55)</f>
        <v>1</v>
      </c>
      <c r="R56" s="69" t="n">
        <f aca="false">IF(Dashboard!$C$63,P56,R55)</f>
        <v>46174</v>
      </c>
      <c r="S56" s="193" t="n">
        <f aca="false">IF(AND(Dashboard!$C$63,E56&lt;&gt;""),E56,S55)</f>
        <v>0</v>
      </c>
      <c r="T56" s="69" t="n">
        <f aca="false">IF(AND(F56&lt;&gt;"",C56&lt;&gt;""),C56,T55)</f>
        <v>46295</v>
      </c>
      <c r="U56" s="193" t="n">
        <f aca="false">IF(AND(F56&lt;&gt;"",C56&lt;&gt;""),F56,U55)</f>
        <v>0.1878</v>
      </c>
      <c r="V56" s="69" t="n">
        <f aca="false">IF(ISNUMBER(G56),C56,V55)</f>
        <v>46487</v>
      </c>
      <c r="W56" s="193" t="n">
        <f aca="false">IF(ISNUMBER(G56),G56,W55)</f>
        <v>1</v>
      </c>
      <c r="X56" s="194" t="n">
        <f aca="false">IF(I56&lt;&gt;"",I56,X55)</f>
        <v>24200000</v>
      </c>
      <c r="Y56" s="194" t="n">
        <f aca="false">IF(AND(F56&lt;&gt;"",C56&lt;&gt;""),J56,Y55)</f>
        <v>4544760</v>
      </c>
      <c r="Z56" s="69" t="n">
        <f aca="false">IF(AND(K56&lt;&gt;"",C56&lt;&gt;""),C56,Z55)</f>
        <v>46285</v>
      </c>
      <c r="AA56" s="194" t="n">
        <f aca="false">IF(AND(K56&lt;&gt;"",C56&lt;&gt;""),L56,AA55)</f>
        <v>4634800</v>
      </c>
    </row>
    <row r="57" customFormat="false" ht="15" hidden="false" customHeight="false" outlineLevel="0" collapsed="false">
      <c r="A57" s="117" t="str">
        <f aca="false">IF(B57="","",ROW()-6)</f>
        <v/>
      </c>
      <c r="B57" s="127" t="str">
        <f aca="false">IF(C56="","",IF(C56&gt;='ตั้งค่า Setup'!$C$111,"",C56+1))</f>
        <v/>
      </c>
      <c r="C57" s="127" t="str">
        <f aca="false">IF(B57="","",IF('ตั้งค่า Setup'!$C$16="รายสัปดาห์ / Weekly",B57+6,IF('ตั้งค่า Setup'!$C$16="รายเดือน / Monthly",EOMONTH(B57,0),IF(DAY(B57)&lt;=10,DATE(YEAR(B57),MONTH(B57),10),IF(DAY(B57)&lt;=20,DATE(YEAR(B57),MONTH(B57),20),EOMONTH(B57,0))))))</f>
        <v/>
      </c>
      <c r="D57" s="115" t="str">
        <f aca="false">IF(C57="","",SUMPRODUCT('แผนงาน Schedule'!$G$7:$G$156,('แผนงาน Schedule'!$J$7:$J$156&lt;=C57)+('แผนงาน Schedule'!$I$7:$I$156&lt;=C57)*('แผนงาน Schedule'!$J$7:$J$156&gt;C57)*(C57-'แผนงาน Schedule'!$I$7:$I$156+1)/('แผนงาน Schedule'!$J$7:$J$156-'แผนงาน Schedule'!$I$7:$I$156+1)))</f>
        <v/>
      </c>
      <c r="E57" s="115" t="str">
        <f aca="false">IF(C57="","",SUMPRODUCT('แผนงาน Schedule'!$G$7:$G$156,('แผนงาน Schedule'!$AB$7:$AB$156&lt;=C57)+('แผนงาน Schedule'!$AA$7:$AA$156&lt;=C57)*('แผนงาน Schedule'!$AB$7:$AB$156&gt;C57)*(C57-'แผนงาน Schedule'!$AA$7:$AA$156+1)/('แผนงาน Schedule'!$AB$7:$AB$156-'แผนงาน Schedule'!$AA$7:$AA$156+1)))</f>
        <v/>
      </c>
      <c r="F57" s="113"/>
      <c r="G57" s="115" t="str">
        <f aca="false">IF(OR(C57="",NOT(ISNUMBER(Dashboard!$C$27))),"",IF(C57&lt;Dashboard!$C$7,"",IF(Dashboard!$C$27&lt;=Dashboard!$C$7,1,MIN(1,Dashboard!$C$19+(1-Dashboard!$C$19)*(C57-Dashboard!$C$7)/(Dashboard!$C$27-Dashboard!$C$7)))))</f>
        <v/>
      </c>
      <c r="H57" s="192" t="str">
        <f aca="false">IF(OR(F57="",D57=""),"",F57-D57)</f>
        <v/>
      </c>
      <c r="I57" s="182" t="str">
        <f aca="false">IF(D57="","",D57*'ตั้งค่า Setup'!$C$9)</f>
        <v/>
      </c>
      <c r="J57" s="182" t="str">
        <f aca="false">IF(OR(C57="",F57=""),"",F57*'ตั้งค่า Setup'!$C$9)</f>
        <v/>
      </c>
      <c r="K57" s="23"/>
      <c r="L57" s="182" t="str">
        <f aca="false">IF(OR(C57="",K57=""),"",SUM(K$7:K57))</f>
        <v/>
      </c>
      <c r="M57" s="23"/>
      <c r="N57" s="182" t="str">
        <f aca="false">IF(OR(C57="",B57&gt;'ตั้งค่า Setup'!$C$15),"",SUM(M$7:M57))</f>
        <v/>
      </c>
      <c r="P57" s="69" t="n">
        <f aca="false">IF(C57&lt;&gt;"",C57,P56)</f>
        <v>46487</v>
      </c>
      <c r="Q57" s="193" t="n">
        <f aca="false">IF(D57&lt;&gt;"",D57,Q56)</f>
        <v>1</v>
      </c>
      <c r="R57" s="69" t="n">
        <f aca="false">IF(Dashboard!$C$63,P57,R56)</f>
        <v>46174</v>
      </c>
      <c r="S57" s="193" t="n">
        <f aca="false">IF(AND(Dashboard!$C$63,E57&lt;&gt;""),E57,S56)</f>
        <v>0</v>
      </c>
      <c r="T57" s="69" t="n">
        <f aca="false">IF(AND(F57&lt;&gt;"",C57&lt;&gt;""),C57,T56)</f>
        <v>46295</v>
      </c>
      <c r="U57" s="193" t="n">
        <f aca="false">IF(AND(F57&lt;&gt;"",C57&lt;&gt;""),F57,U56)</f>
        <v>0.1878</v>
      </c>
      <c r="V57" s="69" t="n">
        <f aca="false">IF(ISNUMBER(G57),C57,V56)</f>
        <v>46487</v>
      </c>
      <c r="W57" s="193" t="n">
        <f aca="false">IF(ISNUMBER(G57),G57,W56)</f>
        <v>1</v>
      </c>
      <c r="X57" s="194" t="n">
        <f aca="false">IF(I57&lt;&gt;"",I57,X56)</f>
        <v>24200000</v>
      </c>
      <c r="Y57" s="194" t="n">
        <f aca="false">IF(AND(F57&lt;&gt;"",C57&lt;&gt;""),J57,Y56)</f>
        <v>4544760</v>
      </c>
      <c r="Z57" s="69" t="n">
        <f aca="false">IF(AND(K57&lt;&gt;"",C57&lt;&gt;""),C57,Z56)</f>
        <v>46285</v>
      </c>
      <c r="AA57" s="194" t="n">
        <f aca="false">IF(AND(K57&lt;&gt;"",C57&lt;&gt;""),L57,AA56)</f>
        <v>4634800</v>
      </c>
    </row>
    <row r="58" customFormat="false" ht="15" hidden="false" customHeight="false" outlineLevel="0" collapsed="false">
      <c r="A58" s="117" t="str">
        <f aca="false">IF(B58="","",ROW()-6)</f>
        <v/>
      </c>
      <c r="B58" s="127" t="str">
        <f aca="false">IF(C57="","",IF(C57&gt;='ตั้งค่า Setup'!$C$111,"",C57+1))</f>
        <v/>
      </c>
      <c r="C58" s="127" t="str">
        <f aca="false">IF(B58="","",IF('ตั้งค่า Setup'!$C$16="รายสัปดาห์ / Weekly",B58+6,IF('ตั้งค่า Setup'!$C$16="รายเดือน / Monthly",EOMONTH(B58,0),IF(DAY(B58)&lt;=10,DATE(YEAR(B58),MONTH(B58),10),IF(DAY(B58)&lt;=20,DATE(YEAR(B58),MONTH(B58),20),EOMONTH(B58,0))))))</f>
        <v/>
      </c>
      <c r="D58" s="115" t="str">
        <f aca="false">IF(C58="","",SUMPRODUCT('แผนงาน Schedule'!$G$7:$G$156,('แผนงาน Schedule'!$J$7:$J$156&lt;=C58)+('แผนงาน Schedule'!$I$7:$I$156&lt;=C58)*('แผนงาน Schedule'!$J$7:$J$156&gt;C58)*(C58-'แผนงาน Schedule'!$I$7:$I$156+1)/('แผนงาน Schedule'!$J$7:$J$156-'แผนงาน Schedule'!$I$7:$I$156+1)))</f>
        <v/>
      </c>
      <c r="E58" s="115" t="str">
        <f aca="false">IF(C58="","",SUMPRODUCT('แผนงาน Schedule'!$G$7:$G$156,('แผนงาน Schedule'!$AB$7:$AB$156&lt;=C58)+('แผนงาน Schedule'!$AA$7:$AA$156&lt;=C58)*('แผนงาน Schedule'!$AB$7:$AB$156&gt;C58)*(C58-'แผนงาน Schedule'!$AA$7:$AA$156+1)/('แผนงาน Schedule'!$AB$7:$AB$156-'แผนงาน Schedule'!$AA$7:$AA$156+1)))</f>
        <v/>
      </c>
      <c r="F58" s="113"/>
      <c r="G58" s="115" t="str">
        <f aca="false">IF(OR(C58="",NOT(ISNUMBER(Dashboard!$C$27))),"",IF(C58&lt;Dashboard!$C$7,"",IF(Dashboard!$C$27&lt;=Dashboard!$C$7,1,MIN(1,Dashboard!$C$19+(1-Dashboard!$C$19)*(C58-Dashboard!$C$7)/(Dashboard!$C$27-Dashboard!$C$7)))))</f>
        <v/>
      </c>
      <c r="H58" s="192" t="str">
        <f aca="false">IF(OR(F58="",D58=""),"",F58-D58)</f>
        <v/>
      </c>
      <c r="I58" s="182" t="str">
        <f aca="false">IF(D58="","",D58*'ตั้งค่า Setup'!$C$9)</f>
        <v/>
      </c>
      <c r="J58" s="182" t="str">
        <f aca="false">IF(OR(C58="",F58=""),"",F58*'ตั้งค่า Setup'!$C$9)</f>
        <v/>
      </c>
      <c r="K58" s="23"/>
      <c r="L58" s="182" t="str">
        <f aca="false">IF(OR(C58="",K58=""),"",SUM(K$7:K58))</f>
        <v/>
      </c>
      <c r="M58" s="23"/>
      <c r="N58" s="182" t="str">
        <f aca="false">IF(OR(C58="",B58&gt;'ตั้งค่า Setup'!$C$15),"",SUM(M$7:M58))</f>
        <v/>
      </c>
      <c r="P58" s="69" t="n">
        <f aca="false">IF(C58&lt;&gt;"",C58,P57)</f>
        <v>46487</v>
      </c>
      <c r="Q58" s="193" t="n">
        <f aca="false">IF(D58&lt;&gt;"",D58,Q57)</f>
        <v>1</v>
      </c>
      <c r="R58" s="69" t="n">
        <f aca="false">IF(Dashboard!$C$63,P58,R57)</f>
        <v>46174</v>
      </c>
      <c r="S58" s="193" t="n">
        <f aca="false">IF(AND(Dashboard!$C$63,E58&lt;&gt;""),E58,S57)</f>
        <v>0</v>
      </c>
      <c r="T58" s="69" t="n">
        <f aca="false">IF(AND(F58&lt;&gt;"",C58&lt;&gt;""),C58,T57)</f>
        <v>46295</v>
      </c>
      <c r="U58" s="193" t="n">
        <f aca="false">IF(AND(F58&lt;&gt;"",C58&lt;&gt;""),F58,U57)</f>
        <v>0.1878</v>
      </c>
      <c r="V58" s="69" t="n">
        <f aca="false">IF(ISNUMBER(G58),C58,V57)</f>
        <v>46487</v>
      </c>
      <c r="W58" s="193" t="n">
        <f aca="false">IF(ISNUMBER(G58),G58,W57)</f>
        <v>1</v>
      </c>
      <c r="X58" s="194" t="n">
        <f aca="false">IF(I58&lt;&gt;"",I58,X57)</f>
        <v>24200000</v>
      </c>
      <c r="Y58" s="194" t="n">
        <f aca="false">IF(AND(F58&lt;&gt;"",C58&lt;&gt;""),J58,Y57)</f>
        <v>4544760</v>
      </c>
      <c r="Z58" s="69" t="n">
        <f aca="false">IF(AND(K58&lt;&gt;"",C58&lt;&gt;""),C58,Z57)</f>
        <v>46285</v>
      </c>
      <c r="AA58" s="194" t="n">
        <f aca="false">IF(AND(K58&lt;&gt;"",C58&lt;&gt;""),L58,AA57)</f>
        <v>4634800</v>
      </c>
    </row>
    <row r="59" customFormat="false" ht="15" hidden="false" customHeight="false" outlineLevel="0" collapsed="false">
      <c r="A59" s="117" t="str">
        <f aca="false">IF(B59="","",ROW()-6)</f>
        <v/>
      </c>
      <c r="B59" s="127" t="str">
        <f aca="false">IF(C58="","",IF(C58&gt;='ตั้งค่า Setup'!$C$111,"",C58+1))</f>
        <v/>
      </c>
      <c r="C59" s="127" t="str">
        <f aca="false">IF(B59="","",IF('ตั้งค่า Setup'!$C$16="รายสัปดาห์ / Weekly",B59+6,IF('ตั้งค่า Setup'!$C$16="รายเดือน / Monthly",EOMONTH(B59,0),IF(DAY(B59)&lt;=10,DATE(YEAR(B59),MONTH(B59),10),IF(DAY(B59)&lt;=20,DATE(YEAR(B59),MONTH(B59),20),EOMONTH(B59,0))))))</f>
        <v/>
      </c>
      <c r="D59" s="115" t="str">
        <f aca="false">IF(C59="","",SUMPRODUCT('แผนงาน Schedule'!$G$7:$G$156,('แผนงาน Schedule'!$J$7:$J$156&lt;=C59)+('แผนงาน Schedule'!$I$7:$I$156&lt;=C59)*('แผนงาน Schedule'!$J$7:$J$156&gt;C59)*(C59-'แผนงาน Schedule'!$I$7:$I$156+1)/('แผนงาน Schedule'!$J$7:$J$156-'แผนงาน Schedule'!$I$7:$I$156+1)))</f>
        <v/>
      </c>
      <c r="E59" s="115" t="str">
        <f aca="false">IF(C59="","",SUMPRODUCT('แผนงาน Schedule'!$G$7:$G$156,('แผนงาน Schedule'!$AB$7:$AB$156&lt;=C59)+('แผนงาน Schedule'!$AA$7:$AA$156&lt;=C59)*('แผนงาน Schedule'!$AB$7:$AB$156&gt;C59)*(C59-'แผนงาน Schedule'!$AA$7:$AA$156+1)/('แผนงาน Schedule'!$AB$7:$AB$156-'แผนงาน Schedule'!$AA$7:$AA$156+1)))</f>
        <v/>
      </c>
      <c r="F59" s="113"/>
      <c r="G59" s="115" t="str">
        <f aca="false">IF(OR(C59="",NOT(ISNUMBER(Dashboard!$C$27))),"",IF(C59&lt;Dashboard!$C$7,"",IF(Dashboard!$C$27&lt;=Dashboard!$C$7,1,MIN(1,Dashboard!$C$19+(1-Dashboard!$C$19)*(C59-Dashboard!$C$7)/(Dashboard!$C$27-Dashboard!$C$7)))))</f>
        <v/>
      </c>
      <c r="H59" s="192" t="str">
        <f aca="false">IF(OR(F59="",D59=""),"",F59-D59)</f>
        <v/>
      </c>
      <c r="I59" s="182" t="str">
        <f aca="false">IF(D59="","",D59*'ตั้งค่า Setup'!$C$9)</f>
        <v/>
      </c>
      <c r="J59" s="182" t="str">
        <f aca="false">IF(OR(C59="",F59=""),"",F59*'ตั้งค่า Setup'!$C$9)</f>
        <v/>
      </c>
      <c r="K59" s="23"/>
      <c r="L59" s="182" t="str">
        <f aca="false">IF(OR(C59="",K59=""),"",SUM(K$7:K59))</f>
        <v/>
      </c>
      <c r="M59" s="23"/>
      <c r="N59" s="182" t="str">
        <f aca="false">IF(OR(C59="",B59&gt;'ตั้งค่า Setup'!$C$15),"",SUM(M$7:M59))</f>
        <v/>
      </c>
      <c r="P59" s="69" t="n">
        <f aca="false">IF(C59&lt;&gt;"",C59,P58)</f>
        <v>46487</v>
      </c>
      <c r="Q59" s="193" t="n">
        <f aca="false">IF(D59&lt;&gt;"",D59,Q58)</f>
        <v>1</v>
      </c>
      <c r="R59" s="69" t="n">
        <f aca="false">IF(Dashboard!$C$63,P59,R58)</f>
        <v>46174</v>
      </c>
      <c r="S59" s="193" t="n">
        <f aca="false">IF(AND(Dashboard!$C$63,E59&lt;&gt;""),E59,S58)</f>
        <v>0</v>
      </c>
      <c r="T59" s="69" t="n">
        <f aca="false">IF(AND(F59&lt;&gt;"",C59&lt;&gt;""),C59,T58)</f>
        <v>46295</v>
      </c>
      <c r="U59" s="193" t="n">
        <f aca="false">IF(AND(F59&lt;&gt;"",C59&lt;&gt;""),F59,U58)</f>
        <v>0.1878</v>
      </c>
      <c r="V59" s="69" t="n">
        <f aca="false">IF(ISNUMBER(G59),C59,V58)</f>
        <v>46487</v>
      </c>
      <c r="W59" s="193" t="n">
        <f aca="false">IF(ISNUMBER(G59),G59,W58)</f>
        <v>1</v>
      </c>
      <c r="X59" s="194" t="n">
        <f aca="false">IF(I59&lt;&gt;"",I59,X58)</f>
        <v>24200000</v>
      </c>
      <c r="Y59" s="194" t="n">
        <f aca="false">IF(AND(F59&lt;&gt;"",C59&lt;&gt;""),J59,Y58)</f>
        <v>4544760</v>
      </c>
      <c r="Z59" s="69" t="n">
        <f aca="false">IF(AND(K59&lt;&gt;"",C59&lt;&gt;""),C59,Z58)</f>
        <v>46285</v>
      </c>
      <c r="AA59" s="194" t="n">
        <f aca="false">IF(AND(K59&lt;&gt;"",C59&lt;&gt;""),L59,AA58)</f>
        <v>4634800</v>
      </c>
    </row>
    <row r="60" customFormat="false" ht="15" hidden="false" customHeight="false" outlineLevel="0" collapsed="false">
      <c r="A60" s="117" t="str">
        <f aca="false">IF(B60="","",ROW()-6)</f>
        <v/>
      </c>
      <c r="B60" s="127" t="str">
        <f aca="false">IF(C59="","",IF(C59&gt;='ตั้งค่า Setup'!$C$111,"",C59+1))</f>
        <v/>
      </c>
      <c r="C60" s="127" t="str">
        <f aca="false">IF(B60="","",IF('ตั้งค่า Setup'!$C$16="รายสัปดาห์ / Weekly",B60+6,IF('ตั้งค่า Setup'!$C$16="รายเดือน / Monthly",EOMONTH(B60,0),IF(DAY(B60)&lt;=10,DATE(YEAR(B60),MONTH(B60),10),IF(DAY(B60)&lt;=20,DATE(YEAR(B60),MONTH(B60),20),EOMONTH(B60,0))))))</f>
        <v/>
      </c>
      <c r="D60" s="115" t="str">
        <f aca="false">IF(C60="","",SUMPRODUCT('แผนงาน Schedule'!$G$7:$G$156,('แผนงาน Schedule'!$J$7:$J$156&lt;=C60)+('แผนงาน Schedule'!$I$7:$I$156&lt;=C60)*('แผนงาน Schedule'!$J$7:$J$156&gt;C60)*(C60-'แผนงาน Schedule'!$I$7:$I$156+1)/('แผนงาน Schedule'!$J$7:$J$156-'แผนงาน Schedule'!$I$7:$I$156+1)))</f>
        <v/>
      </c>
      <c r="E60" s="115" t="str">
        <f aca="false">IF(C60="","",SUMPRODUCT('แผนงาน Schedule'!$G$7:$G$156,('แผนงาน Schedule'!$AB$7:$AB$156&lt;=C60)+('แผนงาน Schedule'!$AA$7:$AA$156&lt;=C60)*('แผนงาน Schedule'!$AB$7:$AB$156&gt;C60)*(C60-'แผนงาน Schedule'!$AA$7:$AA$156+1)/('แผนงาน Schedule'!$AB$7:$AB$156-'แผนงาน Schedule'!$AA$7:$AA$156+1)))</f>
        <v/>
      </c>
      <c r="F60" s="113"/>
      <c r="G60" s="115" t="str">
        <f aca="false">IF(OR(C60="",NOT(ISNUMBER(Dashboard!$C$27))),"",IF(C60&lt;Dashboard!$C$7,"",IF(Dashboard!$C$27&lt;=Dashboard!$C$7,1,MIN(1,Dashboard!$C$19+(1-Dashboard!$C$19)*(C60-Dashboard!$C$7)/(Dashboard!$C$27-Dashboard!$C$7)))))</f>
        <v/>
      </c>
      <c r="H60" s="192" t="str">
        <f aca="false">IF(OR(F60="",D60=""),"",F60-D60)</f>
        <v/>
      </c>
      <c r="I60" s="182" t="str">
        <f aca="false">IF(D60="","",D60*'ตั้งค่า Setup'!$C$9)</f>
        <v/>
      </c>
      <c r="J60" s="182" t="str">
        <f aca="false">IF(OR(C60="",F60=""),"",F60*'ตั้งค่า Setup'!$C$9)</f>
        <v/>
      </c>
      <c r="K60" s="23"/>
      <c r="L60" s="182" t="str">
        <f aca="false">IF(OR(C60="",K60=""),"",SUM(K$7:K60))</f>
        <v/>
      </c>
      <c r="M60" s="23"/>
      <c r="N60" s="182" t="str">
        <f aca="false">IF(OR(C60="",B60&gt;'ตั้งค่า Setup'!$C$15),"",SUM(M$7:M60))</f>
        <v/>
      </c>
      <c r="P60" s="69" t="n">
        <f aca="false">IF(C60&lt;&gt;"",C60,P59)</f>
        <v>46487</v>
      </c>
      <c r="Q60" s="193" t="n">
        <f aca="false">IF(D60&lt;&gt;"",D60,Q59)</f>
        <v>1</v>
      </c>
      <c r="R60" s="69" t="n">
        <f aca="false">IF(Dashboard!$C$63,P60,R59)</f>
        <v>46174</v>
      </c>
      <c r="S60" s="193" t="n">
        <f aca="false">IF(AND(Dashboard!$C$63,E60&lt;&gt;""),E60,S59)</f>
        <v>0</v>
      </c>
      <c r="T60" s="69" t="n">
        <f aca="false">IF(AND(F60&lt;&gt;"",C60&lt;&gt;""),C60,T59)</f>
        <v>46295</v>
      </c>
      <c r="U60" s="193" t="n">
        <f aca="false">IF(AND(F60&lt;&gt;"",C60&lt;&gt;""),F60,U59)</f>
        <v>0.1878</v>
      </c>
      <c r="V60" s="69" t="n">
        <f aca="false">IF(ISNUMBER(G60),C60,V59)</f>
        <v>46487</v>
      </c>
      <c r="W60" s="193" t="n">
        <f aca="false">IF(ISNUMBER(G60),G60,W59)</f>
        <v>1</v>
      </c>
      <c r="X60" s="194" t="n">
        <f aca="false">IF(I60&lt;&gt;"",I60,X59)</f>
        <v>24200000</v>
      </c>
      <c r="Y60" s="194" t="n">
        <f aca="false">IF(AND(F60&lt;&gt;"",C60&lt;&gt;""),J60,Y59)</f>
        <v>4544760</v>
      </c>
      <c r="Z60" s="69" t="n">
        <f aca="false">IF(AND(K60&lt;&gt;"",C60&lt;&gt;""),C60,Z59)</f>
        <v>46285</v>
      </c>
      <c r="AA60" s="194" t="n">
        <f aca="false">IF(AND(K60&lt;&gt;"",C60&lt;&gt;""),L60,AA59)</f>
        <v>4634800</v>
      </c>
    </row>
    <row r="61" customFormat="false" ht="15" hidden="false" customHeight="false" outlineLevel="0" collapsed="false">
      <c r="A61" s="117" t="str">
        <f aca="false">IF(B61="","",ROW()-6)</f>
        <v/>
      </c>
      <c r="B61" s="127" t="str">
        <f aca="false">IF(C60="","",IF(C60&gt;='ตั้งค่า Setup'!$C$111,"",C60+1))</f>
        <v/>
      </c>
      <c r="C61" s="127" t="str">
        <f aca="false">IF(B61="","",IF('ตั้งค่า Setup'!$C$16="รายสัปดาห์ / Weekly",B61+6,IF('ตั้งค่า Setup'!$C$16="รายเดือน / Monthly",EOMONTH(B61,0),IF(DAY(B61)&lt;=10,DATE(YEAR(B61),MONTH(B61),10),IF(DAY(B61)&lt;=20,DATE(YEAR(B61),MONTH(B61),20),EOMONTH(B61,0))))))</f>
        <v/>
      </c>
      <c r="D61" s="115" t="str">
        <f aca="false">IF(C61="","",SUMPRODUCT('แผนงาน Schedule'!$G$7:$G$156,('แผนงาน Schedule'!$J$7:$J$156&lt;=C61)+('แผนงาน Schedule'!$I$7:$I$156&lt;=C61)*('แผนงาน Schedule'!$J$7:$J$156&gt;C61)*(C61-'แผนงาน Schedule'!$I$7:$I$156+1)/('แผนงาน Schedule'!$J$7:$J$156-'แผนงาน Schedule'!$I$7:$I$156+1)))</f>
        <v/>
      </c>
      <c r="E61" s="115" t="str">
        <f aca="false">IF(C61="","",SUMPRODUCT('แผนงาน Schedule'!$G$7:$G$156,('แผนงาน Schedule'!$AB$7:$AB$156&lt;=C61)+('แผนงาน Schedule'!$AA$7:$AA$156&lt;=C61)*('แผนงาน Schedule'!$AB$7:$AB$156&gt;C61)*(C61-'แผนงาน Schedule'!$AA$7:$AA$156+1)/('แผนงาน Schedule'!$AB$7:$AB$156-'แผนงาน Schedule'!$AA$7:$AA$156+1)))</f>
        <v/>
      </c>
      <c r="F61" s="113"/>
      <c r="G61" s="115" t="str">
        <f aca="false">IF(OR(C61="",NOT(ISNUMBER(Dashboard!$C$27))),"",IF(C61&lt;Dashboard!$C$7,"",IF(Dashboard!$C$27&lt;=Dashboard!$C$7,1,MIN(1,Dashboard!$C$19+(1-Dashboard!$C$19)*(C61-Dashboard!$C$7)/(Dashboard!$C$27-Dashboard!$C$7)))))</f>
        <v/>
      </c>
      <c r="H61" s="192" t="str">
        <f aca="false">IF(OR(F61="",D61=""),"",F61-D61)</f>
        <v/>
      </c>
      <c r="I61" s="182" t="str">
        <f aca="false">IF(D61="","",D61*'ตั้งค่า Setup'!$C$9)</f>
        <v/>
      </c>
      <c r="J61" s="182" t="str">
        <f aca="false">IF(OR(C61="",F61=""),"",F61*'ตั้งค่า Setup'!$C$9)</f>
        <v/>
      </c>
      <c r="K61" s="23"/>
      <c r="L61" s="182" t="str">
        <f aca="false">IF(OR(C61="",K61=""),"",SUM(K$7:K61))</f>
        <v/>
      </c>
      <c r="M61" s="23"/>
      <c r="N61" s="182" t="str">
        <f aca="false">IF(OR(C61="",B61&gt;'ตั้งค่า Setup'!$C$15),"",SUM(M$7:M61))</f>
        <v/>
      </c>
      <c r="P61" s="69" t="n">
        <f aca="false">IF(C61&lt;&gt;"",C61,P60)</f>
        <v>46487</v>
      </c>
      <c r="Q61" s="193" t="n">
        <f aca="false">IF(D61&lt;&gt;"",D61,Q60)</f>
        <v>1</v>
      </c>
      <c r="R61" s="69" t="n">
        <f aca="false">IF(Dashboard!$C$63,P61,R60)</f>
        <v>46174</v>
      </c>
      <c r="S61" s="193" t="n">
        <f aca="false">IF(AND(Dashboard!$C$63,E61&lt;&gt;""),E61,S60)</f>
        <v>0</v>
      </c>
      <c r="T61" s="69" t="n">
        <f aca="false">IF(AND(F61&lt;&gt;"",C61&lt;&gt;""),C61,T60)</f>
        <v>46295</v>
      </c>
      <c r="U61" s="193" t="n">
        <f aca="false">IF(AND(F61&lt;&gt;"",C61&lt;&gt;""),F61,U60)</f>
        <v>0.1878</v>
      </c>
      <c r="V61" s="69" t="n">
        <f aca="false">IF(ISNUMBER(G61),C61,V60)</f>
        <v>46487</v>
      </c>
      <c r="W61" s="193" t="n">
        <f aca="false">IF(ISNUMBER(G61),G61,W60)</f>
        <v>1</v>
      </c>
      <c r="X61" s="194" t="n">
        <f aca="false">IF(I61&lt;&gt;"",I61,X60)</f>
        <v>24200000</v>
      </c>
      <c r="Y61" s="194" t="n">
        <f aca="false">IF(AND(F61&lt;&gt;"",C61&lt;&gt;""),J61,Y60)</f>
        <v>4544760</v>
      </c>
      <c r="Z61" s="69" t="n">
        <f aca="false">IF(AND(K61&lt;&gt;"",C61&lt;&gt;""),C61,Z60)</f>
        <v>46285</v>
      </c>
      <c r="AA61" s="194" t="n">
        <f aca="false">IF(AND(K61&lt;&gt;"",C61&lt;&gt;""),L61,AA60)</f>
        <v>4634800</v>
      </c>
    </row>
    <row r="62" customFormat="false" ht="15" hidden="false" customHeight="false" outlineLevel="0" collapsed="false">
      <c r="A62" s="117" t="str">
        <f aca="false">IF(B62="","",ROW()-6)</f>
        <v/>
      </c>
      <c r="B62" s="127" t="str">
        <f aca="false">IF(C61="","",IF(C61&gt;='ตั้งค่า Setup'!$C$111,"",C61+1))</f>
        <v/>
      </c>
      <c r="C62" s="127" t="str">
        <f aca="false">IF(B62="","",IF('ตั้งค่า Setup'!$C$16="รายสัปดาห์ / Weekly",B62+6,IF('ตั้งค่า Setup'!$C$16="รายเดือน / Monthly",EOMONTH(B62,0),IF(DAY(B62)&lt;=10,DATE(YEAR(B62),MONTH(B62),10),IF(DAY(B62)&lt;=20,DATE(YEAR(B62),MONTH(B62),20),EOMONTH(B62,0))))))</f>
        <v/>
      </c>
      <c r="D62" s="115" t="str">
        <f aca="false">IF(C62="","",SUMPRODUCT('แผนงาน Schedule'!$G$7:$G$156,('แผนงาน Schedule'!$J$7:$J$156&lt;=C62)+('แผนงาน Schedule'!$I$7:$I$156&lt;=C62)*('แผนงาน Schedule'!$J$7:$J$156&gt;C62)*(C62-'แผนงาน Schedule'!$I$7:$I$156+1)/('แผนงาน Schedule'!$J$7:$J$156-'แผนงาน Schedule'!$I$7:$I$156+1)))</f>
        <v/>
      </c>
      <c r="E62" s="115" t="str">
        <f aca="false">IF(C62="","",SUMPRODUCT('แผนงาน Schedule'!$G$7:$G$156,('แผนงาน Schedule'!$AB$7:$AB$156&lt;=C62)+('แผนงาน Schedule'!$AA$7:$AA$156&lt;=C62)*('แผนงาน Schedule'!$AB$7:$AB$156&gt;C62)*(C62-'แผนงาน Schedule'!$AA$7:$AA$156+1)/('แผนงาน Schedule'!$AB$7:$AB$156-'แผนงาน Schedule'!$AA$7:$AA$156+1)))</f>
        <v/>
      </c>
      <c r="F62" s="113"/>
      <c r="G62" s="115" t="str">
        <f aca="false">IF(OR(C62="",NOT(ISNUMBER(Dashboard!$C$27))),"",IF(C62&lt;Dashboard!$C$7,"",IF(Dashboard!$C$27&lt;=Dashboard!$C$7,1,MIN(1,Dashboard!$C$19+(1-Dashboard!$C$19)*(C62-Dashboard!$C$7)/(Dashboard!$C$27-Dashboard!$C$7)))))</f>
        <v/>
      </c>
      <c r="H62" s="192" t="str">
        <f aca="false">IF(OR(F62="",D62=""),"",F62-D62)</f>
        <v/>
      </c>
      <c r="I62" s="182" t="str">
        <f aca="false">IF(D62="","",D62*'ตั้งค่า Setup'!$C$9)</f>
        <v/>
      </c>
      <c r="J62" s="182" t="str">
        <f aca="false">IF(OR(C62="",F62=""),"",F62*'ตั้งค่า Setup'!$C$9)</f>
        <v/>
      </c>
      <c r="K62" s="23"/>
      <c r="L62" s="182" t="str">
        <f aca="false">IF(OR(C62="",K62=""),"",SUM(K$7:K62))</f>
        <v/>
      </c>
      <c r="M62" s="23"/>
      <c r="N62" s="182" t="str">
        <f aca="false">IF(OR(C62="",B62&gt;'ตั้งค่า Setup'!$C$15),"",SUM(M$7:M62))</f>
        <v/>
      </c>
      <c r="P62" s="69" t="n">
        <f aca="false">IF(C62&lt;&gt;"",C62,P61)</f>
        <v>46487</v>
      </c>
      <c r="Q62" s="193" t="n">
        <f aca="false">IF(D62&lt;&gt;"",D62,Q61)</f>
        <v>1</v>
      </c>
      <c r="R62" s="69" t="n">
        <f aca="false">IF(Dashboard!$C$63,P62,R61)</f>
        <v>46174</v>
      </c>
      <c r="S62" s="193" t="n">
        <f aca="false">IF(AND(Dashboard!$C$63,E62&lt;&gt;""),E62,S61)</f>
        <v>0</v>
      </c>
      <c r="T62" s="69" t="n">
        <f aca="false">IF(AND(F62&lt;&gt;"",C62&lt;&gt;""),C62,T61)</f>
        <v>46295</v>
      </c>
      <c r="U62" s="193" t="n">
        <f aca="false">IF(AND(F62&lt;&gt;"",C62&lt;&gt;""),F62,U61)</f>
        <v>0.1878</v>
      </c>
      <c r="V62" s="69" t="n">
        <f aca="false">IF(ISNUMBER(G62),C62,V61)</f>
        <v>46487</v>
      </c>
      <c r="W62" s="193" t="n">
        <f aca="false">IF(ISNUMBER(G62),G62,W61)</f>
        <v>1</v>
      </c>
      <c r="X62" s="194" t="n">
        <f aca="false">IF(I62&lt;&gt;"",I62,X61)</f>
        <v>24200000</v>
      </c>
      <c r="Y62" s="194" t="n">
        <f aca="false">IF(AND(F62&lt;&gt;"",C62&lt;&gt;""),J62,Y61)</f>
        <v>4544760</v>
      </c>
      <c r="Z62" s="69" t="n">
        <f aca="false">IF(AND(K62&lt;&gt;"",C62&lt;&gt;""),C62,Z61)</f>
        <v>46285</v>
      </c>
      <c r="AA62" s="194" t="n">
        <f aca="false">IF(AND(K62&lt;&gt;"",C62&lt;&gt;""),L62,AA61)</f>
        <v>4634800</v>
      </c>
    </row>
    <row r="63" customFormat="false" ht="15" hidden="false" customHeight="false" outlineLevel="0" collapsed="false">
      <c r="A63" s="117" t="str">
        <f aca="false">IF(B63="","",ROW()-6)</f>
        <v/>
      </c>
      <c r="B63" s="127" t="str">
        <f aca="false">IF(C62="","",IF(C62&gt;='ตั้งค่า Setup'!$C$111,"",C62+1))</f>
        <v/>
      </c>
      <c r="C63" s="127" t="str">
        <f aca="false">IF(B63="","",IF('ตั้งค่า Setup'!$C$16="รายสัปดาห์ / Weekly",B63+6,IF('ตั้งค่า Setup'!$C$16="รายเดือน / Monthly",EOMONTH(B63,0),IF(DAY(B63)&lt;=10,DATE(YEAR(B63),MONTH(B63),10),IF(DAY(B63)&lt;=20,DATE(YEAR(B63),MONTH(B63),20),EOMONTH(B63,0))))))</f>
        <v/>
      </c>
      <c r="D63" s="115" t="str">
        <f aca="false">IF(C63="","",SUMPRODUCT('แผนงาน Schedule'!$G$7:$G$156,('แผนงาน Schedule'!$J$7:$J$156&lt;=C63)+('แผนงาน Schedule'!$I$7:$I$156&lt;=C63)*('แผนงาน Schedule'!$J$7:$J$156&gt;C63)*(C63-'แผนงาน Schedule'!$I$7:$I$156+1)/('แผนงาน Schedule'!$J$7:$J$156-'แผนงาน Schedule'!$I$7:$I$156+1)))</f>
        <v/>
      </c>
      <c r="E63" s="115" t="str">
        <f aca="false">IF(C63="","",SUMPRODUCT('แผนงาน Schedule'!$G$7:$G$156,('แผนงาน Schedule'!$AB$7:$AB$156&lt;=C63)+('แผนงาน Schedule'!$AA$7:$AA$156&lt;=C63)*('แผนงาน Schedule'!$AB$7:$AB$156&gt;C63)*(C63-'แผนงาน Schedule'!$AA$7:$AA$156+1)/('แผนงาน Schedule'!$AB$7:$AB$156-'แผนงาน Schedule'!$AA$7:$AA$156+1)))</f>
        <v/>
      </c>
      <c r="F63" s="113"/>
      <c r="G63" s="115" t="str">
        <f aca="false">IF(OR(C63="",NOT(ISNUMBER(Dashboard!$C$27))),"",IF(C63&lt;Dashboard!$C$7,"",IF(Dashboard!$C$27&lt;=Dashboard!$C$7,1,MIN(1,Dashboard!$C$19+(1-Dashboard!$C$19)*(C63-Dashboard!$C$7)/(Dashboard!$C$27-Dashboard!$C$7)))))</f>
        <v/>
      </c>
      <c r="H63" s="192" t="str">
        <f aca="false">IF(OR(F63="",D63=""),"",F63-D63)</f>
        <v/>
      </c>
      <c r="I63" s="182" t="str">
        <f aca="false">IF(D63="","",D63*'ตั้งค่า Setup'!$C$9)</f>
        <v/>
      </c>
      <c r="J63" s="182" t="str">
        <f aca="false">IF(OR(C63="",F63=""),"",F63*'ตั้งค่า Setup'!$C$9)</f>
        <v/>
      </c>
      <c r="K63" s="23"/>
      <c r="L63" s="182" t="str">
        <f aca="false">IF(OR(C63="",K63=""),"",SUM(K$7:K63))</f>
        <v/>
      </c>
      <c r="M63" s="23"/>
      <c r="N63" s="182" t="str">
        <f aca="false">IF(OR(C63="",B63&gt;'ตั้งค่า Setup'!$C$15),"",SUM(M$7:M63))</f>
        <v/>
      </c>
      <c r="P63" s="69" t="n">
        <f aca="false">IF(C63&lt;&gt;"",C63,P62)</f>
        <v>46487</v>
      </c>
      <c r="Q63" s="193" t="n">
        <f aca="false">IF(D63&lt;&gt;"",D63,Q62)</f>
        <v>1</v>
      </c>
      <c r="R63" s="69" t="n">
        <f aca="false">IF(Dashboard!$C$63,P63,R62)</f>
        <v>46174</v>
      </c>
      <c r="S63" s="193" t="n">
        <f aca="false">IF(AND(Dashboard!$C$63,E63&lt;&gt;""),E63,S62)</f>
        <v>0</v>
      </c>
      <c r="T63" s="69" t="n">
        <f aca="false">IF(AND(F63&lt;&gt;"",C63&lt;&gt;""),C63,T62)</f>
        <v>46295</v>
      </c>
      <c r="U63" s="193" t="n">
        <f aca="false">IF(AND(F63&lt;&gt;"",C63&lt;&gt;""),F63,U62)</f>
        <v>0.1878</v>
      </c>
      <c r="V63" s="69" t="n">
        <f aca="false">IF(ISNUMBER(G63),C63,V62)</f>
        <v>46487</v>
      </c>
      <c r="W63" s="193" t="n">
        <f aca="false">IF(ISNUMBER(G63),G63,W62)</f>
        <v>1</v>
      </c>
      <c r="X63" s="194" t="n">
        <f aca="false">IF(I63&lt;&gt;"",I63,X62)</f>
        <v>24200000</v>
      </c>
      <c r="Y63" s="194" t="n">
        <f aca="false">IF(AND(F63&lt;&gt;"",C63&lt;&gt;""),J63,Y62)</f>
        <v>4544760</v>
      </c>
      <c r="Z63" s="69" t="n">
        <f aca="false">IF(AND(K63&lt;&gt;"",C63&lt;&gt;""),C63,Z62)</f>
        <v>46285</v>
      </c>
      <c r="AA63" s="194" t="n">
        <f aca="false">IF(AND(K63&lt;&gt;"",C63&lt;&gt;""),L63,AA62)</f>
        <v>4634800</v>
      </c>
    </row>
    <row r="64" customFormat="false" ht="15" hidden="false" customHeight="false" outlineLevel="0" collapsed="false">
      <c r="A64" s="117" t="str">
        <f aca="false">IF(B64="","",ROW()-6)</f>
        <v/>
      </c>
      <c r="B64" s="127" t="str">
        <f aca="false">IF(C63="","",IF(C63&gt;='ตั้งค่า Setup'!$C$111,"",C63+1))</f>
        <v/>
      </c>
      <c r="C64" s="127" t="str">
        <f aca="false">IF(B64="","",IF('ตั้งค่า Setup'!$C$16="รายสัปดาห์ / Weekly",B64+6,IF('ตั้งค่า Setup'!$C$16="รายเดือน / Monthly",EOMONTH(B64,0),IF(DAY(B64)&lt;=10,DATE(YEAR(B64),MONTH(B64),10),IF(DAY(B64)&lt;=20,DATE(YEAR(B64),MONTH(B64),20),EOMONTH(B64,0))))))</f>
        <v/>
      </c>
      <c r="D64" s="115" t="str">
        <f aca="false">IF(C64="","",SUMPRODUCT('แผนงาน Schedule'!$G$7:$G$156,('แผนงาน Schedule'!$J$7:$J$156&lt;=C64)+('แผนงาน Schedule'!$I$7:$I$156&lt;=C64)*('แผนงาน Schedule'!$J$7:$J$156&gt;C64)*(C64-'แผนงาน Schedule'!$I$7:$I$156+1)/('แผนงาน Schedule'!$J$7:$J$156-'แผนงาน Schedule'!$I$7:$I$156+1)))</f>
        <v/>
      </c>
      <c r="E64" s="115" t="str">
        <f aca="false">IF(C64="","",SUMPRODUCT('แผนงาน Schedule'!$G$7:$G$156,('แผนงาน Schedule'!$AB$7:$AB$156&lt;=C64)+('แผนงาน Schedule'!$AA$7:$AA$156&lt;=C64)*('แผนงาน Schedule'!$AB$7:$AB$156&gt;C64)*(C64-'แผนงาน Schedule'!$AA$7:$AA$156+1)/('แผนงาน Schedule'!$AB$7:$AB$156-'แผนงาน Schedule'!$AA$7:$AA$156+1)))</f>
        <v/>
      </c>
      <c r="F64" s="113"/>
      <c r="G64" s="115" t="str">
        <f aca="false">IF(OR(C64="",NOT(ISNUMBER(Dashboard!$C$27))),"",IF(C64&lt;Dashboard!$C$7,"",IF(Dashboard!$C$27&lt;=Dashboard!$C$7,1,MIN(1,Dashboard!$C$19+(1-Dashboard!$C$19)*(C64-Dashboard!$C$7)/(Dashboard!$C$27-Dashboard!$C$7)))))</f>
        <v/>
      </c>
      <c r="H64" s="192" t="str">
        <f aca="false">IF(OR(F64="",D64=""),"",F64-D64)</f>
        <v/>
      </c>
      <c r="I64" s="182" t="str">
        <f aca="false">IF(D64="","",D64*'ตั้งค่า Setup'!$C$9)</f>
        <v/>
      </c>
      <c r="J64" s="182" t="str">
        <f aca="false">IF(OR(C64="",F64=""),"",F64*'ตั้งค่า Setup'!$C$9)</f>
        <v/>
      </c>
      <c r="K64" s="23"/>
      <c r="L64" s="182" t="str">
        <f aca="false">IF(OR(C64="",K64=""),"",SUM(K$7:K64))</f>
        <v/>
      </c>
      <c r="M64" s="23"/>
      <c r="N64" s="182" t="str">
        <f aca="false">IF(OR(C64="",B64&gt;'ตั้งค่า Setup'!$C$15),"",SUM(M$7:M64))</f>
        <v/>
      </c>
      <c r="P64" s="69" t="n">
        <f aca="false">IF(C64&lt;&gt;"",C64,P63)</f>
        <v>46487</v>
      </c>
      <c r="Q64" s="193" t="n">
        <f aca="false">IF(D64&lt;&gt;"",D64,Q63)</f>
        <v>1</v>
      </c>
      <c r="R64" s="69" t="n">
        <f aca="false">IF(Dashboard!$C$63,P64,R63)</f>
        <v>46174</v>
      </c>
      <c r="S64" s="193" t="n">
        <f aca="false">IF(AND(Dashboard!$C$63,E64&lt;&gt;""),E64,S63)</f>
        <v>0</v>
      </c>
      <c r="T64" s="69" t="n">
        <f aca="false">IF(AND(F64&lt;&gt;"",C64&lt;&gt;""),C64,T63)</f>
        <v>46295</v>
      </c>
      <c r="U64" s="193" t="n">
        <f aca="false">IF(AND(F64&lt;&gt;"",C64&lt;&gt;""),F64,U63)</f>
        <v>0.1878</v>
      </c>
      <c r="V64" s="69" t="n">
        <f aca="false">IF(ISNUMBER(G64),C64,V63)</f>
        <v>46487</v>
      </c>
      <c r="W64" s="193" t="n">
        <f aca="false">IF(ISNUMBER(G64),G64,W63)</f>
        <v>1</v>
      </c>
      <c r="X64" s="194" t="n">
        <f aca="false">IF(I64&lt;&gt;"",I64,X63)</f>
        <v>24200000</v>
      </c>
      <c r="Y64" s="194" t="n">
        <f aca="false">IF(AND(F64&lt;&gt;"",C64&lt;&gt;""),J64,Y63)</f>
        <v>4544760</v>
      </c>
      <c r="Z64" s="69" t="n">
        <f aca="false">IF(AND(K64&lt;&gt;"",C64&lt;&gt;""),C64,Z63)</f>
        <v>46285</v>
      </c>
      <c r="AA64" s="194" t="n">
        <f aca="false">IF(AND(K64&lt;&gt;"",C64&lt;&gt;""),L64,AA63)</f>
        <v>4634800</v>
      </c>
    </row>
    <row r="65" customFormat="false" ht="15" hidden="false" customHeight="false" outlineLevel="0" collapsed="false">
      <c r="A65" s="117" t="str">
        <f aca="false">IF(B65="","",ROW()-6)</f>
        <v/>
      </c>
      <c r="B65" s="127" t="str">
        <f aca="false">IF(C64="","",IF(C64&gt;='ตั้งค่า Setup'!$C$111,"",C64+1))</f>
        <v/>
      </c>
      <c r="C65" s="127" t="str">
        <f aca="false">IF(B65="","",IF('ตั้งค่า Setup'!$C$16="รายสัปดาห์ / Weekly",B65+6,IF('ตั้งค่า Setup'!$C$16="รายเดือน / Monthly",EOMONTH(B65,0),IF(DAY(B65)&lt;=10,DATE(YEAR(B65),MONTH(B65),10),IF(DAY(B65)&lt;=20,DATE(YEAR(B65),MONTH(B65),20),EOMONTH(B65,0))))))</f>
        <v/>
      </c>
      <c r="D65" s="115" t="str">
        <f aca="false">IF(C65="","",SUMPRODUCT('แผนงาน Schedule'!$G$7:$G$156,('แผนงาน Schedule'!$J$7:$J$156&lt;=C65)+('แผนงาน Schedule'!$I$7:$I$156&lt;=C65)*('แผนงาน Schedule'!$J$7:$J$156&gt;C65)*(C65-'แผนงาน Schedule'!$I$7:$I$156+1)/('แผนงาน Schedule'!$J$7:$J$156-'แผนงาน Schedule'!$I$7:$I$156+1)))</f>
        <v/>
      </c>
      <c r="E65" s="115" t="str">
        <f aca="false">IF(C65="","",SUMPRODUCT('แผนงาน Schedule'!$G$7:$G$156,('แผนงาน Schedule'!$AB$7:$AB$156&lt;=C65)+('แผนงาน Schedule'!$AA$7:$AA$156&lt;=C65)*('แผนงาน Schedule'!$AB$7:$AB$156&gt;C65)*(C65-'แผนงาน Schedule'!$AA$7:$AA$156+1)/('แผนงาน Schedule'!$AB$7:$AB$156-'แผนงาน Schedule'!$AA$7:$AA$156+1)))</f>
        <v/>
      </c>
      <c r="F65" s="113"/>
      <c r="G65" s="115" t="str">
        <f aca="false">IF(OR(C65="",NOT(ISNUMBER(Dashboard!$C$27))),"",IF(C65&lt;Dashboard!$C$7,"",IF(Dashboard!$C$27&lt;=Dashboard!$C$7,1,MIN(1,Dashboard!$C$19+(1-Dashboard!$C$19)*(C65-Dashboard!$C$7)/(Dashboard!$C$27-Dashboard!$C$7)))))</f>
        <v/>
      </c>
      <c r="H65" s="192" t="str">
        <f aca="false">IF(OR(F65="",D65=""),"",F65-D65)</f>
        <v/>
      </c>
      <c r="I65" s="182" t="str">
        <f aca="false">IF(D65="","",D65*'ตั้งค่า Setup'!$C$9)</f>
        <v/>
      </c>
      <c r="J65" s="182" t="str">
        <f aca="false">IF(OR(C65="",F65=""),"",F65*'ตั้งค่า Setup'!$C$9)</f>
        <v/>
      </c>
      <c r="K65" s="23"/>
      <c r="L65" s="182" t="str">
        <f aca="false">IF(OR(C65="",K65=""),"",SUM(K$7:K65))</f>
        <v/>
      </c>
      <c r="M65" s="23"/>
      <c r="N65" s="182" t="str">
        <f aca="false">IF(OR(C65="",B65&gt;'ตั้งค่า Setup'!$C$15),"",SUM(M$7:M65))</f>
        <v/>
      </c>
      <c r="P65" s="69" t="n">
        <f aca="false">IF(C65&lt;&gt;"",C65,P64)</f>
        <v>46487</v>
      </c>
      <c r="Q65" s="193" t="n">
        <f aca="false">IF(D65&lt;&gt;"",D65,Q64)</f>
        <v>1</v>
      </c>
      <c r="R65" s="69" t="n">
        <f aca="false">IF(Dashboard!$C$63,P65,R64)</f>
        <v>46174</v>
      </c>
      <c r="S65" s="193" t="n">
        <f aca="false">IF(AND(Dashboard!$C$63,E65&lt;&gt;""),E65,S64)</f>
        <v>0</v>
      </c>
      <c r="T65" s="69" t="n">
        <f aca="false">IF(AND(F65&lt;&gt;"",C65&lt;&gt;""),C65,T64)</f>
        <v>46295</v>
      </c>
      <c r="U65" s="193" t="n">
        <f aca="false">IF(AND(F65&lt;&gt;"",C65&lt;&gt;""),F65,U64)</f>
        <v>0.1878</v>
      </c>
      <c r="V65" s="69" t="n">
        <f aca="false">IF(ISNUMBER(G65),C65,V64)</f>
        <v>46487</v>
      </c>
      <c r="W65" s="193" t="n">
        <f aca="false">IF(ISNUMBER(G65),G65,W64)</f>
        <v>1</v>
      </c>
      <c r="X65" s="194" t="n">
        <f aca="false">IF(I65&lt;&gt;"",I65,X64)</f>
        <v>24200000</v>
      </c>
      <c r="Y65" s="194" t="n">
        <f aca="false">IF(AND(F65&lt;&gt;"",C65&lt;&gt;""),J65,Y64)</f>
        <v>4544760</v>
      </c>
      <c r="Z65" s="69" t="n">
        <f aca="false">IF(AND(K65&lt;&gt;"",C65&lt;&gt;""),C65,Z64)</f>
        <v>46285</v>
      </c>
      <c r="AA65" s="194" t="n">
        <f aca="false">IF(AND(K65&lt;&gt;"",C65&lt;&gt;""),L65,AA64)</f>
        <v>4634800</v>
      </c>
    </row>
    <row r="66" customFormat="false" ht="15" hidden="false" customHeight="false" outlineLevel="0" collapsed="false">
      <c r="A66" s="117" t="str">
        <f aca="false">IF(B66="","",ROW()-6)</f>
        <v/>
      </c>
      <c r="B66" s="127" t="str">
        <f aca="false">IF(C65="","",IF(C65&gt;='ตั้งค่า Setup'!$C$111,"",C65+1))</f>
        <v/>
      </c>
      <c r="C66" s="127" t="str">
        <f aca="false">IF(B66="","",IF('ตั้งค่า Setup'!$C$16="รายสัปดาห์ / Weekly",B66+6,IF('ตั้งค่า Setup'!$C$16="รายเดือน / Monthly",EOMONTH(B66,0),IF(DAY(B66)&lt;=10,DATE(YEAR(B66),MONTH(B66),10),IF(DAY(B66)&lt;=20,DATE(YEAR(B66),MONTH(B66),20),EOMONTH(B66,0))))))</f>
        <v/>
      </c>
      <c r="D66" s="115" t="str">
        <f aca="false">IF(C66="","",SUMPRODUCT('แผนงาน Schedule'!$G$7:$G$156,('แผนงาน Schedule'!$J$7:$J$156&lt;=C66)+('แผนงาน Schedule'!$I$7:$I$156&lt;=C66)*('แผนงาน Schedule'!$J$7:$J$156&gt;C66)*(C66-'แผนงาน Schedule'!$I$7:$I$156+1)/('แผนงาน Schedule'!$J$7:$J$156-'แผนงาน Schedule'!$I$7:$I$156+1)))</f>
        <v/>
      </c>
      <c r="E66" s="115" t="str">
        <f aca="false">IF(C66="","",SUMPRODUCT('แผนงาน Schedule'!$G$7:$G$156,('แผนงาน Schedule'!$AB$7:$AB$156&lt;=C66)+('แผนงาน Schedule'!$AA$7:$AA$156&lt;=C66)*('แผนงาน Schedule'!$AB$7:$AB$156&gt;C66)*(C66-'แผนงาน Schedule'!$AA$7:$AA$156+1)/('แผนงาน Schedule'!$AB$7:$AB$156-'แผนงาน Schedule'!$AA$7:$AA$156+1)))</f>
        <v/>
      </c>
      <c r="F66" s="113"/>
      <c r="G66" s="115" t="str">
        <f aca="false">IF(OR(C66="",NOT(ISNUMBER(Dashboard!$C$27))),"",IF(C66&lt;Dashboard!$C$7,"",IF(Dashboard!$C$27&lt;=Dashboard!$C$7,1,MIN(1,Dashboard!$C$19+(1-Dashboard!$C$19)*(C66-Dashboard!$C$7)/(Dashboard!$C$27-Dashboard!$C$7)))))</f>
        <v/>
      </c>
      <c r="H66" s="192" t="str">
        <f aca="false">IF(OR(F66="",D66=""),"",F66-D66)</f>
        <v/>
      </c>
      <c r="I66" s="182" t="str">
        <f aca="false">IF(D66="","",D66*'ตั้งค่า Setup'!$C$9)</f>
        <v/>
      </c>
      <c r="J66" s="182" t="str">
        <f aca="false">IF(OR(C66="",F66=""),"",F66*'ตั้งค่า Setup'!$C$9)</f>
        <v/>
      </c>
      <c r="K66" s="23"/>
      <c r="L66" s="182" t="str">
        <f aca="false">IF(OR(C66="",K66=""),"",SUM(K$7:K66))</f>
        <v/>
      </c>
      <c r="M66" s="23"/>
      <c r="N66" s="182" t="str">
        <f aca="false">IF(OR(C66="",B66&gt;'ตั้งค่า Setup'!$C$15),"",SUM(M$7:M66))</f>
        <v/>
      </c>
      <c r="P66" s="69" t="n">
        <f aca="false">IF(C66&lt;&gt;"",C66,P65)</f>
        <v>46487</v>
      </c>
      <c r="Q66" s="193" t="n">
        <f aca="false">IF(D66&lt;&gt;"",D66,Q65)</f>
        <v>1</v>
      </c>
      <c r="R66" s="69" t="n">
        <f aca="false">IF(Dashboard!$C$63,P66,R65)</f>
        <v>46174</v>
      </c>
      <c r="S66" s="193" t="n">
        <f aca="false">IF(AND(Dashboard!$C$63,E66&lt;&gt;""),E66,S65)</f>
        <v>0</v>
      </c>
      <c r="T66" s="69" t="n">
        <f aca="false">IF(AND(F66&lt;&gt;"",C66&lt;&gt;""),C66,T65)</f>
        <v>46295</v>
      </c>
      <c r="U66" s="193" t="n">
        <f aca="false">IF(AND(F66&lt;&gt;"",C66&lt;&gt;""),F66,U65)</f>
        <v>0.1878</v>
      </c>
      <c r="V66" s="69" t="n">
        <f aca="false">IF(ISNUMBER(G66),C66,V65)</f>
        <v>46487</v>
      </c>
      <c r="W66" s="193" t="n">
        <f aca="false">IF(ISNUMBER(G66),G66,W65)</f>
        <v>1</v>
      </c>
      <c r="X66" s="194" t="n">
        <f aca="false">IF(I66&lt;&gt;"",I66,X65)</f>
        <v>24200000</v>
      </c>
      <c r="Y66" s="194" t="n">
        <f aca="false">IF(AND(F66&lt;&gt;"",C66&lt;&gt;""),J66,Y65)</f>
        <v>4544760</v>
      </c>
      <c r="Z66" s="69" t="n">
        <f aca="false">IF(AND(K66&lt;&gt;"",C66&lt;&gt;""),C66,Z65)</f>
        <v>46285</v>
      </c>
      <c r="AA66" s="194" t="n">
        <f aca="false">IF(AND(K66&lt;&gt;"",C66&lt;&gt;""),L66,AA65)</f>
        <v>4634800</v>
      </c>
    </row>
    <row r="67" customFormat="false" ht="15" hidden="false" customHeight="false" outlineLevel="0" collapsed="false">
      <c r="A67" s="117" t="str">
        <f aca="false">IF(B67="","",ROW()-6)</f>
        <v/>
      </c>
      <c r="B67" s="127" t="str">
        <f aca="false">IF(C66="","",IF(C66&gt;='ตั้งค่า Setup'!$C$111,"",C66+1))</f>
        <v/>
      </c>
      <c r="C67" s="127" t="str">
        <f aca="false">IF(B67="","",IF('ตั้งค่า Setup'!$C$16="รายสัปดาห์ / Weekly",B67+6,IF('ตั้งค่า Setup'!$C$16="รายเดือน / Monthly",EOMONTH(B67,0),IF(DAY(B67)&lt;=10,DATE(YEAR(B67),MONTH(B67),10),IF(DAY(B67)&lt;=20,DATE(YEAR(B67),MONTH(B67),20),EOMONTH(B67,0))))))</f>
        <v/>
      </c>
      <c r="D67" s="115" t="str">
        <f aca="false">IF(C67="","",SUMPRODUCT('แผนงาน Schedule'!$G$7:$G$156,('แผนงาน Schedule'!$J$7:$J$156&lt;=C67)+('แผนงาน Schedule'!$I$7:$I$156&lt;=C67)*('แผนงาน Schedule'!$J$7:$J$156&gt;C67)*(C67-'แผนงาน Schedule'!$I$7:$I$156+1)/('แผนงาน Schedule'!$J$7:$J$156-'แผนงาน Schedule'!$I$7:$I$156+1)))</f>
        <v/>
      </c>
      <c r="E67" s="115" t="str">
        <f aca="false">IF(C67="","",SUMPRODUCT('แผนงาน Schedule'!$G$7:$G$156,('แผนงาน Schedule'!$AB$7:$AB$156&lt;=C67)+('แผนงาน Schedule'!$AA$7:$AA$156&lt;=C67)*('แผนงาน Schedule'!$AB$7:$AB$156&gt;C67)*(C67-'แผนงาน Schedule'!$AA$7:$AA$156+1)/('แผนงาน Schedule'!$AB$7:$AB$156-'แผนงาน Schedule'!$AA$7:$AA$156+1)))</f>
        <v/>
      </c>
      <c r="F67" s="113"/>
      <c r="G67" s="115" t="str">
        <f aca="false">IF(OR(C67="",NOT(ISNUMBER(Dashboard!$C$27))),"",IF(C67&lt;Dashboard!$C$7,"",IF(Dashboard!$C$27&lt;=Dashboard!$C$7,1,MIN(1,Dashboard!$C$19+(1-Dashboard!$C$19)*(C67-Dashboard!$C$7)/(Dashboard!$C$27-Dashboard!$C$7)))))</f>
        <v/>
      </c>
      <c r="H67" s="192" t="str">
        <f aca="false">IF(OR(F67="",D67=""),"",F67-D67)</f>
        <v/>
      </c>
      <c r="I67" s="182" t="str">
        <f aca="false">IF(D67="","",D67*'ตั้งค่า Setup'!$C$9)</f>
        <v/>
      </c>
      <c r="J67" s="182" t="str">
        <f aca="false">IF(OR(C67="",F67=""),"",F67*'ตั้งค่า Setup'!$C$9)</f>
        <v/>
      </c>
      <c r="K67" s="23"/>
      <c r="L67" s="182" t="str">
        <f aca="false">IF(OR(C67="",K67=""),"",SUM(K$7:K67))</f>
        <v/>
      </c>
      <c r="M67" s="23"/>
      <c r="N67" s="182" t="str">
        <f aca="false">IF(OR(C67="",B67&gt;'ตั้งค่า Setup'!$C$15),"",SUM(M$7:M67))</f>
        <v/>
      </c>
      <c r="P67" s="69" t="n">
        <f aca="false">IF(C67&lt;&gt;"",C67,P66)</f>
        <v>46487</v>
      </c>
      <c r="Q67" s="193" t="n">
        <f aca="false">IF(D67&lt;&gt;"",D67,Q66)</f>
        <v>1</v>
      </c>
      <c r="R67" s="69" t="n">
        <f aca="false">IF(Dashboard!$C$63,P67,R66)</f>
        <v>46174</v>
      </c>
      <c r="S67" s="193" t="n">
        <f aca="false">IF(AND(Dashboard!$C$63,E67&lt;&gt;""),E67,S66)</f>
        <v>0</v>
      </c>
      <c r="T67" s="69" t="n">
        <f aca="false">IF(AND(F67&lt;&gt;"",C67&lt;&gt;""),C67,T66)</f>
        <v>46295</v>
      </c>
      <c r="U67" s="193" t="n">
        <f aca="false">IF(AND(F67&lt;&gt;"",C67&lt;&gt;""),F67,U66)</f>
        <v>0.1878</v>
      </c>
      <c r="V67" s="69" t="n">
        <f aca="false">IF(ISNUMBER(G67),C67,V66)</f>
        <v>46487</v>
      </c>
      <c r="W67" s="193" t="n">
        <f aca="false">IF(ISNUMBER(G67),G67,W66)</f>
        <v>1</v>
      </c>
      <c r="X67" s="194" t="n">
        <f aca="false">IF(I67&lt;&gt;"",I67,X66)</f>
        <v>24200000</v>
      </c>
      <c r="Y67" s="194" t="n">
        <f aca="false">IF(AND(F67&lt;&gt;"",C67&lt;&gt;""),J67,Y66)</f>
        <v>4544760</v>
      </c>
      <c r="Z67" s="69" t="n">
        <f aca="false">IF(AND(K67&lt;&gt;"",C67&lt;&gt;""),C67,Z66)</f>
        <v>46285</v>
      </c>
      <c r="AA67" s="194" t="n">
        <f aca="false">IF(AND(K67&lt;&gt;"",C67&lt;&gt;""),L67,AA66)</f>
        <v>4634800</v>
      </c>
    </row>
    <row r="68" customFormat="false" ht="15" hidden="false" customHeight="false" outlineLevel="0" collapsed="false">
      <c r="A68" s="117" t="str">
        <f aca="false">IF(B68="","",ROW()-6)</f>
        <v/>
      </c>
      <c r="B68" s="127" t="str">
        <f aca="false">IF(C67="","",IF(C67&gt;='ตั้งค่า Setup'!$C$111,"",C67+1))</f>
        <v/>
      </c>
      <c r="C68" s="127" t="str">
        <f aca="false">IF(B68="","",IF('ตั้งค่า Setup'!$C$16="รายสัปดาห์ / Weekly",B68+6,IF('ตั้งค่า Setup'!$C$16="รายเดือน / Monthly",EOMONTH(B68,0),IF(DAY(B68)&lt;=10,DATE(YEAR(B68),MONTH(B68),10),IF(DAY(B68)&lt;=20,DATE(YEAR(B68),MONTH(B68),20),EOMONTH(B68,0))))))</f>
        <v/>
      </c>
      <c r="D68" s="115" t="str">
        <f aca="false">IF(C68="","",SUMPRODUCT('แผนงาน Schedule'!$G$7:$G$156,('แผนงาน Schedule'!$J$7:$J$156&lt;=C68)+('แผนงาน Schedule'!$I$7:$I$156&lt;=C68)*('แผนงาน Schedule'!$J$7:$J$156&gt;C68)*(C68-'แผนงาน Schedule'!$I$7:$I$156+1)/('แผนงาน Schedule'!$J$7:$J$156-'แผนงาน Schedule'!$I$7:$I$156+1)))</f>
        <v/>
      </c>
      <c r="E68" s="115" t="str">
        <f aca="false">IF(C68="","",SUMPRODUCT('แผนงาน Schedule'!$G$7:$G$156,('แผนงาน Schedule'!$AB$7:$AB$156&lt;=C68)+('แผนงาน Schedule'!$AA$7:$AA$156&lt;=C68)*('แผนงาน Schedule'!$AB$7:$AB$156&gt;C68)*(C68-'แผนงาน Schedule'!$AA$7:$AA$156+1)/('แผนงาน Schedule'!$AB$7:$AB$156-'แผนงาน Schedule'!$AA$7:$AA$156+1)))</f>
        <v/>
      </c>
      <c r="F68" s="113"/>
      <c r="G68" s="115" t="str">
        <f aca="false">IF(OR(C68="",NOT(ISNUMBER(Dashboard!$C$27))),"",IF(C68&lt;Dashboard!$C$7,"",IF(Dashboard!$C$27&lt;=Dashboard!$C$7,1,MIN(1,Dashboard!$C$19+(1-Dashboard!$C$19)*(C68-Dashboard!$C$7)/(Dashboard!$C$27-Dashboard!$C$7)))))</f>
        <v/>
      </c>
      <c r="H68" s="192" t="str">
        <f aca="false">IF(OR(F68="",D68=""),"",F68-D68)</f>
        <v/>
      </c>
      <c r="I68" s="182" t="str">
        <f aca="false">IF(D68="","",D68*'ตั้งค่า Setup'!$C$9)</f>
        <v/>
      </c>
      <c r="J68" s="182" t="str">
        <f aca="false">IF(OR(C68="",F68=""),"",F68*'ตั้งค่า Setup'!$C$9)</f>
        <v/>
      </c>
      <c r="K68" s="23"/>
      <c r="L68" s="182" t="str">
        <f aca="false">IF(OR(C68="",K68=""),"",SUM(K$7:K68))</f>
        <v/>
      </c>
      <c r="M68" s="23"/>
      <c r="N68" s="182" t="str">
        <f aca="false">IF(OR(C68="",B68&gt;'ตั้งค่า Setup'!$C$15),"",SUM(M$7:M68))</f>
        <v/>
      </c>
      <c r="P68" s="69" t="n">
        <f aca="false">IF(C68&lt;&gt;"",C68,P67)</f>
        <v>46487</v>
      </c>
      <c r="Q68" s="193" t="n">
        <f aca="false">IF(D68&lt;&gt;"",D68,Q67)</f>
        <v>1</v>
      </c>
      <c r="R68" s="69" t="n">
        <f aca="false">IF(Dashboard!$C$63,P68,R67)</f>
        <v>46174</v>
      </c>
      <c r="S68" s="193" t="n">
        <f aca="false">IF(AND(Dashboard!$C$63,E68&lt;&gt;""),E68,S67)</f>
        <v>0</v>
      </c>
      <c r="T68" s="69" t="n">
        <f aca="false">IF(AND(F68&lt;&gt;"",C68&lt;&gt;""),C68,T67)</f>
        <v>46295</v>
      </c>
      <c r="U68" s="193" t="n">
        <f aca="false">IF(AND(F68&lt;&gt;"",C68&lt;&gt;""),F68,U67)</f>
        <v>0.1878</v>
      </c>
      <c r="V68" s="69" t="n">
        <f aca="false">IF(ISNUMBER(G68),C68,V67)</f>
        <v>46487</v>
      </c>
      <c r="W68" s="193" t="n">
        <f aca="false">IF(ISNUMBER(G68),G68,W67)</f>
        <v>1</v>
      </c>
      <c r="X68" s="194" t="n">
        <f aca="false">IF(I68&lt;&gt;"",I68,X67)</f>
        <v>24200000</v>
      </c>
      <c r="Y68" s="194" t="n">
        <f aca="false">IF(AND(F68&lt;&gt;"",C68&lt;&gt;""),J68,Y67)</f>
        <v>4544760</v>
      </c>
      <c r="Z68" s="69" t="n">
        <f aca="false">IF(AND(K68&lt;&gt;"",C68&lt;&gt;""),C68,Z67)</f>
        <v>46285</v>
      </c>
      <c r="AA68" s="194" t="n">
        <f aca="false">IF(AND(K68&lt;&gt;"",C68&lt;&gt;""),L68,AA67)</f>
        <v>4634800</v>
      </c>
    </row>
    <row r="69" customFormat="false" ht="15" hidden="false" customHeight="false" outlineLevel="0" collapsed="false">
      <c r="A69" s="117" t="str">
        <f aca="false">IF(B69="","",ROW()-6)</f>
        <v/>
      </c>
      <c r="B69" s="127" t="str">
        <f aca="false">IF(C68="","",IF(C68&gt;='ตั้งค่า Setup'!$C$111,"",C68+1))</f>
        <v/>
      </c>
      <c r="C69" s="127" t="str">
        <f aca="false">IF(B69="","",IF('ตั้งค่า Setup'!$C$16="รายสัปดาห์ / Weekly",B69+6,IF('ตั้งค่า Setup'!$C$16="รายเดือน / Monthly",EOMONTH(B69,0),IF(DAY(B69)&lt;=10,DATE(YEAR(B69),MONTH(B69),10),IF(DAY(B69)&lt;=20,DATE(YEAR(B69),MONTH(B69),20),EOMONTH(B69,0))))))</f>
        <v/>
      </c>
      <c r="D69" s="115" t="str">
        <f aca="false">IF(C69="","",SUMPRODUCT('แผนงาน Schedule'!$G$7:$G$156,('แผนงาน Schedule'!$J$7:$J$156&lt;=C69)+('แผนงาน Schedule'!$I$7:$I$156&lt;=C69)*('แผนงาน Schedule'!$J$7:$J$156&gt;C69)*(C69-'แผนงาน Schedule'!$I$7:$I$156+1)/('แผนงาน Schedule'!$J$7:$J$156-'แผนงาน Schedule'!$I$7:$I$156+1)))</f>
        <v/>
      </c>
      <c r="E69" s="115" t="str">
        <f aca="false">IF(C69="","",SUMPRODUCT('แผนงาน Schedule'!$G$7:$G$156,('แผนงาน Schedule'!$AB$7:$AB$156&lt;=C69)+('แผนงาน Schedule'!$AA$7:$AA$156&lt;=C69)*('แผนงาน Schedule'!$AB$7:$AB$156&gt;C69)*(C69-'แผนงาน Schedule'!$AA$7:$AA$156+1)/('แผนงาน Schedule'!$AB$7:$AB$156-'แผนงาน Schedule'!$AA$7:$AA$156+1)))</f>
        <v/>
      </c>
      <c r="F69" s="113"/>
      <c r="G69" s="115" t="str">
        <f aca="false">IF(OR(C69="",NOT(ISNUMBER(Dashboard!$C$27))),"",IF(C69&lt;Dashboard!$C$7,"",IF(Dashboard!$C$27&lt;=Dashboard!$C$7,1,MIN(1,Dashboard!$C$19+(1-Dashboard!$C$19)*(C69-Dashboard!$C$7)/(Dashboard!$C$27-Dashboard!$C$7)))))</f>
        <v/>
      </c>
      <c r="H69" s="192" t="str">
        <f aca="false">IF(OR(F69="",D69=""),"",F69-D69)</f>
        <v/>
      </c>
      <c r="I69" s="182" t="str">
        <f aca="false">IF(D69="","",D69*'ตั้งค่า Setup'!$C$9)</f>
        <v/>
      </c>
      <c r="J69" s="182" t="str">
        <f aca="false">IF(OR(C69="",F69=""),"",F69*'ตั้งค่า Setup'!$C$9)</f>
        <v/>
      </c>
      <c r="K69" s="23"/>
      <c r="L69" s="182" t="str">
        <f aca="false">IF(OR(C69="",K69=""),"",SUM(K$7:K69))</f>
        <v/>
      </c>
      <c r="M69" s="23"/>
      <c r="N69" s="182" t="str">
        <f aca="false">IF(OR(C69="",B69&gt;'ตั้งค่า Setup'!$C$15),"",SUM(M$7:M69))</f>
        <v/>
      </c>
      <c r="P69" s="69" t="n">
        <f aca="false">IF(C69&lt;&gt;"",C69,P68)</f>
        <v>46487</v>
      </c>
      <c r="Q69" s="193" t="n">
        <f aca="false">IF(D69&lt;&gt;"",D69,Q68)</f>
        <v>1</v>
      </c>
      <c r="R69" s="69" t="n">
        <f aca="false">IF(Dashboard!$C$63,P69,R68)</f>
        <v>46174</v>
      </c>
      <c r="S69" s="193" t="n">
        <f aca="false">IF(AND(Dashboard!$C$63,E69&lt;&gt;""),E69,S68)</f>
        <v>0</v>
      </c>
      <c r="T69" s="69" t="n">
        <f aca="false">IF(AND(F69&lt;&gt;"",C69&lt;&gt;""),C69,T68)</f>
        <v>46295</v>
      </c>
      <c r="U69" s="193" t="n">
        <f aca="false">IF(AND(F69&lt;&gt;"",C69&lt;&gt;""),F69,U68)</f>
        <v>0.1878</v>
      </c>
      <c r="V69" s="69" t="n">
        <f aca="false">IF(ISNUMBER(G69),C69,V68)</f>
        <v>46487</v>
      </c>
      <c r="W69" s="193" t="n">
        <f aca="false">IF(ISNUMBER(G69),G69,W68)</f>
        <v>1</v>
      </c>
      <c r="X69" s="194" t="n">
        <f aca="false">IF(I69&lt;&gt;"",I69,X68)</f>
        <v>24200000</v>
      </c>
      <c r="Y69" s="194" t="n">
        <f aca="false">IF(AND(F69&lt;&gt;"",C69&lt;&gt;""),J69,Y68)</f>
        <v>4544760</v>
      </c>
      <c r="Z69" s="69" t="n">
        <f aca="false">IF(AND(K69&lt;&gt;"",C69&lt;&gt;""),C69,Z68)</f>
        <v>46285</v>
      </c>
      <c r="AA69" s="194" t="n">
        <f aca="false">IF(AND(K69&lt;&gt;"",C69&lt;&gt;""),L69,AA68)</f>
        <v>4634800</v>
      </c>
    </row>
    <row r="70" customFormat="false" ht="15" hidden="false" customHeight="false" outlineLevel="0" collapsed="false">
      <c r="A70" s="117" t="str">
        <f aca="false">IF(B70="","",ROW()-6)</f>
        <v/>
      </c>
      <c r="B70" s="127" t="str">
        <f aca="false">IF(C69="","",IF(C69&gt;='ตั้งค่า Setup'!$C$111,"",C69+1))</f>
        <v/>
      </c>
      <c r="C70" s="127" t="str">
        <f aca="false">IF(B70="","",IF('ตั้งค่า Setup'!$C$16="รายสัปดาห์ / Weekly",B70+6,IF('ตั้งค่า Setup'!$C$16="รายเดือน / Monthly",EOMONTH(B70,0),IF(DAY(B70)&lt;=10,DATE(YEAR(B70),MONTH(B70),10),IF(DAY(B70)&lt;=20,DATE(YEAR(B70),MONTH(B70),20),EOMONTH(B70,0))))))</f>
        <v/>
      </c>
      <c r="D70" s="115" t="str">
        <f aca="false">IF(C70="","",SUMPRODUCT('แผนงาน Schedule'!$G$7:$G$156,('แผนงาน Schedule'!$J$7:$J$156&lt;=C70)+('แผนงาน Schedule'!$I$7:$I$156&lt;=C70)*('แผนงาน Schedule'!$J$7:$J$156&gt;C70)*(C70-'แผนงาน Schedule'!$I$7:$I$156+1)/('แผนงาน Schedule'!$J$7:$J$156-'แผนงาน Schedule'!$I$7:$I$156+1)))</f>
        <v/>
      </c>
      <c r="E70" s="115" t="str">
        <f aca="false">IF(C70="","",SUMPRODUCT('แผนงาน Schedule'!$G$7:$G$156,('แผนงาน Schedule'!$AB$7:$AB$156&lt;=C70)+('แผนงาน Schedule'!$AA$7:$AA$156&lt;=C70)*('แผนงาน Schedule'!$AB$7:$AB$156&gt;C70)*(C70-'แผนงาน Schedule'!$AA$7:$AA$156+1)/('แผนงาน Schedule'!$AB$7:$AB$156-'แผนงาน Schedule'!$AA$7:$AA$156+1)))</f>
        <v/>
      </c>
      <c r="F70" s="113"/>
      <c r="G70" s="115" t="str">
        <f aca="false">IF(OR(C70="",NOT(ISNUMBER(Dashboard!$C$27))),"",IF(C70&lt;Dashboard!$C$7,"",IF(Dashboard!$C$27&lt;=Dashboard!$C$7,1,MIN(1,Dashboard!$C$19+(1-Dashboard!$C$19)*(C70-Dashboard!$C$7)/(Dashboard!$C$27-Dashboard!$C$7)))))</f>
        <v/>
      </c>
      <c r="H70" s="192" t="str">
        <f aca="false">IF(OR(F70="",D70=""),"",F70-D70)</f>
        <v/>
      </c>
      <c r="I70" s="182" t="str">
        <f aca="false">IF(D70="","",D70*'ตั้งค่า Setup'!$C$9)</f>
        <v/>
      </c>
      <c r="J70" s="182" t="str">
        <f aca="false">IF(OR(C70="",F70=""),"",F70*'ตั้งค่า Setup'!$C$9)</f>
        <v/>
      </c>
      <c r="K70" s="23"/>
      <c r="L70" s="182" t="str">
        <f aca="false">IF(OR(C70="",K70=""),"",SUM(K$7:K70))</f>
        <v/>
      </c>
      <c r="M70" s="23"/>
      <c r="N70" s="182" t="str">
        <f aca="false">IF(OR(C70="",B70&gt;'ตั้งค่า Setup'!$C$15),"",SUM(M$7:M70))</f>
        <v/>
      </c>
      <c r="P70" s="69" t="n">
        <f aca="false">IF(C70&lt;&gt;"",C70,P69)</f>
        <v>46487</v>
      </c>
      <c r="Q70" s="193" t="n">
        <f aca="false">IF(D70&lt;&gt;"",D70,Q69)</f>
        <v>1</v>
      </c>
      <c r="R70" s="69" t="n">
        <f aca="false">IF(Dashboard!$C$63,P70,R69)</f>
        <v>46174</v>
      </c>
      <c r="S70" s="193" t="n">
        <f aca="false">IF(AND(Dashboard!$C$63,E70&lt;&gt;""),E70,S69)</f>
        <v>0</v>
      </c>
      <c r="T70" s="69" t="n">
        <f aca="false">IF(AND(F70&lt;&gt;"",C70&lt;&gt;""),C70,T69)</f>
        <v>46295</v>
      </c>
      <c r="U70" s="193" t="n">
        <f aca="false">IF(AND(F70&lt;&gt;"",C70&lt;&gt;""),F70,U69)</f>
        <v>0.1878</v>
      </c>
      <c r="V70" s="69" t="n">
        <f aca="false">IF(ISNUMBER(G70),C70,V69)</f>
        <v>46487</v>
      </c>
      <c r="W70" s="193" t="n">
        <f aca="false">IF(ISNUMBER(G70),G70,W69)</f>
        <v>1</v>
      </c>
      <c r="X70" s="194" t="n">
        <f aca="false">IF(I70&lt;&gt;"",I70,X69)</f>
        <v>24200000</v>
      </c>
      <c r="Y70" s="194" t="n">
        <f aca="false">IF(AND(F70&lt;&gt;"",C70&lt;&gt;""),J70,Y69)</f>
        <v>4544760</v>
      </c>
      <c r="Z70" s="69" t="n">
        <f aca="false">IF(AND(K70&lt;&gt;"",C70&lt;&gt;""),C70,Z69)</f>
        <v>46285</v>
      </c>
      <c r="AA70" s="194" t="n">
        <f aca="false">IF(AND(K70&lt;&gt;"",C70&lt;&gt;""),L70,AA69)</f>
        <v>4634800</v>
      </c>
    </row>
    <row r="71" customFormat="false" ht="15" hidden="false" customHeight="false" outlineLevel="0" collapsed="false">
      <c r="A71" s="117" t="str">
        <f aca="false">IF(B71="","",ROW()-6)</f>
        <v/>
      </c>
      <c r="B71" s="127" t="str">
        <f aca="false">IF(C70="","",IF(C70&gt;='ตั้งค่า Setup'!$C$111,"",C70+1))</f>
        <v/>
      </c>
      <c r="C71" s="127" t="str">
        <f aca="false">IF(B71="","",IF('ตั้งค่า Setup'!$C$16="รายสัปดาห์ / Weekly",B71+6,IF('ตั้งค่า Setup'!$C$16="รายเดือน / Monthly",EOMONTH(B71,0),IF(DAY(B71)&lt;=10,DATE(YEAR(B71),MONTH(B71),10),IF(DAY(B71)&lt;=20,DATE(YEAR(B71),MONTH(B71),20),EOMONTH(B71,0))))))</f>
        <v/>
      </c>
      <c r="D71" s="115" t="str">
        <f aca="false">IF(C71="","",SUMPRODUCT('แผนงาน Schedule'!$G$7:$G$156,('แผนงาน Schedule'!$J$7:$J$156&lt;=C71)+('แผนงาน Schedule'!$I$7:$I$156&lt;=C71)*('แผนงาน Schedule'!$J$7:$J$156&gt;C71)*(C71-'แผนงาน Schedule'!$I$7:$I$156+1)/('แผนงาน Schedule'!$J$7:$J$156-'แผนงาน Schedule'!$I$7:$I$156+1)))</f>
        <v/>
      </c>
      <c r="E71" s="115" t="str">
        <f aca="false">IF(C71="","",SUMPRODUCT('แผนงาน Schedule'!$G$7:$G$156,('แผนงาน Schedule'!$AB$7:$AB$156&lt;=C71)+('แผนงาน Schedule'!$AA$7:$AA$156&lt;=C71)*('แผนงาน Schedule'!$AB$7:$AB$156&gt;C71)*(C71-'แผนงาน Schedule'!$AA$7:$AA$156+1)/('แผนงาน Schedule'!$AB$7:$AB$156-'แผนงาน Schedule'!$AA$7:$AA$156+1)))</f>
        <v/>
      </c>
      <c r="F71" s="113"/>
      <c r="G71" s="115" t="str">
        <f aca="false">IF(OR(C71="",NOT(ISNUMBER(Dashboard!$C$27))),"",IF(C71&lt;Dashboard!$C$7,"",IF(Dashboard!$C$27&lt;=Dashboard!$C$7,1,MIN(1,Dashboard!$C$19+(1-Dashboard!$C$19)*(C71-Dashboard!$C$7)/(Dashboard!$C$27-Dashboard!$C$7)))))</f>
        <v/>
      </c>
      <c r="H71" s="192" t="str">
        <f aca="false">IF(OR(F71="",D71=""),"",F71-D71)</f>
        <v/>
      </c>
      <c r="I71" s="182" t="str">
        <f aca="false">IF(D71="","",D71*'ตั้งค่า Setup'!$C$9)</f>
        <v/>
      </c>
      <c r="J71" s="182" t="str">
        <f aca="false">IF(OR(C71="",F71=""),"",F71*'ตั้งค่า Setup'!$C$9)</f>
        <v/>
      </c>
      <c r="K71" s="23"/>
      <c r="L71" s="182" t="str">
        <f aca="false">IF(OR(C71="",K71=""),"",SUM(K$7:K71))</f>
        <v/>
      </c>
      <c r="M71" s="23"/>
      <c r="N71" s="182" t="str">
        <f aca="false">IF(OR(C71="",B71&gt;'ตั้งค่า Setup'!$C$15),"",SUM(M$7:M71))</f>
        <v/>
      </c>
      <c r="P71" s="69" t="n">
        <f aca="false">IF(C71&lt;&gt;"",C71,P70)</f>
        <v>46487</v>
      </c>
      <c r="Q71" s="193" t="n">
        <f aca="false">IF(D71&lt;&gt;"",D71,Q70)</f>
        <v>1</v>
      </c>
      <c r="R71" s="69" t="n">
        <f aca="false">IF(Dashboard!$C$63,P71,R70)</f>
        <v>46174</v>
      </c>
      <c r="S71" s="193" t="n">
        <f aca="false">IF(AND(Dashboard!$C$63,E71&lt;&gt;""),E71,S70)</f>
        <v>0</v>
      </c>
      <c r="T71" s="69" t="n">
        <f aca="false">IF(AND(F71&lt;&gt;"",C71&lt;&gt;""),C71,T70)</f>
        <v>46295</v>
      </c>
      <c r="U71" s="193" t="n">
        <f aca="false">IF(AND(F71&lt;&gt;"",C71&lt;&gt;""),F71,U70)</f>
        <v>0.1878</v>
      </c>
      <c r="V71" s="69" t="n">
        <f aca="false">IF(ISNUMBER(G71),C71,V70)</f>
        <v>46487</v>
      </c>
      <c r="W71" s="193" t="n">
        <f aca="false">IF(ISNUMBER(G71),G71,W70)</f>
        <v>1</v>
      </c>
      <c r="X71" s="194" t="n">
        <f aca="false">IF(I71&lt;&gt;"",I71,X70)</f>
        <v>24200000</v>
      </c>
      <c r="Y71" s="194" t="n">
        <f aca="false">IF(AND(F71&lt;&gt;"",C71&lt;&gt;""),J71,Y70)</f>
        <v>4544760</v>
      </c>
      <c r="Z71" s="69" t="n">
        <f aca="false">IF(AND(K71&lt;&gt;"",C71&lt;&gt;""),C71,Z70)</f>
        <v>46285</v>
      </c>
      <c r="AA71" s="194" t="n">
        <f aca="false">IF(AND(K71&lt;&gt;"",C71&lt;&gt;""),L71,AA70)</f>
        <v>4634800</v>
      </c>
    </row>
    <row r="72" customFormat="false" ht="15" hidden="false" customHeight="false" outlineLevel="0" collapsed="false">
      <c r="A72" s="117" t="str">
        <f aca="false">IF(B72="","",ROW()-6)</f>
        <v/>
      </c>
      <c r="B72" s="127" t="str">
        <f aca="false">IF(C71="","",IF(C71&gt;='ตั้งค่า Setup'!$C$111,"",C71+1))</f>
        <v/>
      </c>
      <c r="C72" s="127" t="str">
        <f aca="false">IF(B72="","",IF('ตั้งค่า Setup'!$C$16="รายสัปดาห์ / Weekly",B72+6,IF('ตั้งค่า Setup'!$C$16="รายเดือน / Monthly",EOMONTH(B72,0),IF(DAY(B72)&lt;=10,DATE(YEAR(B72),MONTH(B72),10),IF(DAY(B72)&lt;=20,DATE(YEAR(B72),MONTH(B72),20),EOMONTH(B72,0))))))</f>
        <v/>
      </c>
      <c r="D72" s="115" t="str">
        <f aca="false">IF(C72="","",SUMPRODUCT('แผนงาน Schedule'!$G$7:$G$156,('แผนงาน Schedule'!$J$7:$J$156&lt;=C72)+('แผนงาน Schedule'!$I$7:$I$156&lt;=C72)*('แผนงาน Schedule'!$J$7:$J$156&gt;C72)*(C72-'แผนงาน Schedule'!$I$7:$I$156+1)/('แผนงาน Schedule'!$J$7:$J$156-'แผนงาน Schedule'!$I$7:$I$156+1)))</f>
        <v/>
      </c>
      <c r="E72" s="115" t="str">
        <f aca="false">IF(C72="","",SUMPRODUCT('แผนงาน Schedule'!$G$7:$G$156,('แผนงาน Schedule'!$AB$7:$AB$156&lt;=C72)+('แผนงาน Schedule'!$AA$7:$AA$156&lt;=C72)*('แผนงาน Schedule'!$AB$7:$AB$156&gt;C72)*(C72-'แผนงาน Schedule'!$AA$7:$AA$156+1)/('แผนงาน Schedule'!$AB$7:$AB$156-'แผนงาน Schedule'!$AA$7:$AA$156+1)))</f>
        <v/>
      </c>
      <c r="F72" s="113"/>
      <c r="G72" s="115" t="str">
        <f aca="false">IF(OR(C72="",NOT(ISNUMBER(Dashboard!$C$27))),"",IF(C72&lt;Dashboard!$C$7,"",IF(Dashboard!$C$27&lt;=Dashboard!$C$7,1,MIN(1,Dashboard!$C$19+(1-Dashboard!$C$19)*(C72-Dashboard!$C$7)/(Dashboard!$C$27-Dashboard!$C$7)))))</f>
        <v/>
      </c>
      <c r="H72" s="192" t="str">
        <f aca="false">IF(OR(F72="",D72=""),"",F72-D72)</f>
        <v/>
      </c>
      <c r="I72" s="182" t="str">
        <f aca="false">IF(D72="","",D72*'ตั้งค่า Setup'!$C$9)</f>
        <v/>
      </c>
      <c r="J72" s="182" t="str">
        <f aca="false">IF(OR(C72="",F72=""),"",F72*'ตั้งค่า Setup'!$C$9)</f>
        <v/>
      </c>
      <c r="K72" s="23"/>
      <c r="L72" s="182" t="str">
        <f aca="false">IF(OR(C72="",K72=""),"",SUM(K$7:K72))</f>
        <v/>
      </c>
      <c r="M72" s="23"/>
      <c r="N72" s="182" t="str">
        <f aca="false">IF(OR(C72="",B72&gt;'ตั้งค่า Setup'!$C$15),"",SUM(M$7:M72))</f>
        <v/>
      </c>
      <c r="P72" s="69" t="n">
        <f aca="false">IF(C72&lt;&gt;"",C72,P71)</f>
        <v>46487</v>
      </c>
      <c r="Q72" s="193" t="n">
        <f aca="false">IF(D72&lt;&gt;"",D72,Q71)</f>
        <v>1</v>
      </c>
      <c r="R72" s="69" t="n">
        <f aca="false">IF(Dashboard!$C$63,P72,R71)</f>
        <v>46174</v>
      </c>
      <c r="S72" s="193" t="n">
        <f aca="false">IF(AND(Dashboard!$C$63,E72&lt;&gt;""),E72,S71)</f>
        <v>0</v>
      </c>
      <c r="T72" s="69" t="n">
        <f aca="false">IF(AND(F72&lt;&gt;"",C72&lt;&gt;""),C72,T71)</f>
        <v>46295</v>
      </c>
      <c r="U72" s="193" t="n">
        <f aca="false">IF(AND(F72&lt;&gt;"",C72&lt;&gt;""),F72,U71)</f>
        <v>0.1878</v>
      </c>
      <c r="V72" s="69" t="n">
        <f aca="false">IF(ISNUMBER(G72),C72,V71)</f>
        <v>46487</v>
      </c>
      <c r="W72" s="193" t="n">
        <f aca="false">IF(ISNUMBER(G72),G72,W71)</f>
        <v>1</v>
      </c>
      <c r="X72" s="194" t="n">
        <f aca="false">IF(I72&lt;&gt;"",I72,X71)</f>
        <v>24200000</v>
      </c>
      <c r="Y72" s="194" t="n">
        <f aca="false">IF(AND(F72&lt;&gt;"",C72&lt;&gt;""),J72,Y71)</f>
        <v>4544760</v>
      </c>
      <c r="Z72" s="69" t="n">
        <f aca="false">IF(AND(K72&lt;&gt;"",C72&lt;&gt;""),C72,Z71)</f>
        <v>46285</v>
      </c>
      <c r="AA72" s="194" t="n">
        <f aca="false">IF(AND(K72&lt;&gt;"",C72&lt;&gt;""),L72,AA71)</f>
        <v>4634800</v>
      </c>
    </row>
    <row r="73" customFormat="false" ht="15" hidden="false" customHeight="false" outlineLevel="0" collapsed="false">
      <c r="A73" s="117" t="str">
        <f aca="false">IF(B73="","",ROW()-6)</f>
        <v/>
      </c>
      <c r="B73" s="127" t="str">
        <f aca="false">IF(C72="","",IF(C72&gt;='ตั้งค่า Setup'!$C$111,"",C72+1))</f>
        <v/>
      </c>
      <c r="C73" s="127" t="str">
        <f aca="false">IF(B73="","",IF('ตั้งค่า Setup'!$C$16="รายสัปดาห์ / Weekly",B73+6,IF('ตั้งค่า Setup'!$C$16="รายเดือน / Monthly",EOMONTH(B73,0),IF(DAY(B73)&lt;=10,DATE(YEAR(B73),MONTH(B73),10),IF(DAY(B73)&lt;=20,DATE(YEAR(B73),MONTH(B73),20),EOMONTH(B73,0))))))</f>
        <v/>
      </c>
      <c r="D73" s="115" t="str">
        <f aca="false">IF(C73="","",SUMPRODUCT('แผนงาน Schedule'!$G$7:$G$156,('แผนงาน Schedule'!$J$7:$J$156&lt;=C73)+('แผนงาน Schedule'!$I$7:$I$156&lt;=C73)*('แผนงาน Schedule'!$J$7:$J$156&gt;C73)*(C73-'แผนงาน Schedule'!$I$7:$I$156+1)/('แผนงาน Schedule'!$J$7:$J$156-'แผนงาน Schedule'!$I$7:$I$156+1)))</f>
        <v/>
      </c>
      <c r="E73" s="115" t="str">
        <f aca="false">IF(C73="","",SUMPRODUCT('แผนงาน Schedule'!$G$7:$G$156,('แผนงาน Schedule'!$AB$7:$AB$156&lt;=C73)+('แผนงาน Schedule'!$AA$7:$AA$156&lt;=C73)*('แผนงาน Schedule'!$AB$7:$AB$156&gt;C73)*(C73-'แผนงาน Schedule'!$AA$7:$AA$156+1)/('แผนงาน Schedule'!$AB$7:$AB$156-'แผนงาน Schedule'!$AA$7:$AA$156+1)))</f>
        <v/>
      </c>
      <c r="F73" s="113"/>
      <c r="G73" s="115" t="str">
        <f aca="false">IF(OR(C73="",NOT(ISNUMBER(Dashboard!$C$27))),"",IF(C73&lt;Dashboard!$C$7,"",IF(Dashboard!$C$27&lt;=Dashboard!$C$7,1,MIN(1,Dashboard!$C$19+(1-Dashboard!$C$19)*(C73-Dashboard!$C$7)/(Dashboard!$C$27-Dashboard!$C$7)))))</f>
        <v/>
      </c>
      <c r="H73" s="192" t="str">
        <f aca="false">IF(OR(F73="",D73=""),"",F73-D73)</f>
        <v/>
      </c>
      <c r="I73" s="182" t="str">
        <f aca="false">IF(D73="","",D73*'ตั้งค่า Setup'!$C$9)</f>
        <v/>
      </c>
      <c r="J73" s="182" t="str">
        <f aca="false">IF(OR(C73="",F73=""),"",F73*'ตั้งค่า Setup'!$C$9)</f>
        <v/>
      </c>
      <c r="K73" s="23"/>
      <c r="L73" s="182" t="str">
        <f aca="false">IF(OR(C73="",K73=""),"",SUM(K$7:K73))</f>
        <v/>
      </c>
      <c r="M73" s="23"/>
      <c r="N73" s="182" t="str">
        <f aca="false">IF(OR(C73="",B73&gt;'ตั้งค่า Setup'!$C$15),"",SUM(M$7:M73))</f>
        <v/>
      </c>
      <c r="P73" s="69" t="n">
        <f aca="false">IF(C73&lt;&gt;"",C73,P72)</f>
        <v>46487</v>
      </c>
      <c r="Q73" s="193" t="n">
        <f aca="false">IF(D73&lt;&gt;"",D73,Q72)</f>
        <v>1</v>
      </c>
      <c r="R73" s="69" t="n">
        <f aca="false">IF(Dashboard!$C$63,P73,R72)</f>
        <v>46174</v>
      </c>
      <c r="S73" s="193" t="n">
        <f aca="false">IF(AND(Dashboard!$C$63,E73&lt;&gt;""),E73,S72)</f>
        <v>0</v>
      </c>
      <c r="T73" s="69" t="n">
        <f aca="false">IF(AND(F73&lt;&gt;"",C73&lt;&gt;""),C73,T72)</f>
        <v>46295</v>
      </c>
      <c r="U73" s="193" t="n">
        <f aca="false">IF(AND(F73&lt;&gt;"",C73&lt;&gt;""),F73,U72)</f>
        <v>0.1878</v>
      </c>
      <c r="V73" s="69" t="n">
        <f aca="false">IF(ISNUMBER(G73),C73,V72)</f>
        <v>46487</v>
      </c>
      <c r="W73" s="193" t="n">
        <f aca="false">IF(ISNUMBER(G73),G73,W72)</f>
        <v>1</v>
      </c>
      <c r="X73" s="194" t="n">
        <f aca="false">IF(I73&lt;&gt;"",I73,X72)</f>
        <v>24200000</v>
      </c>
      <c r="Y73" s="194" t="n">
        <f aca="false">IF(AND(F73&lt;&gt;"",C73&lt;&gt;""),J73,Y72)</f>
        <v>4544760</v>
      </c>
      <c r="Z73" s="69" t="n">
        <f aca="false">IF(AND(K73&lt;&gt;"",C73&lt;&gt;""),C73,Z72)</f>
        <v>46285</v>
      </c>
      <c r="AA73" s="194" t="n">
        <f aca="false">IF(AND(K73&lt;&gt;"",C73&lt;&gt;""),L73,AA72)</f>
        <v>4634800</v>
      </c>
    </row>
    <row r="74" customFormat="false" ht="15" hidden="false" customHeight="false" outlineLevel="0" collapsed="false">
      <c r="A74" s="117" t="str">
        <f aca="false">IF(B74="","",ROW()-6)</f>
        <v/>
      </c>
      <c r="B74" s="127" t="str">
        <f aca="false">IF(C73="","",IF(C73&gt;='ตั้งค่า Setup'!$C$111,"",C73+1))</f>
        <v/>
      </c>
      <c r="C74" s="127" t="str">
        <f aca="false">IF(B74="","",IF('ตั้งค่า Setup'!$C$16="รายสัปดาห์ / Weekly",B74+6,IF('ตั้งค่า Setup'!$C$16="รายเดือน / Monthly",EOMONTH(B74,0),IF(DAY(B74)&lt;=10,DATE(YEAR(B74),MONTH(B74),10),IF(DAY(B74)&lt;=20,DATE(YEAR(B74),MONTH(B74),20),EOMONTH(B74,0))))))</f>
        <v/>
      </c>
      <c r="D74" s="115" t="str">
        <f aca="false">IF(C74="","",SUMPRODUCT('แผนงาน Schedule'!$G$7:$G$156,('แผนงาน Schedule'!$J$7:$J$156&lt;=C74)+('แผนงาน Schedule'!$I$7:$I$156&lt;=C74)*('แผนงาน Schedule'!$J$7:$J$156&gt;C74)*(C74-'แผนงาน Schedule'!$I$7:$I$156+1)/('แผนงาน Schedule'!$J$7:$J$156-'แผนงาน Schedule'!$I$7:$I$156+1)))</f>
        <v/>
      </c>
      <c r="E74" s="115" t="str">
        <f aca="false">IF(C74="","",SUMPRODUCT('แผนงาน Schedule'!$G$7:$G$156,('แผนงาน Schedule'!$AB$7:$AB$156&lt;=C74)+('แผนงาน Schedule'!$AA$7:$AA$156&lt;=C74)*('แผนงาน Schedule'!$AB$7:$AB$156&gt;C74)*(C74-'แผนงาน Schedule'!$AA$7:$AA$156+1)/('แผนงาน Schedule'!$AB$7:$AB$156-'แผนงาน Schedule'!$AA$7:$AA$156+1)))</f>
        <v/>
      </c>
      <c r="F74" s="113"/>
      <c r="G74" s="115" t="str">
        <f aca="false">IF(OR(C74="",NOT(ISNUMBER(Dashboard!$C$27))),"",IF(C74&lt;Dashboard!$C$7,"",IF(Dashboard!$C$27&lt;=Dashboard!$C$7,1,MIN(1,Dashboard!$C$19+(1-Dashboard!$C$19)*(C74-Dashboard!$C$7)/(Dashboard!$C$27-Dashboard!$C$7)))))</f>
        <v/>
      </c>
      <c r="H74" s="192" t="str">
        <f aca="false">IF(OR(F74="",D74=""),"",F74-D74)</f>
        <v/>
      </c>
      <c r="I74" s="182" t="str">
        <f aca="false">IF(D74="","",D74*'ตั้งค่า Setup'!$C$9)</f>
        <v/>
      </c>
      <c r="J74" s="182" t="str">
        <f aca="false">IF(OR(C74="",F74=""),"",F74*'ตั้งค่า Setup'!$C$9)</f>
        <v/>
      </c>
      <c r="K74" s="23"/>
      <c r="L74" s="182" t="str">
        <f aca="false">IF(OR(C74="",K74=""),"",SUM(K$7:K74))</f>
        <v/>
      </c>
      <c r="M74" s="23"/>
      <c r="N74" s="182" t="str">
        <f aca="false">IF(OR(C74="",B74&gt;'ตั้งค่า Setup'!$C$15),"",SUM(M$7:M74))</f>
        <v/>
      </c>
      <c r="P74" s="69" t="n">
        <f aca="false">IF(C74&lt;&gt;"",C74,P73)</f>
        <v>46487</v>
      </c>
      <c r="Q74" s="193" t="n">
        <f aca="false">IF(D74&lt;&gt;"",D74,Q73)</f>
        <v>1</v>
      </c>
      <c r="R74" s="69" t="n">
        <f aca="false">IF(Dashboard!$C$63,P74,R73)</f>
        <v>46174</v>
      </c>
      <c r="S74" s="193" t="n">
        <f aca="false">IF(AND(Dashboard!$C$63,E74&lt;&gt;""),E74,S73)</f>
        <v>0</v>
      </c>
      <c r="T74" s="69" t="n">
        <f aca="false">IF(AND(F74&lt;&gt;"",C74&lt;&gt;""),C74,T73)</f>
        <v>46295</v>
      </c>
      <c r="U74" s="193" t="n">
        <f aca="false">IF(AND(F74&lt;&gt;"",C74&lt;&gt;""),F74,U73)</f>
        <v>0.1878</v>
      </c>
      <c r="V74" s="69" t="n">
        <f aca="false">IF(ISNUMBER(G74),C74,V73)</f>
        <v>46487</v>
      </c>
      <c r="W74" s="193" t="n">
        <f aca="false">IF(ISNUMBER(G74),G74,W73)</f>
        <v>1</v>
      </c>
      <c r="X74" s="194" t="n">
        <f aca="false">IF(I74&lt;&gt;"",I74,X73)</f>
        <v>24200000</v>
      </c>
      <c r="Y74" s="194" t="n">
        <f aca="false">IF(AND(F74&lt;&gt;"",C74&lt;&gt;""),J74,Y73)</f>
        <v>4544760</v>
      </c>
      <c r="Z74" s="69" t="n">
        <f aca="false">IF(AND(K74&lt;&gt;"",C74&lt;&gt;""),C74,Z73)</f>
        <v>46285</v>
      </c>
      <c r="AA74" s="194" t="n">
        <f aca="false">IF(AND(K74&lt;&gt;"",C74&lt;&gt;""),L74,AA73)</f>
        <v>4634800</v>
      </c>
    </row>
    <row r="75" customFormat="false" ht="15" hidden="false" customHeight="false" outlineLevel="0" collapsed="false">
      <c r="A75" s="117" t="str">
        <f aca="false">IF(B75="","",ROW()-6)</f>
        <v/>
      </c>
      <c r="B75" s="127" t="str">
        <f aca="false">IF(C74="","",IF(C74&gt;='ตั้งค่า Setup'!$C$111,"",C74+1))</f>
        <v/>
      </c>
      <c r="C75" s="127" t="str">
        <f aca="false">IF(B75="","",IF('ตั้งค่า Setup'!$C$16="รายสัปดาห์ / Weekly",B75+6,IF('ตั้งค่า Setup'!$C$16="รายเดือน / Monthly",EOMONTH(B75,0),IF(DAY(B75)&lt;=10,DATE(YEAR(B75),MONTH(B75),10),IF(DAY(B75)&lt;=20,DATE(YEAR(B75),MONTH(B75),20),EOMONTH(B75,0))))))</f>
        <v/>
      </c>
      <c r="D75" s="115" t="str">
        <f aca="false">IF(C75="","",SUMPRODUCT('แผนงาน Schedule'!$G$7:$G$156,('แผนงาน Schedule'!$J$7:$J$156&lt;=C75)+('แผนงาน Schedule'!$I$7:$I$156&lt;=C75)*('แผนงาน Schedule'!$J$7:$J$156&gt;C75)*(C75-'แผนงาน Schedule'!$I$7:$I$156+1)/('แผนงาน Schedule'!$J$7:$J$156-'แผนงาน Schedule'!$I$7:$I$156+1)))</f>
        <v/>
      </c>
      <c r="E75" s="115" t="str">
        <f aca="false">IF(C75="","",SUMPRODUCT('แผนงาน Schedule'!$G$7:$G$156,('แผนงาน Schedule'!$AB$7:$AB$156&lt;=C75)+('แผนงาน Schedule'!$AA$7:$AA$156&lt;=C75)*('แผนงาน Schedule'!$AB$7:$AB$156&gt;C75)*(C75-'แผนงาน Schedule'!$AA$7:$AA$156+1)/('แผนงาน Schedule'!$AB$7:$AB$156-'แผนงาน Schedule'!$AA$7:$AA$156+1)))</f>
        <v/>
      </c>
      <c r="F75" s="113"/>
      <c r="G75" s="115" t="str">
        <f aca="false">IF(OR(C75="",NOT(ISNUMBER(Dashboard!$C$27))),"",IF(C75&lt;Dashboard!$C$7,"",IF(Dashboard!$C$27&lt;=Dashboard!$C$7,1,MIN(1,Dashboard!$C$19+(1-Dashboard!$C$19)*(C75-Dashboard!$C$7)/(Dashboard!$C$27-Dashboard!$C$7)))))</f>
        <v/>
      </c>
      <c r="H75" s="192" t="str">
        <f aca="false">IF(OR(F75="",D75=""),"",F75-D75)</f>
        <v/>
      </c>
      <c r="I75" s="182" t="str">
        <f aca="false">IF(D75="","",D75*'ตั้งค่า Setup'!$C$9)</f>
        <v/>
      </c>
      <c r="J75" s="182" t="str">
        <f aca="false">IF(OR(C75="",F75=""),"",F75*'ตั้งค่า Setup'!$C$9)</f>
        <v/>
      </c>
      <c r="K75" s="23"/>
      <c r="L75" s="182" t="str">
        <f aca="false">IF(OR(C75="",K75=""),"",SUM(K$7:K75))</f>
        <v/>
      </c>
      <c r="M75" s="23"/>
      <c r="N75" s="182" t="str">
        <f aca="false">IF(OR(C75="",B75&gt;'ตั้งค่า Setup'!$C$15),"",SUM(M$7:M75))</f>
        <v/>
      </c>
      <c r="P75" s="69" t="n">
        <f aca="false">IF(C75&lt;&gt;"",C75,P74)</f>
        <v>46487</v>
      </c>
      <c r="Q75" s="193" t="n">
        <f aca="false">IF(D75&lt;&gt;"",D75,Q74)</f>
        <v>1</v>
      </c>
      <c r="R75" s="69" t="n">
        <f aca="false">IF(Dashboard!$C$63,P75,R74)</f>
        <v>46174</v>
      </c>
      <c r="S75" s="193" t="n">
        <f aca="false">IF(AND(Dashboard!$C$63,E75&lt;&gt;""),E75,S74)</f>
        <v>0</v>
      </c>
      <c r="T75" s="69" t="n">
        <f aca="false">IF(AND(F75&lt;&gt;"",C75&lt;&gt;""),C75,T74)</f>
        <v>46295</v>
      </c>
      <c r="U75" s="193" t="n">
        <f aca="false">IF(AND(F75&lt;&gt;"",C75&lt;&gt;""),F75,U74)</f>
        <v>0.1878</v>
      </c>
      <c r="V75" s="69" t="n">
        <f aca="false">IF(ISNUMBER(G75),C75,V74)</f>
        <v>46487</v>
      </c>
      <c r="W75" s="193" t="n">
        <f aca="false">IF(ISNUMBER(G75),G75,W74)</f>
        <v>1</v>
      </c>
      <c r="X75" s="194" t="n">
        <f aca="false">IF(I75&lt;&gt;"",I75,X74)</f>
        <v>24200000</v>
      </c>
      <c r="Y75" s="194" t="n">
        <f aca="false">IF(AND(F75&lt;&gt;"",C75&lt;&gt;""),J75,Y74)</f>
        <v>4544760</v>
      </c>
      <c r="Z75" s="69" t="n">
        <f aca="false">IF(AND(K75&lt;&gt;"",C75&lt;&gt;""),C75,Z74)</f>
        <v>46285</v>
      </c>
      <c r="AA75" s="194" t="n">
        <f aca="false">IF(AND(K75&lt;&gt;"",C75&lt;&gt;""),L75,AA74)</f>
        <v>4634800</v>
      </c>
    </row>
    <row r="76" customFormat="false" ht="15" hidden="false" customHeight="false" outlineLevel="0" collapsed="false">
      <c r="A76" s="117" t="str">
        <f aca="false">IF(B76="","",ROW()-6)</f>
        <v/>
      </c>
      <c r="B76" s="127" t="str">
        <f aca="false">IF(C75="","",IF(C75&gt;='ตั้งค่า Setup'!$C$111,"",C75+1))</f>
        <v/>
      </c>
      <c r="C76" s="127" t="str">
        <f aca="false">IF(B76="","",IF('ตั้งค่า Setup'!$C$16="รายสัปดาห์ / Weekly",B76+6,IF('ตั้งค่า Setup'!$C$16="รายเดือน / Monthly",EOMONTH(B76,0),IF(DAY(B76)&lt;=10,DATE(YEAR(B76),MONTH(B76),10),IF(DAY(B76)&lt;=20,DATE(YEAR(B76),MONTH(B76),20),EOMONTH(B76,0))))))</f>
        <v/>
      </c>
      <c r="D76" s="115" t="str">
        <f aca="false">IF(C76="","",SUMPRODUCT('แผนงาน Schedule'!$G$7:$G$156,('แผนงาน Schedule'!$J$7:$J$156&lt;=C76)+('แผนงาน Schedule'!$I$7:$I$156&lt;=C76)*('แผนงาน Schedule'!$J$7:$J$156&gt;C76)*(C76-'แผนงาน Schedule'!$I$7:$I$156+1)/('แผนงาน Schedule'!$J$7:$J$156-'แผนงาน Schedule'!$I$7:$I$156+1)))</f>
        <v/>
      </c>
      <c r="E76" s="115" t="str">
        <f aca="false">IF(C76="","",SUMPRODUCT('แผนงาน Schedule'!$G$7:$G$156,('แผนงาน Schedule'!$AB$7:$AB$156&lt;=C76)+('แผนงาน Schedule'!$AA$7:$AA$156&lt;=C76)*('แผนงาน Schedule'!$AB$7:$AB$156&gt;C76)*(C76-'แผนงาน Schedule'!$AA$7:$AA$156+1)/('แผนงาน Schedule'!$AB$7:$AB$156-'แผนงาน Schedule'!$AA$7:$AA$156+1)))</f>
        <v/>
      </c>
      <c r="F76" s="113"/>
      <c r="G76" s="115" t="str">
        <f aca="false">IF(OR(C76="",NOT(ISNUMBER(Dashboard!$C$27))),"",IF(C76&lt;Dashboard!$C$7,"",IF(Dashboard!$C$27&lt;=Dashboard!$C$7,1,MIN(1,Dashboard!$C$19+(1-Dashboard!$C$19)*(C76-Dashboard!$C$7)/(Dashboard!$C$27-Dashboard!$C$7)))))</f>
        <v/>
      </c>
      <c r="H76" s="192" t="str">
        <f aca="false">IF(OR(F76="",D76=""),"",F76-D76)</f>
        <v/>
      </c>
      <c r="I76" s="182" t="str">
        <f aca="false">IF(D76="","",D76*'ตั้งค่า Setup'!$C$9)</f>
        <v/>
      </c>
      <c r="J76" s="182" t="str">
        <f aca="false">IF(OR(C76="",F76=""),"",F76*'ตั้งค่า Setup'!$C$9)</f>
        <v/>
      </c>
      <c r="K76" s="23"/>
      <c r="L76" s="182" t="str">
        <f aca="false">IF(OR(C76="",K76=""),"",SUM(K$7:K76))</f>
        <v/>
      </c>
      <c r="M76" s="23"/>
      <c r="N76" s="182" t="str">
        <f aca="false">IF(OR(C76="",B76&gt;'ตั้งค่า Setup'!$C$15),"",SUM(M$7:M76))</f>
        <v/>
      </c>
      <c r="P76" s="69" t="n">
        <f aca="false">IF(C76&lt;&gt;"",C76,P75)</f>
        <v>46487</v>
      </c>
      <c r="Q76" s="193" t="n">
        <f aca="false">IF(D76&lt;&gt;"",D76,Q75)</f>
        <v>1</v>
      </c>
      <c r="R76" s="69" t="n">
        <f aca="false">IF(Dashboard!$C$63,P76,R75)</f>
        <v>46174</v>
      </c>
      <c r="S76" s="193" t="n">
        <f aca="false">IF(AND(Dashboard!$C$63,E76&lt;&gt;""),E76,S75)</f>
        <v>0</v>
      </c>
      <c r="T76" s="69" t="n">
        <f aca="false">IF(AND(F76&lt;&gt;"",C76&lt;&gt;""),C76,T75)</f>
        <v>46295</v>
      </c>
      <c r="U76" s="193" t="n">
        <f aca="false">IF(AND(F76&lt;&gt;"",C76&lt;&gt;""),F76,U75)</f>
        <v>0.1878</v>
      </c>
      <c r="V76" s="69" t="n">
        <f aca="false">IF(ISNUMBER(G76),C76,V75)</f>
        <v>46487</v>
      </c>
      <c r="W76" s="193" t="n">
        <f aca="false">IF(ISNUMBER(G76),G76,W75)</f>
        <v>1</v>
      </c>
      <c r="X76" s="194" t="n">
        <f aca="false">IF(I76&lt;&gt;"",I76,X75)</f>
        <v>24200000</v>
      </c>
      <c r="Y76" s="194" t="n">
        <f aca="false">IF(AND(F76&lt;&gt;"",C76&lt;&gt;""),J76,Y75)</f>
        <v>4544760</v>
      </c>
      <c r="Z76" s="69" t="n">
        <f aca="false">IF(AND(K76&lt;&gt;"",C76&lt;&gt;""),C76,Z75)</f>
        <v>46285</v>
      </c>
      <c r="AA76" s="194" t="n">
        <f aca="false">IF(AND(K76&lt;&gt;"",C76&lt;&gt;""),L76,AA75)</f>
        <v>4634800</v>
      </c>
    </row>
    <row r="77" customFormat="false" ht="15" hidden="false" customHeight="false" outlineLevel="0" collapsed="false">
      <c r="A77" s="117" t="str">
        <f aca="false">IF(B77="","",ROW()-6)</f>
        <v/>
      </c>
      <c r="B77" s="127" t="str">
        <f aca="false">IF(C76="","",IF(C76&gt;='ตั้งค่า Setup'!$C$111,"",C76+1))</f>
        <v/>
      </c>
      <c r="C77" s="127" t="str">
        <f aca="false">IF(B77="","",IF('ตั้งค่า Setup'!$C$16="รายสัปดาห์ / Weekly",B77+6,IF('ตั้งค่า Setup'!$C$16="รายเดือน / Monthly",EOMONTH(B77,0),IF(DAY(B77)&lt;=10,DATE(YEAR(B77),MONTH(B77),10),IF(DAY(B77)&lt;=20,DATE(YEAR(B77),MONTH(B77),20),EOMONTH(B77,0))))))</f>
        <v/>
      </c>
      <c r="D77" s="115" t="str">
        <f aca="false">IF(C77="","",SUMPRODUCT('แผนงาน Schedule'!$G$7:$G$156,('แผนงาน Schedule'!$J$7:$J$156&lt;=C77)+('แผนงาน Schedule'!$I$7:$I$156&lt;=C77)*('แผนงาน Schedule'!$J$7:$J$156&gt;C77)*(C77-'แผนงาน Schedule'!$I$7:$I$156+1)/('แผนงาน Schedule'!$J$7:$J$156-'แผนงาน Schedule'!$I$7:$I$156+1)))</f>
        <v/>
      </c>
      <c r="E77" s="115" t="str">
        <f aca="false">IF(C77="","",SUMPRODUCT('แผนงาน Schedule'!$G$7:$G$156,('แผนงาน Schedule'!$AB$7:$AB$156&lt;=C77)+('แผนงาน Schedule'!$AA$7:$AA$156&lt;=C77)*('แผนงาน Schedule'!$AB$7:$AB$156&gt;C77)*(C77-'แผนงาน Schedule'!$AA$7:$AA$156+1)/('แผนงาน Schedule'!$AB$7:$AB$156-'แผนงาน Schedule'!$AA$7:$AA$156+1)))</f>
        <v/>
      </c>
      <c r="F77" s="113"/>
      <c r="G77" s="115" t="str">
        <f aca="false">IF(OR(C77="",NOT(ISNUMBER(Dashboard!$C$27))),"",IF(C77&lt;Dashboard!$C$7,"",IF(Dashboard!$C$27&lt;=Dashboard!$C$7,1,MIN(1,Dashboard!$C$19+(1-Dashboard!$C$19)*(C77-Dashboard!$C$7)/(Dashboard!$C$27-Dashboard!$C$7)))))</f>
        <v/>
      </c>
      <c r="H77" s="192" t="str">
        <f aca="false">IF(OR(F77="",D77=""),"",F77-D77)</f>
        <v/>
      </c>
      <c r="I77" s="182" t="str">
        <f aca="false">IF(D77="","",D77*'ตั้งค่า Setup'!$C$9)</f>
        <v/>
      </c>
      <c r="J77" s="182" t="str">
        <f aca="false">IF(OR(C77="",F77=""),"",F77*'ตั้งค่า Setup'!$C$9)</f>
        <v/>
      </c>
      <c r="K77" s="23"/>
      <c r="L77" s="182" t="str">
        <f aca="false">IF(OR(C77="",K77=""),"",SUM(K$7:K77))</f>
        <v/>
      </c>
      <c r="M77" s="23"/>
      <c r="N77" s="182" t="str">
        <f aca="false">IF(OR(C77="",B77&gt;'ตั้งค่า Setup'!$C$15),"",SUM(M$7:M77))</f>
        <v/>
      </c>
      <c r="P77" s="69" t="n">
        <f aca="false">IF(C77&lt;&gt;"",C77,P76)</f>
        <v>46487</v>
      </c>
      <c r="Q77" s="193" t="n">
        <f aca="false">IF(D77&lt;&gt;"",D77,Q76)</f>
        <v>1</v>
      </c>
      <c r="R77" s="69" t="n">
        <f aca="false">IF(Dashboard!$C$63,P77,R76)</f>
        <v>46174</v>
      </c>
      <c r="S77" s="193" t="n">
        <f aca="false">IF(AND(Dashboard!$C$63,E77&lt;&gt;""),E77,S76)</f>
        <v>0</v>
      </c>
      <c r="T77" s="69" t="n">
        <f aca="false">IF(AND(F77&lt;&gt;"",C77&lt;&gt;""),C77,T76)</f>
        <v>46295</v>
      </c>
      <c r="U77" s="193" t="n">
        <f aca="false">IF(AND(F77&lt;&gt;"",C77&lt;&gt;""),F77,U76)</f>
        <v>0.1878</v>
      </c>
      <c r="V77" s="69" t="n">
        <f aca="false">IF(ISNUMBER(G77),C77,V76)</f>
        <v>46487</v>
      </c>
      <c r="W77" s="193" t="n">
        <f aca="false">IF(ISNUMBER(G77),G77,W76)</f>
        <v>1</v>
      </c>
      <c r="X77" s="194" t="n">
        <f aca="false">IF(I77&lt;&gt;"",I77,X76)</f>
        <v>24200000</v>
      </c>
      <c r="Y77" s="194" t="n">
        <f aca="false">IF(AND(F77&lt;&gt;"",C77&lt;&gt;""),J77,Y76)</f>
        <v>4544760</v>
      </c>
      <c r="Z77" s="69" t="n">
        <f aca="false">IF(AND(K77&lt;&gt;"",C77&lt;&gt;""),C77,Z76)</f>
        <v>46285</v>
      </c>
      <c r="AA77" s="194" t="n">
        <f aca="false">IF(AND(K77&lt;&gt;"",C77&lt;&gt;""),L77,AA76)</f>
        <v>4634800</v>
      </c>
    </row>
    <row r="78" customFormat="false" ht="15" hidden="false" customHeight="false" outlineLevel="0" collapsed="false">
      <c r="A78" s="117" t="str">
        <f aca="false">IF(B78="","",ROW()-6)</f>
        <v/>
      </c>
      <c r="B78" s="127" t="str">
        <f aca="false">IF(C77="","",IF(C77&gt;='ตั้งค่า Setup'!$C$111,"",C77+1))</f>
        <v/>
      </c>
      <c r="C78" s="127" t="str">
        <f aca="false">IF(B78="","",IF('ตั้งค่า Setup'!$C$16="รายสัปดาห์ / Weekly",B78+6,IF('ตั้งค่า Setup'!$C$16="รายเดือน / Monthly",EOMONTH(B78,0),IF(DAY(B78)&lt;=10,DATE(YEAR(B78),MONTH(B78),10),IF(DAY(B78)&lt;=20,DATE(YEAR(B78),MONTH(B78),20),EOMONTH(B78,0))))))</f>
        <v/>
      </c>
      <c r="D78" s="115" t="str">
        <f aca="false">IF(C78="","",SUMPRODUCT('แผนงาน Schedule'!$G$7:$G$156,('แผนงาน Schedule'!$J$7:$J$156&lt;=C78)+('แผนงาน Schedule'!$I$7:$I$156&lt;=C78)*('แผนงาน Schedule'!$J$7:$J$156&gt;C78)*(C78-'แผนงาน Schedule'!$I$7:$I$156+1)/('แผนงาน Schedule'!$J$7:$J$156-'แผนงาน Schedule'!$I$7:$I$156+1)))</f>
        <v/>
      </c>
      <c r="E78" s="115" t="str">
        <f aca="false">IF(C78="","",SUMPRODUCT('แผนงาน Schedule'!$G$7:$G$156,('แผนงาน Schedule'!$AB$7:$AB$156&lt;=C78)+('แผนงาน Schedule'!$AA$7:$AA$156&lt;=C78)*('แผนงาน Schedule'!$AB$7:$AB$156&gt;C78)*(C78-'แผนงาน Schedule'!$AA$7:$AA$156+1)/('แผนงาน Schedule'!$AB$7:$AB$156-'แผนงาน Schedule'!$AA$7:$AA$156+1)))</f>
        <v/>
      </c>
      <c r="F78" s="113"/>
      <c r="G78" s="115" t="str">
        <f aca="false">IF(OR(C78="",NOT(ISNUMBER(Dashboard!$C$27))),"",IF(C78&lt;Dashboard!$C$7,"",IF(Dashboard!$C$27&lt;=Dashboard!$C$7,1,MIN(1,Dashboard!$C$19+(1-Dashboard!$C$19)*(C78-Dashboard!$C$7)/(Dashboard!$C$27-Dashboard!$C$7)))))</f>
        <v/>
      </c>
      <c r="H78" s="192" t="str">
        <f aca="false">IF(OR(F78="",D78=""),"",F78-D78)</f>
        <v/>
      </c>
      <c r="I78" s="182" t="str">
        <f aca="false">IF(D78="","",D78*'ตั้งค่า Setup'!$C$9)</f>
        <v/>
      </c>
      <c r="J78" s="182" t="str">
        <f aca="false">IF(OR(C78="",F78=""),"",F78*'ตั้งค่า Setup'!$C$9)</f>
        <v/>
      </c>
      <c r="K78" s="23"/>
      <c r="L78" s="182" t="str">
        <f aca="false">IF(OR(C78="",K78=""),"",SUM(K$7:K78))</f>
        <v/>
      </c>
      <c r="M78" s="23"/>
      <c r="N78" s="182" t="str">
        <f aca="false">IF(OR(C78="",B78&gt;'ตั้งค่า Setup'!$C$15),"",SUM(M$7:M78))</f>
        <v/>
      </c>
      <c r="P78" s="69" t="n">
        <f aca="false">IF(C78&lt;&gt;"",C78,P77)</f>
        <v>46487</v>
      </c>
      <c r="Q78" s="193" t="n">
        <f aca="false">IF(D78&lt;&gt;"",D78,Q77)</f>
        <v>1</v>
      </c>
      <c r="R78" s="69" t="n">
        <f aca="false">IF(Dashboard!$C$63,P78,R77)</f>
        <v>46174</v>
      </c>
      <c r="S78" s="193" t="n">
        <f aca="false">IF(AND(Dashboard!$C$63,E78&lt;&gt;""),E78,S77)</f>
        <v>0</v>
      </c>
      <c r="T78" s="69" t="n">
        <f aca="false">IF(AND(F78&lt;&gt;"",C78&lt;&gt;""),C78,T77)</f>
        <v>46295</v>
      </c>
      <c r="U78" s="193" t="n">
        <f aca="false">IF(AND(F78&lt;&gt;"",C78&lt;&gt;""),F78,U77)</f>
        <v>0.1878</v>
      </c>
      <c r="V78" s="69" t="n">
        <f aca="false">IF(ISNUMBER(G78),C78,V77)</f>
        <v>46487</v>
      </c>
      <c r="W78" s="193" t="n">
        <f aca="false">IF(ISNUMBER(G78),G78,W77)</f>
        <v>1</v>
      </c>
      <c r="X78" s="194" t="n">
        <f aca="false">IF(I78&lt;&gt;"",I78,X77)</f>
        <v>24200000</v>
      </c>
      <c r="Y78" s="194" t="n">
        <f aca="false">IF(AND(F78&lt;&gt;"",C78&lt;&gt;""),J78,Y77)</f>
        <v>4544760</v>
      </c>
      <c r="Z78" s="69" t="n">
        <f aca="false">IF(AND(K78&lt;&gt;"",C78&lt;&gt;""),C78,Z77)</f>
        <v>46285</v>
      </c>
      <c r="AA78" s="194" t="n">
        <f aca="false">IF(AND(K78&lt;&gt;"",C78&lt;&gt;""),L78,AA77)</f>
        <v>4634800</v>
      </c>
    </row>
    <row r="79" customFormat="false" ht="15" hidden="false" customHeight="false" outlineLevel="0" collapsed="false">
      <c r="A79" s="117" t="str">
        <f aca="false">IF(B79="","",ROW()-6)</f>
        <v/>
      </c>
      <c r="B79" s="127" t="str">
        <f aca="false">IF(C78="","",IF(C78&gt;='ตั้งค่า Setup'!$C$111,"",C78+1))</f>
        <v/>
      </c>
      <c r="C79" s="127" t="str">
        <f aca="false">IF(B79="","",IF('ตั้งค่า Setup'!$C$16="รายสัปดาห์ / Weekly",B79+6,IF('ตั้งค่า Setup'!$C$16="รายเดือน / Monthly",EOMONTH(B79,0),IF(DAY(B79)&lt;=10,DATE(YEAR(B79),MONTH(B79),10),IF(DAY(B79)&lt;=20,DATE(YEAR(B79),MONTH(B79),20),EOMONTH(B79,0))))))</f>
        <v/>
      </c>
      <c r="D79" s="115" t="str">
        <f aca="false">IF(C79="","",SUMPRODUCT('แผนงาน Schedule'!$G$7:$G$156,('แผนงาน Schedule'!$J$7:$J$156&lt;=C79)+('แผนงาน Schedule'!$I$7:$I$156&lt;=C79)*('แผนงาน Schedule'!$J$7:$J$156&gt;C79)*(C79-'แผนงาน Schedule'!$I$7:$I$156+1)/('แผนงาน Schedule'!$J$7:$J$156-'แผนงาน Schedule'!$I$7:$I$156+1)))</f>
        <v/>
      </c>
      <c r="E79" s="115" t="str">
        <f aca="false">IF(C79="","",SUMPRODUCT('แผนงาน Schedule'!$G$7:$G$156,('แผนงาน Schedule'!$AB$7:$AB$156&lt;=C79)+('แผนงาน Schedule'!$AA$7:$AA$156&lt;=C79)*('แผนงาน Schedule'!$AB$7:$AB$156&gt;C79)*(C79-'แผนงาน Schedule'!$AA$7:$AA$156+1)/('แผนงาน Schedule'!$AB$7:$AB$156-'แผนงาน Schedule'!$AA$7:$AA$156+1)))</f>
        <v/>
      </c>
      <c r="F79" s="113"/>
      <c r="G79" s="115" t="str">
        <f aca="false">IF(OR(C79="",NOT(ISNUMBER(Dashboard!$C$27))),"",IF(C79&lt;Dashboard!$C$7,"",IF(Dashboard!$C$27&lt;=Dashboard!$C$7,1,MIN(1,Dashboard!$C$19+(1-Dashboard!$C$19)*(C79-Dashboard!$C$7)/(Dashboard!$C$27-Dashboard!$C$7)))))</f>
        <v/>
      </c>
      <c r="H79" s="192" t="str">
        <f aca="false">IF(OR(F79="",D79=""),"",F79-D79)</f>
        <v/>
      </c>
      <c r="I79" s="182" t="str">
        <f aca="false">IF(D79="","",D79*'ตั้งค่า Setup'!$C$9)</f>
        <v/>
      </c>
      <c r="J79" s="182" t="str">
        <f aca="false">IF(OR(C79="",F79=""),"",F79*'ตั้งค่า Setup'!$C$9)</f>
        <v/>
      </c>
      <c r="K79" s="23"/>
      <c r="L79" s="182" t="str">
        <f aca="false">IF(OR(C79="",K79=""),"",SUM(K$7:K79))</f>
        <v/>
      </c>
      <c r="M79" s="23"/>
      <c r="N79" s="182" t="str">
        <f aca="false">IF(OR(C79="",B79&gt;'ตั้งค่า Setup'!$C$15),"",SUM(M$7:M79))</f>
        <v/>
      </c>
      <c r="P79" s="69" t="n">
        <f aca="false">IF(C79&lt;&gt;"",C79,P78)</f>
        <v>46487</v>
      </c>
      <c r="Q79" s="193" t="n">
        <f aca="false">IF(D79&lt;&gt;"",D79,Q78)</f>
        <v>1</v>
      </c>
      <c r="R79" s="69" t="n">
        <f aca="false">IF(Dashboard!$C$63,P79,R78)</f>
        <v>46174</v>
      </c>
      <c r="S79" s="193" t="n">
        <f aca="false">IF(AND(Dashboard!$C$63,E79&lt;&gt;""),E79,S78)</f>
        <v>0</v>
      </c>
      <c r="T79" s="69" t="n">
        <f aca="false">IF(AND(F79&lt;&gt;"",C79&lt;&gt;""),C79,T78)</f>
        <v>46295</v>
      </c>
      <c r="U79" s="193" t="n">
        <f aca="false">IF(AND(F79&lt;&gt;"",C79&lt;&gt;""),F79,U78)</f>
        <v>0.1878</v>
      </c>
      <c r="V79" s="69" t="n">
        <f aca="false">IF(ISNUMBER(G79),C79,V78)</f>
        <v>46487</v>
      </c>
      <c r="W79" s="193" t="n">
        <f aca="false">IF(ISNUMBER(G79),G79,W78)</f>
        <v>1</v>
      </c>
      <c r="X79" s="194" t="n">
        <f aca="false">IF(I79&lt;&gt;"",I79,X78)</f>
        <v>24200000</v>
      </c>
      <c r="Y79" s="194" t="n">
        <f aca="false">IF(AND(F79&lt;&gt;"",C79&lt;&gt;""),J79,Y78)</f>
        <v>4544760</v>
      </c>
      <c r="Z79" s="69" t="n">
        <f aca="false">IF(AND(K79&lt;&gt;"",C79&lt;&gt;""),C79,Z78)</f>
        <v>46285</v>
      </c>
      <c r="AA79" s="194" t="n">
        <f aca="false">IF(AND(K79&lt;&gt;"",C79&lt;&gt;""),L79,AA78)</f>
        <v>4634800</v>
      </c>
    </row>
    <row r="80" customFormat="false" ht="15" hidden="false" customHeight="false" outlineLevel="0" collapsed="false">
      <c r="A80" s="117" t="str">
        <f aca="false">IF(B80="","",ROW()-6)</f>
        <v/>
      </c>
      <c r="B80" s="127" t="str">
        <f aca="false">IF(C79="","",IF(C79&gt;='ตั้งค่า Setup'!$C$111,"",C79+1))</f>
        <v/>
      </c>
      <c r="C80" s="127" t="str">
        <f aca="false">IF(B80="","",IF('ตั้งค่า Setup'!$C$16="รายสัปดาห์ / Weekly",B80+6,IF('ตั้งค่า Setup'!$C$16="รายเดือน / Monthly",EOMONTH(B80,0),IF(DAY(B80)&lt;=10,DATE(YEAR(B80),MONTH(B80),10),IF(DAY(B80)&lt;=20,DATE(YEAR(B80),MONTH(B80),20),EOMONTH(B80,0))))))</f>
        <v/>
      </c>
      <c r="D80" s="115" t="str">
        <f aca="false">IF(C80="","",SUMPRODUCT('แผนงาน Schedule'!$G$7:$G$156,('แผนงาน Schedule'!$J$7:$J$156&lt;=C80)+('แผนงาน Schedule'!$I$7:$I$156&lt;=C80)*('แผนงาน Schedule'!$J$7:$J$156&gt;C80)*(C80-'แผนงาน Schedule'!$I$7:$I$156+1)/('แผนงาน Schedule'!$J$7:$J$156-'แผนงาน Schedule'!$I$7:$I$156+1)))</f>
        <v/>
      </c>
      <c r="E80" s="115" t="str">
        <f aca="false">IF(C80="","",SUMPRODUCT('แผนงาน Schedule'!$G$7:$G$156,('แผนงาน Schedule'!$AB$7:$AB$156&lt;=C80)+('แผนงาน Schedule'!$AA$7:$AA$156&lt;=C80)*('แผนงาน Schedule'!$AB$7:$AB$156&gt;C80)*(C80-'แผนงาน Schedule'!$AA$7:$AA$156+1)/('แผนงาน Schedule'!$AB$7:$AB$156-'แผนงาน Schedule'!$AA$7:$AA$156+1)))</f>
        <v/>
      </c>
      <c r="F80" s="113"/>
      <c r="G80" s="115" t="str">
        <f aca="false">IF(OR(C80="",NOT(ISNUMBER(Dashboard!$C$27))),"",IF(C80&lt;Dashboard!$C$7,"",IF(Dashboard!$C$27&lt;=Dashboard!$C$7,1,MIN(1,Dashboard!$C$19+(1-Dashboard!$C$19)*(C80-Dashboard!$C$7)/(Dashboard!$C$27-Dashboard!$C$7)))))</f>
        <v/>
      </c>
      <c r="H80" s="192" t="str">
        <f aca="false">IF(OR(F80="",D80=""),"",F80-D80)</f>
        <v/>
      </c>
      <c r="I80" s="182" t="str">
        <f aca="false">IF(D80="","",D80*'ตั้งค่า Setup'!$C$9)</f>
        <v/>
      </c>
      <c r="J80" s="182" t="str">
        <f aca="false">IF(OR(C80="",F80=""),"",F80*'ตั้งค่า Setup'!$C$9)</f>
        <v/>
      </c>
      <c r="K80" s="23"/>
      <c r="L80" s="182" t="str">
        <f aca="false">IF(OR(C80="",K80=""),"",SUM(K$7:K80))</f>
        <v/>
      </c>
      <c r="M80" s="23"/>
      <c r="N80" s="182" t="str">
        <f aca="false">IF(OR(C80="",B80&gt;'ตั้งค่า Setup'!$C$15),"",SUM(M$7:M80))</f>
        <v/>
      </c>
      <c r="P80" s="69" t="n">
        <f aca="false">IF(C80&lt;&gt;"",C80,P79)</f>
        <v>46487</v>
      </c>
      <c r="Q80" s="193" t="n">
        <f aca="false">IF(D80&lt;&gt;"",D80,Q79)</f>
        <v>1</v>
      </c>
      <c r="R80" s="69" t="n">
        <f aca="false">IF(Dashboard!$C$63,P80,R79)</f>
        <v>46174</v>
      </c>
      <c r="S80" s="193" t="n">
        <f aca="false">IF(AND(Dashboard!$C$63,E80&lt;&gt;""),E80,S79)</f>
        <v>0</v>
      </c>
      <c r="T80" s="69" t="n">
        <f aca="false">IF(AND(F80&lt;&gt;"",C80&lt;&gt;""),C80,T79)</f>
        <v>46295</v>
      </c>
      <c r="U80" s="193" t="n">
        <f aca="false">IF(AND(F80&lt;&gt;"",C80&lt;&gt;""),F80,U79)</f>
        <v>0.1878</v>
      </c>
      <c r="V80" s="69" t="n">
        <f aca="false">IF(ISNUMBER(G80),C80,V79)</f>
        <v>46487</v>
      </c>
      <c r="W80" s="193" t="n">
        <f aca="false">IF(ISNUMBER(G80),G80,W79)</f>
        <v>1</v>
      </c>
      <c r="X80" s="194" t="n">
        <f aca="false">IF(I80&lt;&gt;"",I80,X79)</f>
        <v>24200000</v>
      </c>
      <c r="Y80" s="194" t="n">
        <f aca="false">IF(AND(F80&lt;&gt;"",C80&lt;&gt;""),J80,Y79)</f>
        <v>4544760</v>
      </c>
      <c r="Z80" s="69" t="n">
        <f aca="false">IF(AND(K80&lt;&gt;"",C80&lt;&gt;""),C80,Z79)</f>
        <v>46285</v>
      </c>
      <c r="AA80" s="194" t="n">
        <f aca="false">IF(AND(K80&lt;&gt;"",C80&lt;&gt;""),L80,AA79)</f>
        <v>4634800</v>
      </c>
    </row>
    <row r="81" customFormat="false" ht="15" hidden="false" customHeight="false" outlineLevel="0" collapsed="false">
      <c r="A81" s="117" t="str">
        <f aca="false">IF(B81="","",ROW()-6)</f>
        <v/>
      </c>
      <c r="B81" s="127" t="str">
        <f aca="false">IF(C80="","",IF(C80&gt;='ตั้งค่า Setup'!$C$111,"",C80+1))</f>
        <v/>
      </c>
      <c r="C81" s="127" t="str">
        <f aca="false">IF(B81="","",IF('ตั้งค่า Setup'!$C$16="รายสัปดาห์ / Weekly",B81+6,IF('ตั้งค่า Setup'!$C$16="รายเดือน / Monthly",EOMONTH(B81,0),IF(DAY(B81)&lt;=10,DATE(YEAR(B81),MONTH(B81),10),IF(DAY(B81)&lt;=20,DATE(YEAR(B81),MONTH(B81),20),EOMONTH(B81,0))))))</f>
        <v/>
      </c>
      <c r="D81" s="115" t="str">
        <f aca="false">IF(C81="","",SUMPRODUCT('แผนงาน Schedule'!$G$7:$G$156,('แผนงาน Schedule'!$J$7:$J$156&lt;=C81)+('แผนงาน Schedule'!$I$7:$I$156&lt;=C81)*('แผนงาน Schedule'!$J$7:$J$156&gt;C81)*(C81-'แผนงาน Schedule'!$I$7:$I$156+1)/('แผนงาน Schedule'!$J$7:$J$156-'แผนงาน Schedule'!$I$7:$I$156+1)))</f>
        <v/>
      </c>
      <c r="E81" s="115" t="str">
        <f aca="false">IF(C81="","",SUMPRODUCT('แผนงาน Schedule'!$G$7:$G$156,('แผนงาน Schedule'!$AB$7:$AB$156&lt;=C81)+('แผนงาน Schedule'!$AA$7:$AA$156&lt;=C81)*('แผนงาน Schedule'!$AB$7:$AB$156&gt;C81)*(C81-'แผนงาน Schedule'!$AA$7:$AA$156+1)/('แผนงาน Schedule'!$AB$7:$AB$156-'แผนงาน Schedule'!$AA$7:$AA$156+1)))</f>
        <v/>
      </c>
      <c r="F81" s="113"/>
      <c r="G81" s="115" t="str">
        <f aca="false">IF(OR(C81="",NOT(ISNUMBER(Dashboard!$C$27))),"",IF(C81&lt;Dashboard!$C$7,"",IF(Dashboard!$C$27&lt;=Dashboard!$C$7,1,MIN(1,Dashboard!$C$19+(1-Dashboard!$C$19)*(C81-Dashboard!$C$7)/(Dashboard!$C$27-Dashboard!$C$7)))))</f>
        <v/>
      </c>
      <c r="H81" s="192" t="str">
        <f aca="false">IF(OR(F81="",D81=""),"",F81-D81)</f>
        <v/>
      </c>
      <c r="I81" s="182" t="str">
        <f aca="false">IF(D81="","",D81*'ตั้งค่า Setup'!$C$9)</f>
        <v/>
      </c>
      <c r="J81" s="182" t="str">
        <f aca="false">IF(OR(C81="",F81=""),"",F81*'ตั้งค่า Setup'!$C$9)</f>
        <v/>
      </c>
      <c r="K81" s="23"/>
      <c r="L81" s="182" t="str">
        <f aca="false">IF(OR(C81="",K81=""),"",SUM(K$7:K81))</f>
        <v/>
      </c>
      <c r="M81" s="23"/>
      <c r="N81" s="182" t="str">
        <f aca="false">IF(OR(C81="",B81&gt;'ตั้งค่า Setup'!$C$15),"",SUM(M$7:M81))</f>
        <v/>
      </c>
      <c r="P81" s="69" t="n">
        <f aca="false">IF(C81&lt;&gt;"",C81,P80)</f>
        <v>46487</v>
      </c>
      <c r="Q81" s="193" t="n">
        <f aca="false">IF(D81&lt;&gt;"",D81,Q80)</f>
        <v>1</v>
      </c>
      <c r="R81" s="69" t="n">
        <f aca="false">IF(Dashboard!$C$63,P81,R80)</f>
        <v>46174</v>
      </c>
      <c r="S81" s="193" t="n">
        <f aca="false">IF(AND(Dashboard!$C$63,E81&lt;&gt;""),E81,S80)</f>
        <v>0</v>
      </c>
      <c r="T81" s="69" t="n">
        <f aca="false">IF(AND(F81&lt;&gt;"",C81&lt;&gt;""),C81,T80)</f>
        <v>46295</v>
      </c>
      <c r="U81" s="193" t="n">
        <f aca="false">IF(AND(F81&lt;&gt;"",C81&lt;&gt;""),F81,U80)</f>
        <v>0.1878</v>
      </c>
      <c r="V81" s="69" t="n">
        <f aca="false">IF(ISNUMBER(G81),C81,V80)</f>
        <v>46487</v>
      </c>
      <c r="W81" s="193" t="n">
        <f aca="false">IF(ISNUMBER(G81),G81,W80)</f>
        <v>1</v>
      </c>
      <c r="X81" s="194" t="n">
        <f aca="false">IF(I81&lt;&gt;"",I81,X80)</f>
        <v>24200000</v>
      </c>
      <c r="Y81" s="194" t="n">
        <f aca="false">IF(AND(F81&lt;&gt;"",C81&lt;&gt;""),J81,Y80)</f>
        <v>4544760</v>
      </c>
      <c r="Z81" s="69" t="n">
        <f aca="false">IF(AND(K81&lt;&gt;"",C81&lt;&gt;""),C81,Z80)</f>
        <v>46285</v>
      </c>
      <c r="AA81" s="194" t="n">
        <f aca="false">IF(AND(K81&lt;&gt;"",C81&lt;&gt;""),L81,AA80)</f>
        <v>4634800</v>
      </c>
    </row>
    <row r="82" customFormat="false" ht="15" hidden="false" customHeight="false" outlineLevel="0" collapsed="false">
      <c r="A82" s="117" t="str">
        <f aca="false">IF(B82="","",ROW()-6)</f>
        <v/>
      </c>
      <c r="B82" s="127" t="str">
        <f aca="false">IF(C81="","",IF(C81&gt;='ตั้งค่า Setup'!$C$111,"",C81+1))</f>
        <v/>
      </c>
      <c r="C82" s="127" t="str">
        <f aca="false">IF(B82="","",IF('ตั้งค่า Setup'!$C$16="รายสัปดาห์ / Weekly",B82+6,IF('ตั้งค่า Setup'!$C$16="รายเดือน / Monthly",EOMONTH(B82,0),IF(DAY(B82)&lt;=10,DATE(YEAR(B82),MONTH(B82),10),IF(DAY(B82)&lt;=20,DATE(YEAR(B82),MONTH(B82),20),EOMONTH(B82,0))))))</f>
        <v/>
      </c>
      <c r="D82" s="115" t="str">
        <f aca="false">IF(C82="","",SUMPRODUCT('แผนงาน Schedule'!$G$7:$G$156,('แผนงาน Schedule'!$J$7:$J$156&lt;=C82)+('แผนงาน Schedule'!$I$7:$I$156&lt;=C82)*('แผนงาน Schedule'!$J$7:$J$156&gt;C82)*(C82-'แผนงาน Schedule'!$I$7:$I$156+1)/('แผนงาน Schedule'!$J$7:$J$156-'แผนงาน Schedule'!$I$7:$I$156+1)))</f>
        <v/>
      </c>
      <c r="E82" s="115" t="str">
        <f aca="false">IF(C82="","",SUMPRODUCT('แผนงาน Schedule'!$G$7:$G$156,('แผนงาน Schedule'!$AB$7:$AB$156&lt;=C82)+('แผนงาน Schedule'!$AA$7:$AA$156&lt;=C82)*('แผนงาน Schedule'!$AB$7:$AB$156&gt;C82)*(C82-'แผนงาน Schedule'!$AA$7:$AA$156+1)/('แผนงาน Schedule'!$AB$7:$AB$156-'แผนงาน Schedule'!$AA$7:$AA$156+1)))</f>
        <v/>
      </c>
      <c r="F82" s="113"/>
      <c r="G82" s="115" t="str">
        <f aca="false">IF(OR(C82="",NOT(ISNUMBER(Dashboard!$C$27))),"",IF(C82&lt;Dashboard!$C$7,"",IF(Dashboard!$C$27&lt;=Dashboard!$C$7,1,MIN(1,Dashboard!$C$19+(1-Dashboard!$C$19)*(C82-Dashboard!$C$7)/(Dashboard!$C$27-Dashboard!$C$7)))))</f>
        <v/>
      </c>
      <c r="H82" s="192" t="str">
        <f aca="false">IF(OR(F82="",D82=""),"",F82-D82)</f>
        <v/>
      </c>
      <c r="I82" s="182" t="str">
        <f aca="false">IF(D82="","",D82*'ตั้งค่า Setup'!$C$9)</f>
        <v/>
      </c>
      <c r="J82" s="182" t="str">
        <f aca="false">IF(OR(C82="",F82=""),"",F82*'ตั้งค่า Setup'!$C$9)</f>
        <v/>
      </c>
      <c r="K82" s="23"/>
      <c r="L82" s="182" t="str">
        <f aca="false">IF(OR(C82="",K82=""),"",SUM(K$7:K82))</f>
        <v/>
      </c>
      <c r="M82" s="23"/>
      <c r="N82" s="182" t="str">
        <f aca="false">IF(OR(C82="",B82&gt;'ตั้งค่า Setup'!$C$15),"",SUM(M$7:M82))</f>
        <v/>
      </c>
      <c r="P82" s="69" t="n">
        <f aca="false">IF(C82&lt;&gt;"",C82,P81)</f>
        <v>46487</v>
      </c>
      <c r="Q82" s="193" t="n">
        <f aca="false">IF(D82&lt;&gt;"",D82,Q81)</f>
        <v>1</v>
      </c>
      <c r="R82" s="69" t="n">
        <f aca="false">IF(Dashboard!$C$63,P82,R81)</f>
        <v>46174</v>
      </c>
      <c r="S82" s="193" t="n">
        <f aca="false">IF(AND(Dashboard!$C$63,E82&lt;&gt;""),E82,S81)</f>
        <v>0</v>
      </c>
      <c r="T82" s="69" t="n">
        <f aca="false">IF(AND(F82&lt;&gt;"",C82&lt;&gt;""),C82,T81)</f>
        <v>46295</v>
      </c>
      <c r="U82" s="193" t="n">
        <f aca="false">IF(AND(F82&lt;&gt;"",C82&lt;&gt;""),F82,U81)</f>
        <v>0.1878</v>
      </c>
      <c r="V82" s="69" t="n">
        <f aca="false">IF(ISNUMBER(G82),C82,V81)</f>
        <v>46487</v>
      </c>
      <c r="W82" s="193" t="n">
        <f aca="false">IF(ISNUMBER(G82),G82,W81)</f>
        <v>1</v>
      </c>
      <c r="X82" s="194" t="n">
        <f aca="false">IF(I82&lt;&gt;"",I82,X81)</f>
        <v>24200000</v>
      </c>
      <c r="Y82" s="194" t="n">
        <f aca="false">IF(AND(F82&lt;&gt;"",C82&lt;&gt;""),J82,Y81)</f>
        <v>4544760</v>
      </c>
      <c r="Z82" s="69" t="n">
        <f aca="false">IF(AND(K82&lt;&gt;"",C82&lt;&gt;""),C82,Z81)</f>
        <v>46285</v>
      </c>
      <c r="AA82" s="194" t="n">
        <f aca="false">IF(AND(K82&lt;&gt;"",C82&lt;&gt;""),L82,AA81)</f>
        <v>4634800</v>
      </c>
    </row>
    <row r="83" customFormat="false" ht="15" hidden="false" customHeight="false" outlineLevel="0" collapsed="false">
      <c r="A83" s="117" t="str">
        <f aca="false">IF(B83="","",ROW()-6)</f>
        <v/>
      </c>
      <c r="B83" s="127" t="str">
        <f aca="false">IF(C82="","",IF(C82&gt;='ตั้งค่า Setup'!$C$111,"",C82+1))</f>
        <v/>
      </c>
      <c r="C83" s="127" t="str">
        <f aca="false">IF(B83="","",IF('ตั้งค่า Setup'!$C$16="รายสัปดาห์ / Weekly",B83+6,IF('ตั้งค่า Setup'!$C$16="รายเดือน / Monthly",EOMONTH(B83,0),IF(DAY(B83)&lt;=10,DATE(YEAR(B83),MONTH(B83),10),IF(DAY(B83)&lt;=20,DATE(YEAR(B83),MONTH(B83),20),EOMONTH(B83,0))))))</f>
        <v/>
      </c>
      <c r="D83" s="115" t="str">
        <f aca="false">IF(C83="","",SUMPRODUCT('แผนงาน Schedule'!$G$7:$G$156,('แผนงาน Schedule'!$J$7:$J$156&lt;=C83)+('แผนงาน Schedule'!$I$7:$I$156&lt;=C83)*('แผนงาน Schedule'!$J$7:$J$156&gt;C83)*(C83-'แผนงาน Schedule'!$I$7:$I$156+1)/('แผนงาน Schedule'!$J$7:$J$156-'แผนงาน Schedule'!$I$7:$I$156+1)))</f>
        <v/>
      </c>
      <c r="E83" s="115" t="str">
        <f aca="false">IF(C83="","",SUMPRODUCT('แผนงาน Schedule'!$G$7:$G$156,('แผนงาน Schedule'!$AB$7:$AB$156&lt;=C83)+('แผนงาน Schedule'!$AA$7:$AA$156&lt;=C83)*('แผนงาน Schedule'!$AB$7:$AB$156&gt;C83)*(C83-'แผนงาน Schedule'!$AA$7:$AA$156+1)/('แผนงาน Schedule'!$AB$7:$AB$156-'แผนงาน Schedule'!$AA$7:$AA$156+1)))</f>
        <v/>
      </c>
      <c r="F83" s="113"/>
      <c r="G83" s="115" t="str">
        <f aca="false">IF(OR(C83="",NOT(ISNUMBER(Dashboard!$C$27))),"",IF(C83&lt;Dashboard!$C$7,"",IF(Dashboard!$C$27&lt;=Dashboard!$C$7,1,MIN(1,Dashboard!$C$19+(1-Dashboard!$C$19)*(C83-Dashboard!$C$7)/(Dashboard!$C$27-Dashboard!$C$7)))))</f>
        <v/>
      </c>
      <c r="H83" s="192" t="str">
        <f aca="false">IF(OR(F83="",D83=""),"",F83-D83)</f>
        <v/>
      </c>
      <c r="I83" s="182" t="str">
        <f aca="false">IF(D83="","",D83*'ตั้งค่า Setup'!$C$9)</f>
        <v/>
      </c>
      <c r="J83" s="182" t="str">
        <f aca="false">IF(OR(C83="",F83=""),"",F83*'ตั้งค่า Setup'!$C$9)</f>
        <v/>
      </c>
      <c r="K83" s="23"/>
      <c r="L83" s="182" t="str">
        <f aca="false">IF(OR(C83="",K83=""),"",SUM(K$7:K83))</f>
        <v/>
      </c>
      <c r="M83" s="23"/>
      <c r="N83" s="182" t="str">
        <f aca="false">IF(OR(C83="",B83&gt;'ตั้งค่า Setup'!$C$15),"",SUM(M$7:M83))</f>
        <v/>
      </c>
      <c r="P83" s="69" t="n">
        <f aca="false">IF(C83&lt;&gt;"",C83,P82)</f>
        <v>46487</v>
      </c>
      <c r="Q83" s="193" t="n">
        <f aca="false">IF(D83&lt;&gt;"",D83,Q82)</f>
        <v>1</v>
      </c>
      <c r="R83" s="69" t="n">
        <f aca="false">IF(Dashboard!$C$63,P83,R82)</f>
        <v>46174</v>
      </c>
      <c r="S83" s="193" t="n">
        <f aca="false">IF(AND(Dashboard!$C$63,E83&lt;&gt;""),E83,S82)</f>
        <v>0</v>
      </c>
      <c r="T83" s="69" t="n">
        <f aca="false">IF(AND(F83&lt;&gt;"",C83&lt;&gt;""),C83,T82)</f>
        <v>46295</v>
      </c>
      <c r="U83" s="193" t="n">
        <f aca="false">IF(AND(F83&lt;&gt;"",C83&lt;&gt;""),F83,U82)</f>
        <v>0.1878</v>
      </c>
      <c r="V83" s="69" t="n">
        <f aca="false">IF(ISNUMBER(G83),C83,V82)</f>
        <v>46487</v>
      </c>
      <c r="W83" s="193" t="n">
        <f aca="false">IF(ISNUMBER(G83),G83,W82)</f>
        <v>1</v>
      </c>
      <c r="X83" s="194" t="n">
        <f aca="false">IF(I83&lt;&gt;"",I83,X82)</f>
        <v>24200000</v>
      </c>
      <c r="Y83" s="194" t="n">
        <f aca="false">IF(AND(F83&lt;&gt;"",C83&lt;&gt;""),J83,Y82)</f>
        <v>4544760</v>
      </c>
      <c r="Z83" s="69" t="n">
        <f aca="false">IF(AND(K83&lt;&gt;"",C83&lt;&gt;""),C83,Z82)</f>
        <v>46285</v>
      </c>
      <c r="AA83" s="194" t="n">
        <f aca="false">IF(AND(K83&lt;&gt;"",C83&lt;&gt;""),L83,AA82)</f>
        <v>4634800</v>
      </c>
    </row>
    <row r="84" customFormat="false" ht="15" hidden="false" customHeight="false" outlineLevel="0" collapsed="false">
      <c r="A84" s="117" t="str">
        <f aca="false">IF(B84="","",ROW()-6)</f>
        <v/>
      </c>
      <c r="B84" s="127" t="str">
        <f aca="false">IF(C83="","",IF(C83&gt;='ตั้งค่า Setup'!$C$111,"",C83+1))</f>
        <v/>
      </c>
      <c r="C84" s="127" t="str">
        <f aca="false">IF(B84="","",IF('ตั้งค่า Setup'!$C$16="รายสัปดาห์ / Weekly",B84+6,IF('ตั้งค่า Setup'!$C$16="รายเดือน / Monthly",EOMONTH(B84,0),IF(DAY(B84)&lt;=10,DATE(YEAR(B84),MONTH(B84),10),IF(DAY(B84)&lt;=20,DATE(YEAR(B84),MONTH(B84),20),EOMONTH(B84,0))))))</f>
        <v/>
      </c>
      <c r="D84" s="115" t="str">
        <f aca="false">IF(C84="","",SUMPRODUCT('แผนงาน Schedule'!$G$7:$G$156,('แผนงาน Schedule'!$J$7:$J$156&lt;=C84)+('แผนงาน Schedule'!$I$7:$I$156&lt;=C84)*('แผนงาน Schedule'!$J$7:$J$156&gt;C84)*(C84-'แผนงาน Schedule'!$I$7:$I$156+1)/('แผนงาน Schedule'!$J$7:$J$156-'แผนงาน Schedule'!$I$7:$I$156+1)))</f>
        <v/>
      </c>
      <c r="E84" s="115" t="str">
        <f aca="false">IF(C84="","",SUMPRODUCT('แผนงาน Schedule'!$G$7:$G$156,('แผนงาน Schedule'!$AB$7:$AB$156&lt;=C84)+('แผนงาน Schedule'!$AA$7:$AA$156&lt;=C84)*('แผนงาน Schedule'!$AB$7:$AB$156&gt;C84)*(C84-'แผนงาน Schedule'!$AA$7:$AA$156+1)/('แผนงาน Schedule'!$AB$7:$AB$156-'แผนงาน Schedule'!$AA$7:$AA$156+1)))</f>
        <v/>
      </c>
      <c r="F84" s="113"/>
      <c r="G84" s="115" t="str">
        <f aca="false">IF(OR(C84="",NOT(ISNUMBER(Dashboard!$C$27))),"",IF(C84&lt;Dashboard!$C$7,"",IF(Dashboard!$C$27&lt;=Dashboard!$C$7,1,MIN(1,Dashboard!$C$19+(1-Dashboard!$C$19)*(C84-Dashboard!$C$7)/(Dashboard!$C$27-Dashboard!$C$7)))))</f>
        <v/>
      </c>
      <c r="H84" s="192" t="str">
        <f aca="false">IF(OR(F84="",D84=""),"",F84-D84)</f>
        <v/>
      </c>
      <c r="I84" s="182" t="str">
        <f aca="false">IF(D84="","",D84*'ตั้งค่า Setup'!$C$9)</f>
        <v/>
      </c>
      <c r="J84" s="182" t="str">
        <f aca="false">IF(OR(C84="",F84=""),"",F84*'ตั้งค่า Setup'!$C$9)</f>
        <v/>
      </c>
      <c r="K84" s="23"/>
      <c r="L84" s="182" t="str">
        <f aca="false">IF(OR(C84="",K84=""),"",SUM(K$7:K84))</f>
        <v/>
      </c>
      <c r="M84" s="23"/>
      <c r="N84" s="182" t="str">
        <f aca="false">IF(OR(C84="",B84&gt;'ตั้งค่า Setup'!$C$15),"",SUM(M$7:M84))</f>
        <v/>
      </c>
      <c r="P84" s="69" t="n">
        <f aca="false">IF(C84&lt;&gt;"",C84,P83)</f>
        <v>46487</v>
      </c>
      <c r="Q84" s="193" t="n">
        <f aca="false">IF(D84&lt;&gt;"",D84,Q83)</f>
        <v>1</v>
      </c>
      <c r="R84" s="69" t="n">
        <f aca="false">IF(Dashboard!$C$63,P84,R83)</f>
        <v>46174</v>
      </c>
      <c r="S84" s="193" t="n">
        <f aca="false">IF(AND(Dashboard!$C$63,E84&lt;&gt;""),E84,S83)</f>
        <v>0</v>
      </c>
      <c r="T84" s="69" t="n">
        <f aca="false">IF(AND(F84&lt;&gt;"",C84&lt;&gt;""),C84,T83)</f>
        <v>46295</v>
      </c>
      <c r="U84" s="193" t="n">
        <f aca="false">IF(AND(F84&lt;&gt;"",C84&lt;&gt;""),F84,U83)</f>
        <v>0.1878</v>
      </c>
      <c r="V84" s="69" t="n">
        <f aca="false">IF(ISNUMBER(G84),C84,V83)</f>
        <v>46487</v>
      </c>
      <c r="W84" s="193" t="n">
        <f aca="false">IF(ISNUMBER(G84),G84,W83)</f>
        <v>1</v>
      </c>
      <c r="X84" s="194" t="n">
        <f aca="false">IF(I84&lt;&gt;"",I84,X83)</f>
        <v>24200000</v>
      </c>
      <c r="Y84" s="194" t="n">
        <f aca="false">IF(AND(F84&lt;&gt;"",C84&lt;&gt;""),J84,Y83)</f>
        <v>4544760</v>
      </c>
      <c r="Z84" s="69" t="n">
        <f aca="false">IF(AND(K84&lt;&gt;"",C84&lt;&gt;""),C84,Z83)</f>
        <v>46285</v>
      </c>
      <c r="AA84" s="194" t="n">
        <f aca="false">IF(AND(K84&lt;&gt;"",C84&lt;&gt;""),L84,AA83)</f>
        <v>4634800</v>
      </c>
    </row>
    <row r="85" customFormat="false" ht="15" hidden="false" customHeight="false" outlineLevel="0" collapsed="false">
      <c r="A85" s="117" t="str">
        <f aca="false">IF(B85="","",ROW()-6)</f>
        <v/>
      </c>
      <c r="B85" s="127" t="str">
        <f aca="false">IF(C84="","",IF(C84&gt;='ตั้งค่า Setup'!$C$111,"",C84+1))</f>
        <v/>
      </c>
      <c r="C85" s="127" t="str">
        <f aca="false">IF(B85="","",IF('ตั้งค่า Setup'!$C$16="รายสัปดาห์ / Weekly",B85+6,IF('ตั้งค่า Setup'!$C$16="รายเดือน / Monthly",EOMONTH(B85,0),IF(DAY(B85)&lt;=10,DATE(YEAR(B85),MONTH(B85),10),IF(DAY(B85)&lt;=20,DATE(YEAR(B85),MONTH(B85),20),EOMONTH(B85,0))))))</f>
        <v/>
      </c>
      <c r="D85" s="115" t="str">
        <f aca="false">IF(C85="","",SUMPRODUCT('แผนงาน Schedule'!$G$7:$G$156,('แผนงาน Schedule'!$J$7:$J$156&lt;=C85)+('แผนงาน Schedule'!$I$7:$I$156&lt;=C85)*('แผนงาน Schedule'!$J$7:$J$156&gt;C85)*(C85-'แผนงาน Schedule'!$I$7:$I$156+1)/('แผนงาน Schedule'!$J$7:$J$156-'แผนงาน Schedule'!$I$7:$I$156+1)))</f>
        <v/>
      </c>
      <c r="E85" s="115" t="str">
        <f aca="false">IF(C85="","",SUMPRODUCT('แผนงาน Schedule'!$G$7:$G$156,('แผนงาน Schedule'!$AB$7:$AB$156&lt;=C85)+('แผนงาน Schedule'!$AA$7:$AA$156&lt;=C85)*('แผนงาน Schedule'!$AB$7:$AB$156&gt;C85)*(C85-'แผนงาน Schedule'!$AA$7:$AA$156+1)/('แผนงาน Schedule'!$AB$7:$AB$156-'แผนงาน Schedule'!$AA$7:$AA$156+1)))</f>
        <v/>
      </c>
      <c r="F85" s="113"/>
      <c r="G85" s="115" t="str">
        <f aca="false">IF(OR(C85="",NOT(ISNUMBER(Dashboard!$C$27))),"",IF(C85&lt;Dashboard!$C$7,"",IF(Dashboard!$C$27&lt;=Dashboard!$C$7,1,MIN(1,Dashboard!$C$19+(1-Dashboard!$C$19)*(C85-Dashboard!$C$7)/(Dashboard!$C$27-Dashboard!$C$7)))))</f>
        <v/>
      </c>
      <c r="H85" s="192" t="str">
        <f aca="false">IF(OR(F85="",D85=""),"",F85-D85)</f>
        <v/>
      </c>
      <c r="I85" s="182" t="str">
        <f aca="false">IF(D85="","",D85*'ตั้งค่า Setup'!$C$9)</f>
        <v/>
      </c>
      <c r="J85" s="182" t="str">
        <f aca="false">IF(OR(C85="",F85=""),"",F85*'ตั้งค่า Setup'!$C$9)</f>
        <v/>
      </c>
      <c r="K85" s="23"/>
      <c r="L85" s="182" t="str">
        <f aca="false">IF(OR(C85="",K85=""),"",SUM(K$7:K85))</f>
        <v/>
      </c>
      <c r="M85" s="23"/>
      <c r="N85" s="182" t="str">
        <f aca="false">IF(OR(C85="",B85&gt;'ตั้งค่า Setup'!$C$15),"",SUM(M$7:M85))</f>
        <v/>
      </c>
      <c r="P85" s="69" t="n">
        <f aca="false">IF(C85&lt;&gt;"",C85,P84)</f>
        <v>46487</v>
      </c>
      <c r="Q85" s="193" t="n">
        <f aca="false">IF(D85&lt;&gt;"",D85,Q84)</f>
        <v>1</v>
      </c>
      <c r="R85" s="69" t="n">
        <f aca="false">IF(Dashboard!$C$63,P85,R84)</f>
        <v>46174</v>
      </c>
      <c r="S85" s="193" t="n">
        <f aca="false">IF(AND(Dashboard!$C$63,E85&lt;&gt;""),E85,S84)</f>
        <v>0</v>
      </c>
      <c r="T85" s="69" t="n">
        <f aca="false">IF(AND(F85&lt;&gt;"",C85&lt;&gt;""),C85,T84)</f>
        <v>46295</v>
      </c>
      <c r="U85" s="193" t="n">
        <f aca="false">IF(AND(F85&lt;&gt;"",C85&lt;&gt;""),F85,U84)</f>
        <v>0.1878</v>
      </c>
      <c r="V85" s="69" t="n">
        <f aca="false">IF(ISNUMBER(G85),C85,V84)</f>
        <v>46487</v>
      </c>
      <c r="W85" s="193" t="n">
        <f aca="false">IF(ISNUMBER(G85),G85,W84)</f>
        <v>1</v>
      </c>
      <c r="X85" s="194" t="n">
        <f aca="false">IF(I85&lt;&gt;"",I85,X84)</f>
        <v>24200000</v>
      </c>
      <c r="Y85" s="194" t="n">
        <f aca="false">IF(AND(F85&lt;&gt;"",C85&lt;&gt;""),J85,Y84)</f>
        <v>4544760</v>
      </c>
      <c r="Z85" s="69" t="n">
        <f aca="false">IF(AND(K85&lt;&gt;"",C85&lt;&gt;""),C85,Z84)</f>
        <v>46285</v>
      </c>
      <c r="AA85" s="194" t="n">
        <f aca="false">IF(AND(K85&lt;&gt;"",C85&lt;&gt;""),L85,AA84)</f>
        <v>4634800</v>
      </c>
    </row>
    <row r="86" customFormat="false" ht="15" hidden="false" customHeight="false" outlineLevel="0" collapsed="false">
      <c r="A86" s="117" t="str">
        <f aca="false">IF(B86="","",ROW()-6)</f>
        <v/>
      </c>
      <c r="B86" s="127" t="str">
        <f aca="false">IF(C85="","",IF(C85&gt;='ตั้งค่า Setup'!$C$111,"",C85+1))</f>
        <v/>
      </c>
      <c r="C86" s="127" t="str">
        <f aca="false">IF(B86="","",IF('ตั้งค่า Setup'!$C$16="รายสัปดาห์ / Weekly",B86+6,IF('ตั้งค่า Setup'!$C$16="รายเดือน / Monthly",EOMONTH(B86,0),IF(DAY(B86)&lt;=10,DATE(YEAR(B86),MONTH(B86),10),IF(DAY(B86)&lt;=20,DATE(YEAR(B86),MONTH(B86),20),EOMONTH(B86,0))))))</f>
        <v/>
      </c>
      <c r="D86" s="115" t="str">
        <f aca="false">IF(C86="","",SUMPRODUCT('แผนงาน Schedule'!$G$7:$G$156,('แผนงาน Schedule'!$J$7:$J$156&lt;=C86)+('แผนงาน Schedule'!$I$7:$I$156&lt;=C86)*('แผนงาน Schedule'!$J$7:$J$156&gt;C86)*(C86-'แผนงาน Schedule'!$I$7:$I$156+1)/('แผนงาน Schedule'!$J$7:$J$156-'แผนงาน Schedule'!$I$7:$I$156+1)))</f>
        <v/>
      </c>
      <c r="E86" s="115" t="str">
        <f aca="false">IF(C86="","",SUMPRODUCT('แผนงาน Schedule'!$G$7:$G$156,('แผนงาน Schedule'!$AB$7:$AB$156&lt;=C86)+('แผนงาน Schedule'!$AA$7:$AA$156&lt;=C86)*('แผนงาน Schedule'!$AB$7:$AB$156&gt;C86)*(C86-'แผนงาน Schedule'!$AA$7:$AA$156+1)/('แผนงาน Schedule'!$AB$7:$AB$156-'แผนงาน Schedule'!$AA$7:$AA$156+1)))</f>
        <v/>
      </c>
      <c r="F86" s="113"/>
      <c r="G86" s="115" t="str">
        <f aca="false">IF(OR(C86="",NOT(ISNUMBER(Dashboard!$C$27))),"",IF(C86&lt;Dashboard!$C$7,"",IF(Dashboard!$C$27&lt;=Dashboard!$C$7,1,MIN(1,Dashboard!$C$19+(1-Dashboard!$C$19)*(C86-Dashboard!$C$7)/(Dashboard!$C$27-Dashboard!$C$7)))))</f>
        <v/>
      </c>
      <c r="H86" s="192" t="str">
        <f aca="false">IF(OR(F86="",D86=""),"",F86-D86)</f>
        <v/>
      </c>
      <c r="I86" s="182" t="str">
        <f aca="false">IF(D86="","",D86*'ตั้งค่า Setup'!$C$9)</f>
        <v/>
      </c>
      <c r="J86" s="182" t="str">
        <f aca="false">IF(OR(C86="",F86=""),"",F86*'ตั้งค่า Setup'!$C$9)</f>
        <v/>
      </c>
      <c r="K86" s="23"/>
      <c r="L86" s="182" t="str">
        <f aca="false">IF(OR(C86="",K86=""),"",SUM(K$7:K86))</f>
        <v/>
      </c>
      <c r="M86" s="23"/>
      <c r="N86" s="182" t="str">
        <f aca="false">IF(OR(C86="",B86&gt;'ตั้งค่า Setup'!$C$15),"",SUM(M$7:M86))</f>
        <v/>
      </c>
      <c r="P86" s="69" t="n">
        <f aca="false">IF(C86&lt;&gt;"",C86,P85)</f>
        <v>46487</v>
      </c>
      <c r="Q86" s="193" t="n">
        <f aca="false">IF(D86&lt;&gt;"",D86,Q85)</f>
        <v>1</v>
      </c>
      <c r="R86" s="69" t="n">
        <f aca="false">IF(Dashboard!$C$63,P86,R85)</f>
        <v>46174</v>
      </c>
      <c r="S86" s="193" t="n">
        <f aca="false">IF(AND(Dashboard!$C$63,E86&lt;&gt;""),E86,S85)</f>
        <v>0</v>
      </c>
      <c r="T86" s="69" t="n">
        <f aca="false">IF(AND(F86&lt;&gt;"",C86&lt;&gt;""),C86,T85)</f>
        <v>46295</v>
      </c>
      <c r="U86" s="193" t="n">
        <f aca="false">IF(AND(F86&lt;&gt;"",C86&lt;&gt;""),F86,U85)</f>
        <v>0.1878</v>
      </c>
      <c r="V86" s="69" t="n">
        <f aca="false">IF(ISNUMBER(G86),C86,V85)</f>
        <v>46487</v>
      </c>
      <c r="W86" s="193" t="n">
        <f aca="false">IF(ISNUMBER(G86),G86,W85)</f>
        <v>1</v>
      </c>
      <c r="X86" s="194" t="n">
        <f aca="false">IF(I86&lt;&gt;"",I86,X85)</f>
        <v>24200000</v>
      </c>
      <c r="Y86" s="194" t="n">
        <f aca="false">IF(AND(F86&lt;&gt;"",C86&lt;&gt;""),J86,Y85)</f>
        <v>4544760</v>
      </c>
      <c r="Z86" s="69" t="n">
        <f aca="false">IF(AND(K86&lt;&gt;"",C86&lt;&gt;""),C86,Z85)</f>
        <v>46285</v>
      </c>
      <c r="AA86" s="194" t="n">
        <f aca="false">IF(AND(K86&lt;&gt;"",C86&lt;&gt;""),L86,AA85)</f>
        <v>4634800</v>
      </c>
    </row>
  </sheetData>
  <sheetProtection sheet="true" formatCells="false" formatColumns="false" formatRows="false"/>
  <mergeCells count="4">
    <mergeCell ref="A5:C5"/>
    <mergeCell ref="D5:H5"/>
    <mergeCell ref="I5:L5"/>
    <mergeCell ref="M5:N5"/>
  </mergeCells>
  <conditionalFormatting sqref="A7:N86">
    <cfRule type="expression" priority="2" aboveAverage="0" equalAverage="0" bottom="0" percent="0" rank="0" text="" dxfId="26">
      <formula>AND($B7&lt;&gt;"",$B7&lt;='ตั้งค่า Setup'!$C$15,$C7&gt;='ตั้งค่า Setup'!$C$15)</formula>
    </cfRule>
  </conditionalFormatting>
  <dataValidations count="1">
    <dataValidation allowBlank="false" error="กรอก 0%–100%" errorStyle="stop" operator="between" showDropDown="false" showErrorMessage="false" showInputMessage="false" sqref="F7:F86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46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10"/>
    <col collapsed="false" customWidth="true" hidden="false" outlineLevel="0" max="11" min="11" style="1" width="24"/>
    <col collapsed="false" customWidth="true" hidden="false" outlineLevel="0" max="12" min="12" style="1" width="28"/>
  </cols>
  <sheetData>
    <row r="1" customFormat="false" ht="20.1" hidden="false" customHeight="false" outlineLevel="0" collapsed="false">
      <c r="A1" s="2" t="s">
        <v>808</v>
      </c>
    </row>
    <row r="2" customFormat="false" ht="15" hidden="false" customHeight="false" outlineLevel="0" collapsed="false">
      <c r="A2" s="17" t="s">
        <v>809</v>
      </c>
    </row>
    <row r="3" customFormat="false" ht="15" hidden="false" customHeight="false" outlineLevel="0" collapsed="false">
      <c r="B3" s="173" t="s">
        <v>810</v>
      </c>
      <c r="E3" s="173" t="s">
        <v>811</v>
      </c>
      <c r="H3" s="173" t="s">
        <v>812</v>
      </c>
      <c r="K3" s="173" t="s">
        <v>813</v>
      </c>
    </row>
    <row r="4" customFormat="false" ht="17.35" hidden="false" customHeight="false" outlineLevel="0" collapsed="false">
      <c r="B4" s="196" t="n">
        <f aca="false">SUM(F8:F57)</f>
        <v>17</v>
      </c>
      <c r="E4" s="196" t="n">
        <f aca="false">SUM(J8:J57)</f>
        <v>8</v>
      </c>
      <c r="H4" s="196" t="n">
        <f aca="false">SUMIF(I8:I57,"รอพิจารณา / Pending",F8:F57)</f>
        <v>7</v>
      </c>
      <c r="K4" s="196" t="n">
        <f aca="false">SUMIF(E8:E57,"ผู้ว่าจ้าง / Employer",F8:F57)</f>
        <v>10</v>
      </c>
    </row>
    <row r="7" customFormat="false" ht="39.75" hidden="false" customHeight="true" outlineLevel="0" collapsed="false">
      <c r="A7" s="18" t="s">
        <v>814</v>
      </c>
      <c r="B7" s="18" t="s">
        <v>815</v>
      </c>
      <c r="C7" s="18" t="s">
        <v>816</v>
      </c>
      <c r="D7" s="59" t="s">
        <v>817</v>
      </c>
      <c r="E7" s="18" t="s">
        <v>818</v>
      </c>
      <c r="F7" s="18" t="s">
        <v>819</v>
      </c>
      <c r="G7" s="18" t="s">
        <v>820</v>
      </c>
      <c r="H7" s="18" t="s">
        <v>821</v>
      </c>
      <c r="I7" s="18" t="s">
        <v>822</v>
      </c>
      <c r="J7" s="18" t="s">
        <v>823</v>
      </c>
      <c r="K7" s="18" t="s">
        <v>824</v>
      </c>
      <c r="L7" s="18" t="s">
        <v>480</v>
      </c>
    </row>
    <row r="8" customFormat="false" ht="15" hidden="false" customHeight="false" outlineLevel="0" collapsed="false">
      <c r="A8" s="117" t="n">
        <f aca="false">IF(C8="","",COUNTA(C$8:C8))</f>
        <v>1</v>
      </c>
      <c r="B8" s="24" t="n">
        <v>46231</v>
      </c>
      <c r="C8" s="32" t="s">
        <v>825</v>
      </c>
      <c r="D8" s="22" t="s">
        <v>826</v>
      </c>
      <c r="E8" s="20" t="s">
        <v>827</v>
      </c>
      <c r="F8" s="22" t="n">
        <v>7</v>
      </c>
      <c r="G8" s="20" t="s">
        <v>828</v>
      </c>
      <c r="H8" s="24" t="n">
        <v>46237</v>
      </c>
      <c r="I8" s="20" t="s">
        <v>829</v>
      </c>
      <c r="J8" s="22"/>
      <c r="K8" s="117" t="str">
        <f aca="false">IF(OR(C8="",E8=""),"",IF(E8="ผู้รับจ้าง / Contractor","ไม่มีสิทธิ์ (ผู้รับจ้างรับผิดชอบ)","มีสิทธิ์ขอขยายเวลา"))</f>
        <v>มีสิทธิ์ขอขยายเวลา</v>
      </c>
      <c r="L8" s="32"/>
    </row>
    <row r="9" customFormat="false" ht="15" hidden="false" customHeight="false" outlineLevel="0" collapsed="false">
      <c r="A9" s="117" t="n">
        <f aca="false">IF(C9="","",COUNTA(C$8:C9))</f>
        <v>2</v>
      </c>
      <c r="B9" s="24" t="n">
        <v>46270</v>
      </c>
      <c r="C9" s="32" t="s">
        <v>830</v>
      </c>
      <c r="D9" s="22" t="s">
        <v>614</v>
      </c>
      <c r="E9" s="20" t="s">
        <v>831</v>
      </c>
      <c r="F9" s="22" t="n">
        <v>10</v>
      </c>
      <c r="G9" s="20" t="s">
        <v>832</v>
      </c>
      <c r="H9" s="24" t="n">
        <v>46275</v>
      </c>
      <c r="I9" s="20" t="s">
        <v>833</v>
      </c>
      <c r="J9" s="22" t="n">
        <v>8</v>
      </c>
      <c r="K9" s="117" t="str">
        <f aca="false">IF(OR(C9="",E9=""),"",IF(E9="ผู้รับจ้าง / Contractor","ไม่มีสิทธิ์ (ผู้รับจ้างรับผิดชอบ)","มีสิทธิ์ขอขยายเวลา"))</f>
        <v>มีสิทธิ์ขอขยายเวลา</v>
      </c>
      <c r="L9" s="32"/>
    </row>
    <row r="10" customFormat="false" ht="15" hidden="false" customHeight="false" outlineLevel="0" collapsed="false">
      <c r="A10" s="117" t="str">
        <f aca="false">IF(C10="","",COUNTA(C$8:C10))</f>
        <v/>
      </c>
      <c r="B10" s="24"/>
      <c r="C10" s="32"/>
      <c r="D10" s="20"/>
      <c r="E10" s="20"/>
      <c r="F10" s="22"/>
      <c r="G10" s="20"/>
      <c r="H10" s="24"/>
      <c r="I10" s="20"/>
      <c r="J10" s="22"/>
      <c r="K10" s="117" t="str">
        <f aca="false">IF(OR(C10="",E10=""),"",IF(E10="ผู้รับจ้าง / Contractor","ไม่มีสิทธิ์ (ผู้รับจ้างรับผิดชอบ)","มีสิทธิ์ขอขยายเวลา"))</f>
        <v/>
      </c>
      <c r="L10" s="32"/>
    </row>
    <row r="11" customFormat="false" ht="15" hidden="false" customHeight="false" outlineLevel="0" collapsed="false">
      <c r="A11" s="117" t="str">
        <f aca="false">IF(C11="","",COUNTA(C$8:C11))</f>
        <v/>
      </c>
      <c r="B11" s="24"/>
      <c r="C11" s="32"/>
      <c r="D11" s="20"/>
      <c r="E11" s="20"/>
      <c r="F11" s="22"/>
      <c r="G11" s="20"/>
      <c r="H11" s="24"/>
      <c r="I11" s="20"/>
      <c r="J11" s="22"/>
      <c r="K11" s="117" t="str">
        <f aca="false">IF(OR(C11="",E11=""),"",IF(E11="ผู้รับจ้าง / Contractor","ไม่มีสิทธิ์ (ผู้รับจ้างรับผิดชอบ)","มีสิทธิ์ขอขยายเวลา"))</f>
        <v/>
      </c>
      <c r="L11" s="32"/>
    </row>
    <row r="12" customFormat="false" ht="15" hidden="false" customHeight="false" outlineLevel="0" collapsed="false">
      <c r="A12" s="117" t="str">
        <f aca="false">IF(C12="","",COUNTA(C$8:C12))</f>
        <v/>
      </c>
      <c r="B12" s="24"/>
      <c r="C12" s="32"/>
      <c r="D12" s="20"/>
      <c r="E12" s="20"/>
      <c r="F12" s="22"/>
      <c r="G12" s="20"/>
      <c r="H12" s="24"/>
      <c r="I12" s="20"/>
      <c r="J12" s="22"/>
      <c r="K12" s="117" t="str">
        <f aca="false">IF(OR(C12="",E12=""),"",IF(E12="ผู้รับจ้าง / Contractor","ไม่มีสิทธิ์ (ผู้รับจ้างรับผิดชอบ)","มีสิทธิ์ขอขยายเวลา"))</f>
        <v/>
      </c>
      <c r="L12" s="32"/>
    </row>
    <row r="13" customFormat="false" ht="15" hidden="false" customHeight="false" outlineLevel="0" collapsed="false">
      <c r="A13" s="117" t="str">
        <f aca="false">IF(C13="","",COUNTA(C$8:C13))</f>
        <v/>
      </c>
      <c r="B13" s="24"/>
      <c r="C13" s="32"/>
      <c r="D13" s="20"/>
      <c r="E13" s="20"/>
      <c r="F13" s="22"/>
      <c r="G13" s="20"/>
      <c r="H13" s="24"/>
      <c r="I13" s="20"/>
      <c r="J13" s="22"/>
      <c r="K13" s="117" t="str">
        <f aca="false">IF(OR(C13="",E13=""),"",IF(E13="ผู้รับจ้าง / Contractor","ไม่มีสิทธิ์ (ผู้รับจ้างรับผิดชอบ)","มีสิทธิ์ขอขยายเวลา"))</f>
        <v/>
      </c>
      <c r="L13" s="32"/>
    </row>
    <row r="14" customFormat="false" ht="15" hidden="false" customHeight="false" outlineLevel="0" collapsed="false">
      <c r="A14" s="117" t="str">
        <f aca="false">IF(C14="","",COUNTA(C$8:C14))</f>
        <v/>
      </c>
      <c r="B14" s="24"/>
      <c r="C14" s="32"/>
      <c r="D14" s="20"/>
      <c r="E14" s="20"/>
      <c r="F14" s="22"/>
      <c r="G14" s="20"/>
      <c r="H14" s="24"/>
      <c r="I14" s="20"/>
      <c r="J14" s="22"/>
      <c r="K14" s="117" t="str">
        <f aca="false">IF(OR(C14="",E14=""),"",IF(E14="ผู้รับจ้าง / Contractor","ไม่มีสิทธิ์ (ผู้รับจ้างรับผิดชอบ)","มีสิทธิ์ขอขยายเวลา"))</f>
        <v/>
      </c>
      <c r="L14" s="32"/>
    </row>
    <row r="15" customFormat="false" ht="15" hidden="false" customHeight="false" outlineLevel="0" collapsed="false">
      <c r="A15" s="117" t="str">
        <f aca="false">IF(C15="","",COUNTA(C$8:C15))</f>
        <v/>
      </c>
      <c r="B15" s="24"/>
      <c r="C15" s="32"/>
      <c r="D15" s="20"/>
      <c r="E15" s="20"/>
      <c r="F15" s="22"/>
      <c r="G15" s="20"/>
      <c r="H15" s="24"/>
      <c r="I15" s="20"/>
      <c r="J15" s="22"/>
      <c r="K15" s="117" t="str">
        <f aca="false">IF(OR(C15="",E15=""),"",IF(E15="ผู้รับจ้าง / Contractor","ไม่มีสิทธิ์ (ผู้รับจ้างรับผิดชอบ)","มีสิทธิ์ขอขยายเวลา"))</f>
        <v/>
      </c>
      <c r="L15" s="32"/>
    </row>
    <row r="16" customFormat="false" ht="15" hidden="false" customHeight="false" outlineLevel="0" collapsed="false">
      <c r="A16" s="117" t="str">
        <f aca="false">IF(C16="","",COUNTA(C$8:C16))</f>
        <v/>
      </c>
      <c r="B16" s="24"/>
      <c r="C16" s="32"/>
      <c r="D16" s="20"/>
      <c r="E16" s="20"/>
      <c r="F16" s="22"/>
      <c r="G16" s="20"/>
      <c r="H16" s="24"/>
      <c r="I16" s="20"/>
      <c r="J16" s="22"/>
      <c r="K16" s="117" t="str">
        <f aca="false">IF(OR(C16="",E16=""),"",IF(E16="ผู้รับจ้าง / Contractor","ไม่มีสิทธิ์ (ผู้รับจ้างรับผิดชอบ)","มีสิทธิ์ขอขยายเวลา"))</f>
        <v/>
      </c>
      <c r="L16" s="32"/>
    </row>
    <row r="17" customFormat="false" ht="15" hidden="false" customHeight="false" outlineLevel="0" collapsed="false">
      <c r="A17" s="117" t="str">
        <f aca="false">IF(C17="","",COUNTA(C$8:C17))</f>
        <v/>
      </c>
      <c r="B17" s="24"/>
      <c r="C17" s="32"/>
      <c r="D17" s="20"/>
      <c r="E17" s="20"/>
      <c r="F17" s="22"/>
      <c r="G17" s="20"/>
      <c r="H17" s="24"/>
      <c r="I17" s="20"/>
      <c r="J17" s="22"/>
      <c r="K17" s="117" t="str">
        <f aca="false">IF(OR(C17="",E17=""),"",IF(E17="ผู้รับจ้าง / Contractor","ไม่มีสิทธิ์ (ผู้รับจ้างรับผิดชอบ)","มีสิทธิ์ขอขยายเวลา"))</f>
        <v/>
      </c>
      <c r="L17" s="32"/>
    </row>
    <row r="18" customFormat="false" ht="15" hidden="false" customHeight="false" outlineLevel="0" collapsed="false">
      <c r="A18" s="117" t="str">
        <f aca="false">IF(C18="","",COUNTA(C$8:C18))</f>
        <v/>
      </c>
      <c r="B18" s="24"/>
      <c r="C18" s="32"/>
      <c r="D18" s="20"/>
      <c r="E18" s="20"/>
      <c r="F18" s="22"/>
      <c r="G18" s="20"/>
      <c r="H18" s="24"/>
      <c r="I18" s="20"/>
      <c r="J18" s="22"/>
      <c r="K18" s="117" t="str">
        <f aca="false">IF(OR(C18="",E18=""),"",IF(E18="ผู้รับจ้าง / Contractor","ไม่มีสิทธิ์ (ผู้รับจ้างรับผิดชอบ)","มีสิทธิ์ขอขยายเวลา"))</f>
        <v/>
      </c>
      <c r="L18" s="32"/>
    </row>
    <row r="19" customFormat="false" ht="15" hidden="false" customHeight="false" outlineLevel="0" collapsed="false">
      <c r="A19" s="117" t="str">
        <f aca="false">IF(C19="","",COUNTA(C$8:C19))</f>
        <v/>
      </c>
      <c r="B19" s="24"/>
      <c r="C19" s="32"/>
      <c r="D19" s="20"/>
      <c r="E19" s="20"/>
      <c r="F19" s="22"/>
      <c r="G19" s="20"/>
      <c r="H19" s="24"/>
      <c r="I19" s="20"/>
      <c r="J19" s="22"/>
      <c r="K19" s="117" t="str">
        <f aca="false">IF(OR(C19="",E19=""),"",IF(E19="ผู้รับจ้าง / Contractor","ไม่มีสิทธิ์ (ผู้รับจ้างรับผิดชอบ)","มีสิทธิ์ขอขยายเวลา"))</f>
        <v/>
      </c>
      <c r="L19" s="32"/>
    </row>
    <row r="20" customFormat="false" ht="15" hidden="false" customHeight="false" outlineLevel="0" collapsed="false">
      <c r="A20" s="117" t="str">
        <f aca="false">IF(C20="","",COUNTA(C$8:C20))</f>
        <v/>
      </c>
      <c r="B20" s="24"/>
      <c r="C20" s="32"/>
      <c r="D20" s="20"/>
      <c r="E20" s="20"/>
      <c r="F20" s="22"/>
      <c r="G20" s="20"/>
      <c r="H20" s="24"/>
      <c r="I20" s="20"/>
      <c r="J20" s="22"/>
      <c r="K20" s="117" t="str">
        <f aca="false">IF(OR(C20="",E20=""),"",IF(E20="ผู้รับจ้าง / Contractor","ไม่มีสิทธิ์ (ผู้รับจ้างรับผิดชอบ)","มีสิทธิ์ขอขยายเวลา"))</f>
        <v/>
      </c>
      <c r="L20" s="32"/>
    </row>
    <row r="21" customFormat="false" ht="15" hidden="false" customHeight="false" outlineLevel="0" collapsed="false">
      <c r="A21" s="117" t="str">
        <f aca="false">IF(C21="","",COUNTA(C$8:C21))</f>
        <v/>
      </c>
      <c r="B21" s="24"/>
      <c r="C21" s="32"/>
      <c r="D21" s="20"/>
      <c r="E21" s="20"/>
      <c r="F21" s="22"/>
      <c r="G21" s="20"/>
      <c r="H21" s="24"/>
      <c r="I21" s="20"/>
      <c r="J21" s="22"/>
      <c r="K21" s="117" t="str">
        <f aca="false">IF(OR(C21="",E21=""),"",IF(E21="ผู้รับจ้าง / Contractor","ไม่มีสิทธิ์ (ผู้รับจ้างรับผิดชอบ)","มีสิทธิ์ขอขยายเวลา"))</f>
        <v/>
      </c>
      <c r="L21" s="32"/>
    </row>
    <row r="22" customFormat="false" ht="15" hidden="false" customHeight="false" outlineLevel="0" collapsed="false">
      <c r="A22" s="117" t="str">
        <f aca="false">IF(C22="","",COUNTA(C$8:C22))</f>
        <v/>
      </c>
      <c r="B22" s="24"/>
      <c r="C22" s="32"/>
      <c r="D22" s="20"/>
      <c r="E22" s="20"/>
      <c r="F22" s="22"/>
      <c r="G22" s="20"/>
      <c r="H22" s="24"/>
      <c r="I22" s="20"/>
      <c r="J22" s="22"/>
      <c r="K22" s="117" t="str">
        <f aca="false">IF(OR(C22="",E22=""),"",IF(E22="ผู้รับจ้าง / Contractor","ไม่มีสิทธิ์ (ผู้รับจ้างรับผิดชอบ)","มีสิทธิ์ขอขยายเวลา"))</f>
        <v/>
      </c>
      <c r="L22" s="32"/>
    </row>
    <row r="23" customFormat="false" ht="15" hidden="false" customHeight="false" outlineLevel="0" collapsed="false">
      <c r="A23" s="117" t="str">
        <f aca="false">IF(C23="","",COUNTA(C$8:C23))</f>
        <v/>
      </c>
      <c r="B23" s="24"/>
      <c r="C23" s="32"/>
      <c r="D23" s="20"/>
      <c r="E23" s="20"/>
      <c r="F23" s="22"/>
      <c r="G23" s="20"/>
      <c r="H23" s="24"/>
      <c r="I23" s="20"/>
      <c r="J23" s="22"/>
      <c r="K23" s="117" t="str">
        <f aca="false">IF(OR(C23="",E23=""),"",IF(E23="ผู้รับจ้าง / Contractor","ไม่มีสิทธิ์ (ผู้รับจ้างรับผิดชอบ)","มีสิทธิ์ขอขยายเวลา"))</f>
        <v/>
      </c>
      <c r="L23" s="32"/>
    </row>
    <row r="24" customFormat="false" ht="15" hidden="false" customHeight="false" outlineLevel="0" collapsed="false">
      <c r="A24" s="117" t="str">
        <f aca="false">IF(C24="","",COUNTA(C$8:C24))</f>
        <v/>
      </c>
      <c r="B24" s="24"/>
      <c r="C24" s="32"/>
      <c r="D24" s="20"/>
      <c r="E24" s="20"/>
      <c r="F24" s="22"/>
      <c r="G24" s="20"/>
      <c r="H24" s="24"/>
      <c r="I24" s="20"/>
      <c r="J24" s="22"/>
      <c r="K24" s="117" t="str">
        <f aca="false">IF(OR(C24="",E24=""),"",IF(E24="ผู้รับจ้าง / Contractor","ไม่มีสิทธิ์ (ผู้รับจ้างรับผิดชอบ)","มีสิทธิ์ขอขยายเวลา"))</f>
        <v/>
      </c>
      <c r="L24" s="32"/>
    </row>
    <row r="25" customFormat="false" ht="15" hidden="false" customHeight="false" outlineLevel="0" collapsed="false">
      <c r="A25" s="117" t="str">
        <f aca="false">IF(C25="","",COUNTA(C$8:C25))</f>
        <v/>
      </c>
      <c r="B25" s="24"/>
      <c r="C25" s="32"/>
      <c r="D25" s="20"/>
      <c r="E25" s="20"/>
      <c r="F25" s="22"/>
      <c r="G25" s="20"/>
      <c r="H25" s="24"/>
      <c r="I25" s="20"/>
      <c r="J25" s="22"/>
      <c r="K25" s="117" t="str">
        <f aca="false">IF(OR(C25="",E25=""),"",IF(E25="ผู้รับจ้าง / Contractor","ไม่มีสิทธิ์ (ผู้รับจ้างรับผิดชอบ)","มีสิทธิ์ขอขยายเวลา"))</f>
        <v/>
      </c>
      <c r="L25" s="32"/>
    </row>
    <row r="26" customFormat="false" ht="15" hidden="false" customHeight="false" outlineLevel="0" collapsed="false">
      <c r="A26" s="117" t="str">
        <f aca="false">IF(C26="","",COUNTA(C$8:C26))</f>
        <v/>
      </c>
      <c r="B26" s="24"/>
      <c r="C26" s="32"/>
      <c r="D26" s="20"/>
      <c r="E26" s="20"/>
      <c r="F26" s="22"/>
      <c r="G26" s="20"/>
      <c r="H26" s="24"/>
      <c r="I26" s="20"/>
      <c r="J26" s="22"/>
      <c r="K26" s="117" t="str">
        <f aca="false">IF(OR(C26="",E26=""),"",IF(E26="ผู้รับจ้าง / Contractor","ไม่มีสิทธิ์ (ผู้รับจ้างรับผิดชอบ)","มีสิทธิ์ขอขยายเวลา"))</f>
        <v/>
      </c>
      <c r="L26" s="32"/>
    </row>
    <row r="27" customFormat="false" ht="15" hidden="false" customHeight="false" outlineLevel="0" collapsed="false">
      <c r="A27" s="117" t="str">
        <f aca="false">IF(C27="","",COUNTA(C$8:C27))</f>
        <v/>
      </c>
      <c r="B27" s="24"/>
      <c r="C27" s="32"/>
      <c r="D27" s="20"/>
      <c r="E27" s="20"/>
      <c r="F27" s="22"/>
      <c r="G27" s="20"/>
      <c r="H27" s="24"/>
      <c r="I27" s="20"/>
      <c r="J27" s="22"/>
      <c r="K27" s="117" t="str">
        <f aca="false">IF(OR(C27="",E27=""),"",IF(E27="ผู้รับจ้าง / Contractor","ไม่มีสิทธิ์ (ผู้รับจ้างรับผิดชอบ)","มีสิทธิ์ขอขยายเวลา"))</f>
        <v/>
      </c>
      <c r="L27" s="32"/>
    </row>
    <row r="28" customFormat="false" ht="15" hidden="false" customHeight="false" outlineLevel="0" collapsed="false">
      <c r="A28" s="117" t="str">
        <f aca="false">IF(C28="","",COUNTA(C$8:C28))</f>
        <v/>
      </c>
      <c r="B28" s="24"/>
      <c r="C28" s="32"/>
      <c r="D28" s="20"/>
      <c r="E28" s="20"/>
      <c r="F28" s="22"/>
      <c r="G28" s="20"/>
      <c r="H28" s="24"/>
      <c r="I28" s="20"/>
      <c r="J28" s="22"/>
      <c r="K28" s="117" t="str">
        <f aca="false">IF(OR(C28="",E28=""),"",IF(E28="ผู้รับจ้าง / Contractor","ไม่มีสิทธิ์ (ผู้รับจ้างรับผิดชอบ)","มีสิทธิ์ขอขยายเวลา"))</f>
        <v/>
      </c>
      <c r="L28" s="32"/>
    </row>
    <row r="29" customFormat="false" ht="15" hidden="false" customHeight="false" outlineLevel="0" collapsed="false">
      <c r="A29" s="117" t="str">
        <f aca="false">IF(C29="","",COUNTA(C$8:C29))</f>
        <v/>
      </c>
      <c r="B29" s="24"/>
      <c r="C29" s="32"/>
      <c r="D29" s="20"/>
      <c r="E29" s="20"/>
      <c r="F29" s="22"/>
      <c r="G29" s="20"/>
      <c r="H29" s="24"/>
      <c r="I29" s="20"/>
      <c r="J29" s="22"/>
      <c r="K29" s="117" t="str">
        <f aca="false">IF(OR(C29="",E29=""),"",IF(E29="ผู้รับจ้าง / Contractor","ไม่มีสิทธิ์ (ผู้รับจ้างรับผิดชอบ)","มีสิทธิ์ขอขยายเวลา"))</f>
        <v/>
      </c>
      <c r="L29" s="32"/>
    </row>
    <row r="30" customFormat="false" ht="15" hidden="false" customHeight="false" outlineLevel="0" collapsed="false">
      <c r="A30" s="117" t="str">
        <f aca="false">IF(C30="","",COUNTA(C$8:C30))</f>
        <v/>
      </c>
      <c r="B30" s="24"/>
      <c r="C30" s="32"/>
      <c r="D30" s="20"/>
      <c r="E30" s="20"/>
      <c r="F30" s="22"/>
      <c r="G30" s="20"/>
      <c r="H30" s="24"/>
      <c r="I30" s="20"/>
      <c r="J30" s="22"/>
      <c r="K30" s="117" t="str">
        <f aca="false">IF(OR(C30="",E30=""),"",IF(E30="ผู้รับจ้าง / Contractor","ไม่มีสิทธิ์ (ผู้รับจ้างรับผิดชอบ)","มีสิทธิ์ขอขยายเวลา"))</f>
        <v/>
      </c>
      <c r="L30" s="32"/>
    </row>
    <row r="31" customFormat="false" ht="15" hidden="false" customHeight="false" outlineLevel="0" collapsed="false">
      <c r="A31" s="117" t="str">
        <f aca="false">IF(C31="","",COUNTA(C$8:C31))</f>
        <v/>
      </c>
      <c r="B31" s="24"/>
      <c r="C31" s="32"/>
      <c r="D31" s="20"/>
      <c r="E31" s="20"/>
      <c r="F31" s="22"/>
      <c r="G31" s="20"/>
      <c r="H31" s="24"/>
      <c r="I31" s="20"/>
      <c r="J31" s="22"/>
      <c r="K31" s="117" t="str">
        <f aca="false">IF(OR(C31="",E31=""),"",IF(E31="ผู้รับจ้าง / Contractor","ไม่มีสิทธิ์ (ผู้รับจ้างรับผิดชอบ)","มีสิทธิ์ขอขยายเวลา"))</f>
        <v/>
      </c>
      <c r="L31" s="32"/>
    </row>
    <row r="32" customFormat="false" ht="15" hidden="false" customHeight="false" outlineLevel="0" collapsed="false">
      <c r="A32" s="117" t="str">
        <f aca="false">IF(C32="","",COUNTA(C$8:C32))</f>
        <v/>
      </c>
      <c r="B32" s="24"/>
      <c r="C32" s="32"/>
      <c r="D32" s="20"/>
      <c r="E32" s="20"/>
      <c r="F32" s="22"/>
      <c r="G32" s="20"/>
      <c r="H32" s="24"/>
      <c r="I32" s="20"/>
      <c r="J32" s="22"/>
      <c r="K32" s="117" t="str">
        <f aca="false">IF(OR(C32="",E32=""),"",IF(E32="ผู้รับจ้าง / Contractor","ไม่มีสิทธิ์ (ผู้รับจ้างรับผิดชอบ)","มีสิทธิ์ขอขยายเวลา"))</f>
        <v/>
      </c>
      <c r="L32" s="32"/>
    </row>
    <row r="33" customFormat="false" ht="15" hidden="false" customHeight="false" outlineLevel="0" collapsed="false">
      <c r="A33" s="117" t="str">
        <f aca="false">IF(C33="","",COUNTA(C$8:C33))</f>
        <v/>
      </c>
      <c r="B33" s="24"/>
      <c r="C33" s="32"/>
      <c r="D33" s="20"/>
      <c r="E33" s="20"/>
      <c r="F33" s="22"/>
      <c r="G33" s="20"/>
      <c r="H33" s="24"/>
      <c r="I33" s="20"/>
      <c r="J33" s="22"/>
      <c r="K33" s="117" t="str">
        <f aca="false">IF(OR(C33="",E33=""),"",IF(E33="ผู้รับจ้าง / Contractor","ไม่มีสิทธิ์ (ผู้รับจ้างรับผิดชอบ)","มีสิทธิ์ขอขยายเวลา"))</f>
        <v/>
      </c>
      <c r="L33" s="32"/>
    </row>
    <row r="34" customFormat="false" ht="15" hidden="false" customHeight="false" outlineLevel="0" collapsed="false">
      <c r="A34" s="117" t="str">
        <f aca="false">IF(C34="","",COUNTA(C$8:C34))</f>
        <v/>
      </c>
      <c r="B34" s="24"/>
      <c r="C34" s="32"/>
      <c r="D34" s="20"/>
      <c r="E34" s="20"/>
      <c r="F34" s="22"/>
      <c r="G34" s="20"/>
      <c r="H34" s="24"/>
      <c r="I34" s="20"/>
      <c r="J34" s="22"/>
      <c r="K34" s="117" t="str">
        <f aca="false">IF(OR(C34="",E34=""),"",IF(E34="ผู้รับจ้าง / Contractor","ไม่มีสิทธิ์ (ผู้รับจ้างรับผิดชอบ)","มีสิทธิ์ขอขยายเวลา"))</f>
        <v/>
      </c>
      <c r="L34" s="32"/>
    </row>
    <row r="35" customFormat="false" ht="15" hidden="false" customHeight="false" outlineLevel="0" collapsed="false">
      <c r="A35" s="117" t="str">
        <f aca="false">IF(C35="","",COUNTA(C$8:C35))</f>
        <v/>
      </c>
      <c r="B35" s="24"/>
      <c r="C35" s="32"/>
      <c r="D35" s="20"/>
      <c r="E35" s="20"/>
      <c r="F35" s="22"/>
      <c r="G35" s="20"/>
      <c r="H35" s="24"/>
      <c r="I35" s="20"/>
      <c r="J35" s="22"/>
      <c r="K35" s="117" t="str">
        <f aca="false">IF(OR(C35="",E35=""),"",IF(E35="ผู้รับจ้าง / Contractor","ไม่มีสิทธิ์ (ผู้รับจ้างรับผิดชอบ)","มีสิทธิ์ขอขยายเวลา"))</f>
        <v/>
      </c>
      <c r="L35" s="32"/>
    </row>
    <row r="36" customFormat="false" ht="15" hidden="false" customHeight="false" outlineLevel="0" collapsed="false">
      <c r="A36" s="117" t="str">
        <f aca="false">IF(C36="","",COUNTA(C$8:C36))</f>
        <v/>
      </c>
      <c r="B36" s="24"/>
      <c r="C36" s="32"/>
      <c r="D36" s="20"/>
      <c r="E36" s="20"/>
      <c r="F36" s="22"/>
      <c r="G36" s="20"/>
      <c r="H36" s="24"/>
      <c r="I36" s="20"/>
      <c r="J36" s="22"/>
      <c r="K36" s="117" t="str">
        <f aca="false">IF(OR(C36="",E36=""),"",IF(E36="ผู้รับจ้าง / Contractor","ไม่มีสิทธิ์ (ผู้รับจ้างรับผิดชอบ)","มีสิทธิ์ขอขยายเวลา"))</f>
        <v/>
      </c>
      <c r="L36" s="32"/>
    </row>
    <row r="37" customFormat="false" ht="15" hidden="false" customHeight="false" outlineLevel="0" collapsed="false">
      <c r="A37" s="117" t="str">
        <f aca="false">IF(C37="","",COUNTA(C$8:C37))</f>
        <v/>
      </c>
      <c r="B37" s="24"/>
      <c r="C37" s="32"/>
      <c r="D37" s="20"/>
      <c r="E37" s="20"/>
      <c r="F37" s="22"/>
      <c r="G37" s="20"/>
      <c r="H37" s="24"/>
      <c r="I37" s="20"/>
      <c r="J37" s="22"/>
      <c r="K37" s="117" t="str">
        <f aca="false">IF(OR(C37="",E37=""),"",IF(E37="ผู้รับจ้าง / Contractor","ไม่มีสิทธิ์ (ผู้รับจ้างรับผิดชอบ)","มีสิทธิ์ขอขยายเวลา"))</f>
        <v/>
      </c>
      <c r="L37" s="32"/>
    </row>
    <row r="38" customFormat="false" ht="15" hidden="false" customHeight="false" outlineLevel="0" collapsed="false">
      <c r="A38" s="117" t="str">
        <f aca="false">IF(C38="","",COUNTA(C$8:C38))</f>
        <v/>
      </c>
      <c r="B38" s="24"/>
      <c r="C38" s="32"/>
      <c r="D38" s="20"/>
      <c r="E38" s="20"/>
      <c r="F38" s="22"/>
      <c r="G38" s="20"/>
      <c r="H38" s="24"/>
      <c r="I38" s="20"/>
      <c r="J38" s="22"/>
      <c r="K38" s="117" t="str">
        <f aca="false">IF(OR(C38="",E38=""),"",IF(E38="ผู้รับจ้าง / Contractor","ไม่มีสิทธิ์ (ผู้รับจ้างรับผิดชอบ)","มีสิทธิ์ขอขยายเวลา"))</f>
        <v/>
      </c>
      <c r="L38" s="32"/>
    </row>
    <row r="39" customFormat="false" ht="15" hidden="false" customHeight="false" outlineLevel="0" collapsed="false">
      <c r="A39" s="117" t="str">
        <f aca="false">IF(C39="","",COUNTA(C$8:C39))</f>
        <v/>
      </c>
      <c r="B39" s="24"/>
      <c r="C39" s="32"/>
      <c r="D39" s="20"/>
      <c r="E39" s="20"/>
      <c r="F39" s="22"/>
      <c r="G39" s="20"/>
      <c r="H39" s="24"/>
      <c r="I39" s="20"/>
      <c r="J39" s="22"/>
      <c r="K39" s="117" t="str">
        <f aca="false">IF(OR(C39="",E39=""),"",IF(E39="ผู้รับจ้าง / Contractor","ไม่มีสิทธิ์ (ผู้รับจ้างรับผิดชอบ)","มีสิทธิ์ขอขยายเวลา"))</f>
        <v/>
      </c>
      <c r="L39" s="32"/>
    </row>
    <row r="40" customFormat="false" ht="15" hidden="false" customHeight="false" outlineLevel="0" collapsed="false">
      <c r="A40" s="117" t="str">
        <f aca="false">IF(C40="","",COUNTA(C$8:C40))</f>
        <v/>
      </c>
      <c r="B40" s="24"/>
      <c r="C40" s="32"/>
      <c r="D40" s="20"/>
      <c r="E40" s="20"/>
      <c r="F40" s="22"/>
      <c r="G40" s="20"/>
      <c r="H40" s="24"/>
      <c r="I40" s="20"/>
      <c r="J40" s="22"/>
      <c r="K40" s="117" t="str">
        <f aca="false">IF(OR(C40="",E40=""),"",IF(E40="ผู้รับจ้าง / Contractor","ไม่มีสิทธิ์ (ผู้รับจ้างรับผิดชอบ)","มีสิทธิ์ขอขยายเวลา"))</f>
        <v/>
      </c>
      <c r="L40" s="32"/>
    </row>
    <row r="41" customFormat="false" ht="15" hidden="false" customHeight="false" outlineLevel="0" collapsed="false">
      <c r="A41" s="117" t="str">
        <f aca="false">IF(C41="","",COUNTA(C$8:C41))</f>
        <v/>
      </c>
      <c r="B41" s="24"/>
      <c r="C41" s="32"/>
      <c r="D41" s="20"/>
      <c r="E41" s="20"/>
      <c r="F41" s="22"/>
      <c r="G41" s="20"/>
      <c r="H41" s="24"/>
      <c r="I41" s="20"/>
      <c r="J41" s="22"/>
      <c r="K41" s="117" t="str">
        <f aca="false">IF(OR(C41="",E41=""),"",IF(E41="ผู้รับจ้าง / Contractor","ไม่มีสิทธิ์ (ผู้รับจ้างรับผิดชอบ)","มีสิทธิ์ขอขยายเวลา"))</f>
        <v/>
      </c>
      <c r="L41" s="32"/>
    </row>
    <row r="42" customFormat="false" ht="15" hidden="false" customHeight="false" outlineLevel="0" collapsed="false">
      <c r="A42" s="117" t="str">
        <f aca="false">IF(C42="","",COUNTA(C$8:C42))</f>
        <v/>
      </c>
      <c r="B42" s="24"/>
      <c r="C42" s="32"/>
      <c r="D42" s="20"/>
      <c r="E42" s="20"/>
      <c r="F42" s="22"/>
      <c r="G42" s="20"/>
      <c r="H42" s="24"/>
      <c r="I42" s="20"/>
      <c r="J42" s="22"/>
      <c r="K42" s="117" t="str">
        <f aca="false">IF(OR(C42="",E42=""),"",IF(E42="ผู้รับจ้าง / Contractor","ไม่มีสิทธิ์ (ผู้รับจ้างรับผิดชอบ)","มีสิทธิ์ขอขยายเวลา"))</f>
        <v/>
      </c>
      <c r="L42" s="32"/>
    </row>
    <row r="43" customFormat="false" ht="15" hidden="false" customHeight="false" outlineLevel="0" collapsed="false">
      <c r="A43" s="117" t="str">
        <f aca="false">IF(C43="","",COUNTA(C$8:C43))</f>
        <v/>
      </c>
      <c r="B43" s="24"/>
      <c r="C43" s="32"/>
      <c r="D43" s="20"/>
      <c r="E43" s="20"/>
      <c r="F43" s="22"/>
      <c r="G43" s="20"/>
      <c r="H43" s="24"/>
      <c r="I43" s="20"/>
      <c r="J43" s="22"/>
      <c r="K43" s="117" t="str">
        <f aca="false">IF(OR(C43="",E43=""),"",IF(E43="ผู้รับจ้าง / Contractor","ไม่มีสิทธิ์ (ผู้รับจ้างรับผิดชอบ)","มีสิทธิ์ขอขยายเวลา"))</f>
        <v/>
      </c>
      <c r="L43" s="32"/>
    </row>
    <row r="44" customFormat="false" ht="15" hidden="false" customHeight="false" outlineLevel="0" collapsed="false">
      <c r="A44" s="117" t="str">
        <f aca="false">IF(C44="","",COUNTA(C$8:C44))</f>
        <v/>
      </c>
      <c r="B44" s="24"/>
      <c r="C44" s="32"/>
      <c r="D44" s="20"/>
      <c r="E44" s="20"/>
      <c r="F44" s="22"/>
      <c r="G44" s="20"/>
      <c r="H44" s="24"/>
      <c r="I44" s="20"/>
      <c r="J44" s="22"/>
      <c r="K44" s="117" t="str">
        <f aca="false">IF(OR(C44="",E44=""),"",IF(E44="ผู้รับจ้าง / Contractor","ไม่มีสิทธิ์ (ผู้รับจ้างรับผิดชอบ)","มีสิทธิ์ขอขยายเวลา"))</f>
        <v/>
      </c>
      <c r="L44" s="32"/>
    </row>
    <row r="45" customFormat="false" ht="15" hidden="false" customHeight="false" outlineLevel="0" collapsed="false">
      <c r="A45" s="117" t="str">
        <f aca="false">IF(C45="","",COUNTA(C$8:C45))</f>
        <v/>
      </c>
      <c r="B45" s="24"/>
      <c r="C45" s="32"/>
      <c r="D45" s="20"/>
      <c r="E45" s="20"/>
      <c r="F45" s="22"/>
      <c r="G45" s="20"/>
      <c r="H45" s="24"/>
      <c r="I45" s="20"/>
      <c r="J45" s="22"/>
      <c r="K45" s="117" t="str">
        <f aca="false">IF(OR(C45="",E45=""),"",IF(E45="ผู้รับจ้าง / Contractor","ไม่มีสิทธิ์ (ผู้รับจ้างรับผิดชอบ)","มีสิทธิ์ขอขยายเวลา"))</f>
        <v/>
      </c>
      <c r="L45" s="32"/>
    </row>
    <row r="46" customFormat="false" ht="15" hidden="false" customHeight="false" outlineLevel="0" collapsed="false">
      <c r="A46" s="117" t="str">
        <f aca="false">IF(C46="","",COUNTA(C$8:C46))</f>
        <v/>
      </c>
      <c r="B46" s="24"/>
      <c r="C46" s="32"/>
      <c r="D46" s="20"/>
      <c r="E46" s="20"/>
      <c r="F46" s="22"/>
      <c r="G46" s="20"/>
      <c r="H46" s="24"/>
      <c r="I46" s="20"/>
      <c r="J46" s="22"/>
      <c r="K46" s="117" t="str">
        <f aca="false">IF(OR(C46="",E46=""),"",IF(E46="ผู้รับจ้าง / Contractor","ไม่มีสิทธิ์ (ผู้รับจ้างรับผิดชอบ)","มีสิทธิ์ขอขยายเวลา"))</f>
        <v/>
      </c>
      <c r="L46" s="32"/>
    </row>
    <row r="47" customFormat="false" ht="15" hidden="false" customHeight="false" outlineLevel="0" collapsed="false">
      <c r="A47" s="117" t="str">
        <f aca="false">IF(C47="","",COUNTA(C$8:C47))</f>
        <v/>
      </c>
      <c r="B47" s="24"/>
      <c r="C47" s="32"/>
      <c r="D47" s="20"/>
      <c r="E47" s="20"/>
      <c r="F47" s="22"/>
      <c r="G47" s="20"/>
      <c r="H47" s="24"/>
      <c r="I47" s="20"/>
      <c r="J47" s="22"/>
      <c r="K47" s="117" t="str">
        <f aca="false">IF(OR(C47="",E47=""),"",IF(E47="ผู้รับจ้าง / Contractor","ไม่มีสิทธิ์ (ผู้รับจ้างรับผิดชอบ)","มีสิทธิ์ขอขยายเวลา"))</f>
        <v/>
      </c>
      <c r="L47" s="32"/>
    </row>
    <row r="48" customFormat="false" ht="15" hidden="false" customHeight="false" outlineLevel="0" collapsed="false">
      <c r="A48" s="117" t="str">
        <f aca="false">IF(C48="","",COUNTA(C$8:C48))</f>
        <v/>
      </c>
      <c r="B48" s="24"/>
      <c r="C48" s="32"/>
      <c r="D48" s="20"/>
      <c r="E48" s="20"/>
      <c r="F48" s="22"/>
      <c r="G48" s="20"/>
      <c r="H48" s="24"/>
      <c r="I48" s="20"/>
      <c r="J48" s="22"/>
      <c r="K48" s="117" t="str">
        <f aca="false">IF(OR(C48="",E48=""),"",IF(E48="ผู้รับจ้าง / Contractor","ไม่มีสิทธิ์ (ผู้รับจ้างรับผิดชอบ)","มีสิทธิ์ขอขยายเวลา"))</f>
        <v/>
      </c>
      <c r="L48" s="32"/>
    </row>
    <row r="49" customFormat="false" ht="15" hidden="false" customHeight="false" outlineLevel="0" collapsed="false">
      <c r="A49" s="117" t="str">
        <f aca="false">IF(C49="","",COUNTA(C$8:C49))</f>
        <v/>
      </c>
      <c r="B49" s="24"/>
      <c r="C49" s="32"/>
      <c r="D49" s="20"/>
      <c r="E49" s="20"/>
      <c r="F49" s="22"/>
      <c r="G49" s="20"/>
      <c r="H49" s="24"/>
      <c r="I49" s="20"/>
      <c r="J49" s="22"/>
      <c r="K49" s="117" t="str">
        <f aca="false">IF(OR(C49="",E49=""),"",IF(E49="ผู้รับจ้าง / Contractor","ไม่มีสิทธิ์ (ผู้รับจ้างรับผิดชอบ)","มีสิทธิ์ขอขยายเวลา"))</f>
        <v/>
      </c>
      <c r="L49" s="32"/>
    </row>
    <row r="50" customFormat="false" ht="15" hidden="false" customHeight="false" outlineLevel="0" collapsed="false">
      <c r="A50" s="117" t="str">
        <f aca="false">IF(C50="","",COUNTA(C$8:C50))</f>
        <v/>
      </c>
      <c r="B50" s="24"/>
      <c r="C50" s="32"/>
      <c r="D50" s="20"/>
      <c r="E50" s="20"/>
      <c r="F50" s="22"/>
      <c r="G50" s="20"/>
      <c r="H50" s="24"/>
      <c r="I50" s="20"/>
      <c r="J50" s="22"/>
      <c r="K50" s="117" t="str">
        <f aca="false">IF(OR(C50="",E50=""),"",IF(E50="ผู้รับจ้าง / Contractor","ไม่มีสิทธิ์ (ผู้รับจ้างรับผิดชอบ)","มีสิทธิ์ขอขยายเวลา"))</f>
        <v/>
      </c>
      <c r="L50" s="32"/>
    </row>
    <row r="51" customFormat="false" ht="15" hidden="false" customHeight="false" outlineLevel="0" collapsed="false">
      <c r="A51" s="117" t="str">
        <f aca="false">IF(C51="","",COUNTA(C$8:C51))</f>
        <v/>
      </c>
      <c r="B51" s="24"/>
      <c r="C51" s="32"/>
      <c r="D51" s="20"/>
      <c r="E51" s="20"/>
      <c r="F51" s="22"/>
      <c r="G51" s="20"/>
      <c r="H51" s="24"/>
      <c r="I51" s="20"/>
      <c r="J51" s="22"/>
      <c r="K51" s="117" t="str">
        <f aca="false">IF(OR(C51="",E51=""),"",IF(E51="ผู้รับจ้าง / Contractor","ไม่มีสิทธิ์ (ผู้รับจ้างรับผิดชอบ)","มีสิทธิ์ขอขยายเวลา"))</f>
        <v/>
      </c>
      <c r="L51" s="32"/>
    </row>
    <row r="52" customFormat="false" ht="15" hidden="false" customHeight="false" outlineLevel="0" collapsed="false">
      <c r="A52" s="117" t="str">
        <f aca="false">IF(C52="","",COUNTA(C$8:C52))</f>
        <v/>
      </c>
      <c r="B52" s="24"/>
      <c r="C52" s="32"/>
      <c r="D52" s="20"/>
      <c r="E52" s="20"/>
      <c r="F52" s="22"/>
      <c r="G52" s="20"/>
      <c r="H52" s="24"/>
      <c r="I52" s="20"/>
      <c r="J52" s="22"/>
      <c r="K52" s="117" t="str">
        <f aca="false">IF(OR(C52="",E52=""),"",IF(E52="ผู้รับจ้าง / Contractor","ไม่มีสิทธิ์ (ผู้รับจ้างรับผิดชอบ)","มีสิทธิ์ขอขยายเวลา"))</f>
        <v/>
      </c>
      <c r="L52" s="32"/>
    </row>
    <row r="53" customFormat="false" ht="15" hidden="false" customHeight="false" outlineLevel="0" collapsed="false">
      <c r="A53" s="117" t="str">
        <f aca="false">IF(C53="","",COUNTA(C$8:C53))</f>
        <v/>
      </c>
      <c r="B53" s="24"/>
      <c r="C53" s="32"/>
      <c r="D53" s="20"/>
      <c r="E53" s="20"/>
      <c r="F53" s="22"/>
      <c r="G53" s="20"/>
      <c r="H53" s="24"/>
      <c r="I53" s="20"/>
      <c r="J53" s="22"/>
      <c r="K53" s="117" t="str">
        <f aca="false">IF(OR(C53="",E53=""),"",IF(E53="ผู้รับจ้าง / Contractor","ไม่มีสิทธิ์ (ผู้รับจ้างรับผิดชอบ)","มีสิทธิ์ขอขยายเวลา"))</f>
        <v/>
      </c>
      <c r="L53" s="32"/>
    </row>
    <row r="54" customFormat="false" ht="15" hidden="false" customHeight="false" outlineLevel="0" collapsed="false">
      <c r="A54" s="117" t="str">
        <f aca="false">IF(C54="","",COUNTA(C$8:C54))</f>
        <v/>
      </c>
      <c r="B54" s="24"/>
      <c r="C54" s="32"/>
      <c r="D54" s="20"/>
      <c r="E54" s="20"/>
      <c r="F54" s="22"/>
      <c r="G54" s="20"/>
      <c r="H54" s="24"/>
      <c r="I54" s="20"/>
      <c r="J54" s="22"/>
      <c r="K54" s="117" t="str">
        <f aca="false">IF(OR(C54="",E54=""),"",IF(E54="ผู้รับจ้าง / Contractor","ไม่มีสิทธิ์ (ผู้รับจ้างรับผิดชอบ)","มีสิทธิ์ขอขยายเวลา"))</f>
        <v/>
      </c>
      <c r="L54" s="32"/>
    </row>
    <row r="55" customFormat="false" ht="15" hidden="false" customHeight="false" outlineLevel="0" collapsed="false">
      <c r="A55" s="117" t="str">
        <f aca="false">IF(C55="","",COUNTA(C$8:C55))</f>
        <v/>
      </c>
      <c r="B55" s="24"/>
      <c r="C55" s="32"/>
      <c r="D55" s="20"/>
      <c r="E55" s="20"/>
      <c r="F55" s="22"/>
      <c r="G55" s="20"/>
      <c r="H55" s="24"/>
      <c r="I55" s="20"/>
      <c r="J55" s="22"/>
      <c r="K55" s="117" t="str">
        <f aca="false">IF(OR(C55="",E55=""),"",IF(E55="ผู้รับจ้าง / Contractor","ไม่มีสิทธิ์ (ผู้รับจ้างรับผิดชอบ)","มีสิทธิ์ขอขยายเวลา"))</f>
        <v/>
      </c>
      <c r="L55" s="32"/>
    </row>
    <row r="56" customFormat="false" ht="15" hidden="false" customHeight="false" outlineLevel="0" collapsed="false">
      <c r="A56" s="117" t="str">
        <f aca="false">IF(C56="","",COUNTA(C$8:C56))</f>
        <v/>
      </c>
      <c r="B56" s="24"/>
      <c r="C56" s="32"/>
      <c r="D56" s="20"/>
      <c r="E56" s="20"/>
      <c r="F56" s="22"/>
      <c r="G56" s="20"/>
      <c r="H56" s="24"/>
      <c r="I56" s="20"/>
      <c r="J56" s="22"/>
      <c r="K56" s="117" t="str">
        <f aca="false">IF(OR(C56="",E56=""),"",IF(E56="ผู้รับจ้าง / Contractor","ไม่มีสิทธิ์ (ผู้รับจ้างรับผิดชอบ)","มีสิทธิ์ขอขยายเวลา"))</f>
        <v/>
      </c>
      <c r="L56" s="32"/>
    </row>
    <row r="57" customFormat="false" ht="15" hidden="false" customHeight="false" outlineLevel="0" collapsed="false">
      <c r="A57" s="117" t="str">
        <f aca="false">IF(C57="","",COUNTA(C$8:C57))</f>
        <v/>
      </c>
      <c r="B57" s="24"/>
      <c r="C57" s="32"/>
      <c r="D57" s="20"/>
      <c r="E57" s="20"/>
      <c r="F57" s="22"/>
      <c r="G57" s="20"/>
      <c r="H57" s="24"/>
      <c r="I57" s="20"/>
      <c r="J57" s="22"/>
      <c r="K57" s="117" t="str">
        <f aca="false">IF(OR(C57="",E57=""),"",IF(E57="ผู้รับจ้าง / Contractor","ไม่มีสิทธิ์ (ผู้รับจ้างรับผิดชอบ)","มีสิทธิ์ขอขยายเวลา"))</f>
        <v/>
      </c>
      <c r="L57" s="32"/>
    </row>
  </sheetData>
  <sheetProtection sheet="true" formatCells="false" formatColumns="false" formatRows="false"/>
  <conditionalFormatting sqref="K8:K57">
    <cfRule type="expression" priority="2" aboveAverage="0" equalAverage="0" bottom="0" percent="0" rank="0" text="" dxfId="27">
      <formula>LEFT(K8,3)="ไม่ม"</formula>
    </cfRule>
  </conditionalFormatting>
  <conditionalFormatting sqref="I8:I57">
    <cfRule type="expression" priority="3" aboveAverage="0" equalAverage="0" bottom="0" percent="0" rank="0" text="" dxfId="10">
      <formula>I8="รอพิจารณา / Pending"</formula>
    </cfRule>
  </conditionalFormatting>
  <dataValidations count="3">
    <dataValidation allowBlank="false" errorStyle="stop" operator="between" showDropDown="false" showErrorMessage="false" showInputMessage="false" sqref="E8:E57" type="list">
      <formula1>"ผู้ว่าจ้าง / Employer,ผู้รับจ้าง / Contractor,เหตุสุดวิสัย / Force Majeure,อื่นๆ / Other"</formula1>
      <formula2>0</formula2>
    </dataValidation>
    <dataValidation allowBlank="false" errorStyle="stop" operator="between" showDropDown="false" showErrorMessage="false" showInputMessage="false" sqref="I8:I57" type="list">
      <formula1>"รอพิจารณา / Pending,อนุมัติ / Approved,อนุมัติบางส่วน / Partial,ไม่อนุมัติ / Rejected"</formula1>
      <formula2>0</formula2>
    </dataValidation>
    <dataValidation allowBlank="false" error="กรอกจำนวนวันเป็นเลขจำนวนเต็ม" errorStyle="stop" operator="greaterThanOrEqual" showDropDown="false" showErrorMessage="false" showInputMessage="false" sqref="F8:F57 J8:J57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2026-09-27T15:58:48Z</dcterms:created>
  <dc:creator>openpyxl</dc:creator>
  <dc:description/>
  <dc:language>en-US</dc:language>
  <cp:lastModifiedBy/>
  <dcterms:modified xsi:type="dcterms:W3CDTF">2026-10-18T21:10:47Z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